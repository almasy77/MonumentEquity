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codeName="ThisWorkbook" defaultThemeVersion="166925"/>
  <mc:AlternateContent xmlns:mc="http://schemas.openxmlformats.org/markup-compatibility/2006">
    <mc:Choice Requires="x15">
      <x15ac:absPath xmlns:x15ac="http://schemas.microsoft.com/office/spreadsheetml/2010/11/ac" url="/Users/jake/Desktop/Jake/Analysis/SDA/v2.9/"/>
    </mc:Choice>
  </mc:AlternateContent>
  <xr:revisionPtr revIDLastSave="0" documentId="13_ncr:1_{75228324-2BB5-A649-B015-2EBC8DAECC64}" xr6:coauthVersionLast="47" xr6:coauthVersionMax="47" xr10:uidLastSave="{00000000-0000-0000-0000-000000000000}"/>
  <bookViews>
    <workbookView xWindow="0" yWindow="660" windowWidth="34560" windowHeight="21680" tabRatio="844" xr2:uid="{00000000-000D-0000-FFFF-FFFF00000000}"/>
  </bookViews>
  <sheets>
    <sheet name="Welcome" sheetId="1" r:id="rId1"/>
    <sheet name="About" sheetId="2" r:id="rId2"/>
    <sheet name="Scenarios" sheetId="3" r:id="rId3"/>
    <sheet name="Summary" sheetId="4" r:id="rId4"/>
    <sheet name="Acquisition Costs" sheetId="6" r:id="rId5"/>
    <sheet name="P&amp;L" sheetId="5" r:id="rId6"/>
    <sheet name="Exit Strategy" sheetId="7" r:id="rId7"/>
    <sheet name="Returns" sheetId="8" r:id="rId8"/>
    <sheet name="IRR" sheetId="9" state="hidden" r:id="rId9"/>
    <sheet name="Loans" sheetId="10" r:id="rId10"/>
    <sheet name="1st Mortgage 1" sheetId="11" state="hidden" r:id="rId11"/>
    <sheet name="2nd Mortgage 1" sheetId="12" state="hidden" r:id="rId12"/>
    <sheet name="1st Mortgage Re-Fi" sheetId="13" state="hidden" r:id="rId13"/>
    <sheet name="Repairs" sheetId="19" r:id="rId14"/>
    <sheet name="One Pager" sheetId="21" r:id="rId15"/>
    <sheet name="2-Minute Analysis" sheetId="14" r:id="rId16"/>
    <sheet name="Legal Notices" sheetId="15" r:id="rId17"/>
    <sheet name="Change Log" sheetId="16" state="hidden" r:id="rId18"/>
    <sheet name="Variables" sheetId="17" state="hidden" r:id="rId19"/>
  </sheets>
  <definedNames>
    <definedName name="copyright">About!$B$48</definedName>
    <definedName name="_xlnm.Print_Area" localSheetId="10">'1st Mortgage 1'!$A$1:$L$383</definedName>
    <definedName name="_xlnm.Print_Area" localSheetId="12">'1st Mortgage Re-Fi'!$A$1:$L$383</definedName>
    <definedName name="_xlnm.Print_Area" localSheetId="11">'2nd Mortgage 1'!$A$1:$L$383</definedName>
    <definedName name="_xlnm.Print_Area" localSheetId="1">About!$A$2:$G$38</definedName>
    <definedName name="_xlnm.Print_Area" localSheetId="4">'Acquisition Costs'!$A$1:$D$61</definedName>
    <definedName name="_xlnm.Print_Area" localSheetId="6">'Exit Strategy'!$A$1:$F$29</definedName>
    <definedName name="_xlnm.Print_Area" localSheetId="9">Loans!$A$1:$Q$39</definedName>
    <definedName name="_xlnm.Print_Area" localSheetId="14">'One Pager'!$A$1:$M$45</definedName>
    <definedName name="_xlnm.Print_Area" localSheetId="13">Repairs!$A$1:$D$46</definedName>
    <definedName name="_xlnm.Print_Area" localSheetId="2">Scenarios!$A$1:$L$64</definedName>
    <definedName name="var_AAR">Variables!$C$5</definedName>
    <definedName name="var_averageCoC">Variables!$C$9</definedName>
    <definedName name="var_capRateBump">'Exit Strategy'!$I$9</definedName>
    <definedName name="var_DSCR">Variables!$C$4</definedName>
    <definedName name="var_expensePercentage">Variables!$C$7</definedName>
    <definedName name="var_IRR">Variables!$C$6</definedName>
    <definedName name="var_operatingReserves">Variables!$C$11</definedName>
    <definedName name="var_returnCapitalPercentage">Variables!$C$8</definedName>
    <definedName name="var_totalLoan">Variables!$C$13</definedName>
    <definedName name="year_refi">'Exit Strategy'!$D$4</definedName>
    <definedName name="year_sale">'Exit Strategy'!$D$5</definedName>
    <definedName name="Z_238A3432_2201_4481_B06C_00480E9813A7_.wvu.PrintArea" localSheetId="10" hidden="1">'1st Mortgage 1'!$A$1:$K$53</definedName>
    <definedName name="Z_238A3432_2201_4481_B06C_00480E9813A7_.wvu.PrintArea" localSheetId="12" hidden="1">'1st Mortgage Re-Fi'!$A$1:$K$53</definedName>
    <definedName name="Z_238A3432_2201_4481_B06C_00480E9813A7_.wvu.PrintArea" localSheetId="11" hidden="1">'2nd Mortgage 1'!$A$1:$K$53</definedName>
    <definedName name="Z_238A3432_2201_4481_B06C_00480E9813A7_.wvu.PrintArea" localSheetId="9" hidden="1">Loans!$G$4:$Q$19</definedName>
    <definedName name="Z_238A3432_2201_4481_B06C_00480E9813A7_.wvu.PrintArea" localSheetId="3" hidden="1">Summary!$B$3:$D$46</definedName>
    <definedName name="Z_A0B83632_25B5_FE44_8A66_2590D6BCDFDC_.wvu.Cols" localSheetId="1" hidden="1">About!$A:$A</definedName>
    <definedName name="Z_A0B83632_25B5_FE44_8A66_2590D6BCDFDC_.wvu.Cols" localSheetId="6" hidden="1">'Exit Strategy'!$N:$O,'Exit Strategy'!$S:$T</definedName>
    <definedName name="Z_A0B83632_25B5_FE44_8A66_2590D6BCDFDC_.wvu.Cols" localSheetId="8" hidden="1">IRR!$C:$D,IRR!$G:$G,IRR!$T:$U</definedName>
    <definedName name="Z_A0B83632_25B5_FE44_8A66_2590D6BCDFDC_.wvu.Cols" localSheetId="5" hidden="1">'P&amp;L'!$AB:$AC</definedName>
    <definedName name="Z_A0B83632_25B5_FE44_8A66_2590D6BCDFDC_.wvu.Cols" localSheetId="2" hidden="1">Scenarios!$E:$E,Scenarios!$H:$H,Scenarios!$K:$K,Scenarios!$N:$N,Scenarios!$P:$AA,Scenarios!#REF!,Scenarios!$AO:$AP</definedName>
    <definedName name="Z_A0B83632_25B5_FE44_8A66_2590D6BCDFDC_.wvu.Cols" localSheetId="3" hidden="1">Summary!$N:$P,Summary!$S:$AB</definedName>
    <definedName name="Z_A0B83632_25B5_FE44_8A66_2590D6BCDFDC_.wvu.PrintArea" localSheetId="10" hidden="1">'1st Mortgage 1'!$A$1:$L$383</definedName>
    <definedName name="Z_A0B83632_25B5_FE44_8A66_2590D6BCDFDC_.wvu.PrintArea" localSheetId="12" hidden="1">'1st Mortgage Re-Fi'!$A$1:$L$383</definedName>
    <definedName name="Z_A0B83632_25B5_FE44_8A66_2590D6BCDFDC_.wvu.PrintArea" localSheetId="11" hidden="1">'2nd Mortgage 1'!$A$1:$L$383</definedName>
    <definedName name="Z_A0B83632_25B5_FE44_8A66_2590D6BCDFDC_.wvu.PrintArea" localSheetId="1" hidden="1">About!$A$2:$G$38</definedName>
    <definedName name="Z_A0B83632_25B5_FE44_8A66_2590D6BCDFDC_.wvu.PrintArea" localSheetId="4" hidden="1">'Acquisition Costs'!$A$1:$D$61</definedName>
    <definedName name="Z_A0B83632_25B5_FE44_8A66_2590D6BCDFDC_.wvu.PrintArea" localSheetId="6" hidden="1">'Exit Strategy'!$A$1:$F$29</definedName>
    <definedName name="Z_A0B83632_25B5_FE44_8A66_2590D6BCDFDC_.wvu.PrintArea" localSheetId="9" hidden="1">Loans!$A$1:$Q$39</definedName>
    <definedName name="Z_A0B83632_25B5_FE44_8A66_2590D6BCDFDC_.wvu.PrintArea" localSheetId="13" hidden="1">Repairs!$A$1:$D$46</definedName>
    <definedName name="Z_A0B83632_25B5_FE44_8A66_2590D6BCDFDC_.wvu.PrintArea" localSheetId="2" hidden="1">Scenarios!$A$1:$L$64</definedName>
    <definedName name="Z_A0B83632_25B5_FE44_8A66_2590D6BCDFDC_.wvu.Rows" localSheetId="1" hidden="1">About!$2:$2</definedName>
    <definedName name="Z_A0B83632_25B5_FE44_8A66_2590D6BCDFDC_.wvu.Rows" localSheetId="4" hidden="1">'Acquisition Costs'!$2:$10</definedName>
    <definedName name="Z_A0B83632_25B5_FE44_8A66_2590D6BCDFDC_.wvu.Rows" localSheetId="8" hidden="1">IRR!$8:$11,IRR!$13:$16,IRR!$18:$21,IRR!$23:$26,IRR!$28:$31,IRR!$33:$36,IRR!$38:$41,IRR!$43:$46,IRR!$48:$51,IRR!$53:$56,IRR!$65:$68,IRR!$70:$73,IRR!$75:$78,IRR!$80:$83,IRR!$85:$88,IRR!$90:$93,IRR!$95:$98,IRR!$100:$103,IRR!$105:$108,IRR!$110:$113</definedName>
    <definedName name="Z_A0B83632_25B5_FE44_8A66_2590D6BCDFDC_.wvu.Rows" localSheetId="13" hidden="1">Repairs!$2:$2</definedName>
    <definedName name="Z_A0B83632_25B5_FE44_8A66_2590D6BCDFDC_.wvu.Rows" localSheetId="7" hidden="1">Returns!$175:$178</definedName>
    <definedName name="Z_A0B83632_25B5_FE44_8A66_2590D6BCDFDC_.wvu.Rows" localSheetId="3" hidden="1">Summary!$26:$37</definedName>
  </definedNames>
  <calcPr calcId="191029"/>
  <customWorkbookViews>
    <customWorkbookView name="TMP" guid="{238A3432-2201-4481-B06C-00480E9813A7}" maximized="1" windowWidth="1276" windowHeight="601" tabRatio="844" activeSheetId="15"/>
    <customWorkbookView name="Microsoft Office User - Personal View" guid="{A0B83632-25B5-FE44-8A66-2590D6BCDFDC}" mergeInterval="0" personalView="1" maximized="1" yWindow="23" windowWidth="1440" windowHeight="877" tabRatio="844" activeSheetId="8"/>
  </customWorkbookViews>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17" l="1"/>
  <c r="C6" i="14"/>
  <c r="C10" i="14" s="1"/>
  <c r="C14" i="14" s="1"/>
  <c r="E29" i="19"/>
  <c r="E28" i="19"/>
  <c r="E27" i="19"/>
  <c r="E26" i="19"/>
  <c r="E25" i="19"/>
  <c r="E24" i="19"/>
  <c r="E23" i="19"/>
  <c r="E22" i="19"/>
  <c r="E21" i="19"/>
  <c r="E20" i="19"/>
  <c r="E16" i="19"/>
  <c r="E15" i="19"/>
  <c r="E14" i="19"/>
  <c r="E13" i="19"/>
  <c r="E12" i="19"/>
  <c r="E11" i="19"/>
  <c r="E10" i="19"/>
  <c r="E9" i="19"/>
  <c r="E8" i="19"/>
  <c r="E7" i="19"/>
  <c r="E6" i="19"/>
  <c r="E5" i="19"/>
  <c r="E4" i="19"/>
  <c r="B18" i="13"/>
  <c r="D11" i="13"/>
  <c r="D6" i="13"/>
  <c r="D5" i="13"/>
  <c r="H17" i="12"/>
  <c r="D11" i="12"/>
  <c r="D6" i="12"/>
  <c r="D3" i="12"/>
  <c r="D7" i="12" s="1"/>
  <c r="D11" i="11"/>
  <c r="Q26" i="10"/>
  <c r="P26" i="10"/>
  <c r="O26" i="10"/>
  <c r="N26" i="10"/>
  <c r="M26" i="10"/>
  <c r="L26" i="10"/>
  <c r="K26" i="10"/>
  <c r="J26" i="10"/>
  <c r="I26" i="10"/>
  <c r="H26" i="10"/>
  <c r="Q24" i="10"/>
  <c r="P24" i="10"/>
  <c r="O24" i="10"/>
  <c r="N24" i="10"/>
  <c r="M24" i="10"/>
  <c r="L24" i="10"/>
  <c r="K24" i="10"/>
  <c r="J24" i="10"/>
  <c r="I24" i="10"/>
  <c r="H24" i="10"/>
  <c r="Q23" i="10"/>
  <c r="P23" i="10"/>
  <c r="O23" i="10"/>
  <c r="N23" i="10"/>
  <c r="M23" i="10"/>
  <c r="L23" i="10"/>
  <c r="K23" i="10"/>
  <c r="J23" i="10"/>
  <c r="I23" i="10"/>
  <c r="H23" i="10"/>
  <c r="Q21" i="10"/>
  <c r="P21" i="10"/>
  <c r="O21" i="10"/>
  <c r="N21" i="10"/>
  <c r="M21" i="10"/>
  <c r="L21" i="10"/>
  <c r="K21" i="10"/>
  <c r="J21" i="10"/>
  <c r="I21" i="10"/>
  <c r="H21" i="10"/>
  <c r="H22" i="10" s="1"/>
  <c r="H14" i="10"/>
  <c r="H15" i="10" s="1"/>
  <c r="J5" i="10"/>
  <c r="J4" i="10" s="1"/>
  <c r="I5" i="10"/>
  <c r="I4" i="10"/>
  <c r="H4" i="10"/>
  <c r="B94" i="9"/>
  <c r="F94" i="9" s="1"/>
  <c r="B89" i="9"/>
  <c r="F89" i="9" s="1"/>
  <c r="G90" i="9" s="1"/>
  <c r="F32" i="9"/>
  <c r="B32" i="9"/>
  <c r="H32" i="9" s="1"/>
  <c r="H22" i="9"/>
  <c r="H17" i="9"/>
  <c r="H12" i="9"/>
  <c r="H7" i="9"/>
  <c r="C169" i="8"/>
  <c r="D168" i="8"/>
  <c r="E167" i="8"/>
  <c r="E166" i="8"/>
  <c r="E165" i="8"/>
  <c r="E164" i="8"/>
  <c r="E163" i="8"/>
  <c r="E162" i="8"/>
  <c r="E161" i="8"/>
  <c r="E160" i="8"/>
  <c r="D158" i="8"/>
  <c r="E157" i="8"/>
  <c r="B157" i="8"/>
  <c r="B167" i="8" s="1"/>
  <c r="E156" i="8"/>
  <c r="E155" i="8"/>
  <c r="E154" i="8"/>
  <c r="E153" i="8"/>
  <c r="E152" i="8"/>
  <c r="E151" i="8"/>
  <c r="E150" i="8"/>
  <c r="D148" i="8"/>
  <c r="E147" i="8"/>
  <c r="E146" i="8"/>
  <c r="E145" i="8"/>
  <c r="B145" i="8"/>
  <c r="B155" i="8" s="1"/>
  <c r="E144" i="8"/>
  <c r="B144" i="8"/>
  <c r="B154" i="8" s="1"/>
  <c r="E143" i="8"/>
  <c r="E142" i="8"/>
  <c r="E141" i="8"/>
  <c r="E140" i="8"/>
  <c r="B140" i="8"/>
  <c r="B150" i="8" s="1"/>
  <c r="B133" i="8"/>
  <c r="B130" i="8"/>
  <c r="D128" i="8"/>
  <c r="E127" i="8"/>
  <c r="B127" i="8"/>
  <c r="B147" i="8" s="1"/>
  <c r="E126" i="8"/>
  <c r="B126" i="8"/>
  <c r="B146" i="8" s="1"/>
  <c r="B156" i="8" s="1"/>
  <c r="E125" i="8"/>
  <c r="B125" i="8"/>
  <c r="B135" i="8" s="1"/>
  <c r="E124" i="8"/>
  <c r="B124" i="8"/>
  <c r="B134" i="8" s="1"/>
  <c r="E123" i="8"/>
  <c r="B123" i="8"/>
  <c r="B143" i="8" s="1"/>
  <c r="B153" i="8" s="1"/>
  <c r="E122" i="8"/>
  <c r="B122" i="8"/>
  <c r="B142" i="8" s="1"/>
  <c r="B152" i="8" s="1"/>
  <c r="E121" i="8"/>
  <c r="B121" i="8"/>
  <c r="B131" i="8" s="1"/>
  <c r="E120" i="8"/>
  <c r="B120" i="8"/>
  <c r="D118" i="8"/>
  <c r="E117" i="8"/>
  <c r="E116" i="8"/>
  <c r="E115" i="8"/>
  <c r="E114" i="8"/>
  <c r="E113" i="8"/>
  <c r="E112" i="8"/>
  <c r="E111" i="8"/>
  <c r="E110" i="8"/>
  <c r="B104" i="8"/>
  <c r="C97" i="8"/>
  <c r="E91" i="8"/>
  <c r="D91" i="8"/>
  <c r="D97" i="8" s="1"/>
  <c r="B88" i="8"/>
  <c r="D78" i="8"/>
  <c r="B71" i="8"/>
  <c r="B65" i="8"/>
  <c r="B59" i="8"/>
  <c r="B53" i="8"/>
  <c r="B47" i="8"/>
  <c r="B41" i="8"/>
  <c r="B35" i="8"/>
  <c r="B34" i="8"/>
  <c r="B33" i="8"/>
  <c r="B31" i="8"/>
  <c r="B37" i="8" s="1"/>
  <c r="B43" i="8" s="1"/>
  <c r="B49" i="8" s="1"/>
  <c r="B55" i="8" s="1"/>
  <c r="B61" i="8" s="1"/>
  <c r="B67" i="8" s="1"/>
  <c r="B73" i="8" s="1"/>
  <c r="B30" i="8"/>
  <c r="B36" i="8" s="1"/>
  <c r="B42" i="8" s="1"/>
  <c r="B48" i="8" s="1"/>
  <c r="B54" i="8" s="1"/>
  <c r="B60" i="8" s="1"/>
  <c r="B66" i="8" s="1"/>
  <c r="B72" i="8" s="1"/>
  <c r="B29" i="8"/>
  <c r="C27" i="8"/>
  <c r="C26" i="8"/>
  <c r="E21" i="8"/>
  <c r="F21" i="8" s="1"/>
  <c r="G21" i="8" s="1"/>
  <c r="H21" i="8" s="1"/>
  <c r="I21" i="8" s="1"/>
  <c r="J21" i="8" s="1"/>
  <c r="K21" i="8" s="1"/>
  <c r="L21" i="8" s="1"/>
  <c r="D21" i="8"/>
  <c r="D13" i="8"/>
  <c r="C13" i="8"/>
  <c r="D12" i="8"/>
  <c r="C12" i="8"/>
  <c r="C10" i="8"/>
  <c r="C9" i="8"/>
  <c r="D4" i="8"/>
  <c r="C3" i="8"/>
  <c r="D30" i="7"/>
  <c r="D29" i="7"/>
  <c r="C28" i="7"/>
  <c r="C27" i="7"/>
  <c r="D26" i="7"/>
  <c r="D25" i="7"/>
  <c r="G24" i="7"/>
  <c r="G23" i="7"/>
  <c r="D23" i="7"/>
  <c r="D22" i="7"/>
  <c r="F18" i="17" s="1"/>
  <c r="B16" i="8" s="1"/>
  <c r="B86" i="8" s="1"/>
  <c r="B102" i="8" s="1"/>
  <c r="D21" i="7"/>
  <c r="D20" i="7"/>
  <c r="D19" i="7"/>
  <c r="D18" i="7"/>
  <c r="G16" i="7"/>
  <c r="D16" i="7"/>
  <c r="D15" i="7"/>
  <c r="D3" i="13" s="1"/>
  <c r="H17" i="13" s="1"/>
  <c r="D12" i="7"/>
  <c r="D4" i="13" s="1"/>
  <c r="H10" i="7"/>
  <c r="D10" i="7"/>
  <c r="H9" i="7"/>
  <c r="D9" i="7"/>
  <c r="D8" i="7"/>
  <c r="H7" i="7"/>
  <c r="D7" i="7"/>
  <c r="C59" i="5"/>
  <c r="C58" i="5" s="1"/>
  <c r="B56" i="5"/>
  <c r="C49" i="5"/>
  <c r="C48" i="5"/>
  <c r="C45" i="5"/>
  <c r="D31" i="5"/>
  <c r="E31" i="5" s="1"/>
  <c r="D30" i="5"/>
  <c r="D29" i="5"/>
  <c r="D28" i="5"/>
  <c r="E28" i="5" s="1"/>
  <c r="D26" i="5"/>
  <c r="E26" i="5" s="1"/>
  <c r="D25" i="5"/>
  <c r="D24" i="5"/>
  <c r="D23" i="5"/>
  <c r="E23" i="5" s="1"/>
  <c r="D22" i="5"/>
  <c r="E22" i="5" s="1"/>
  <c r="D21" i="5"/>
  <c r="E21" i="5" s="1"/>
  <c r="D20" i="5"/>
  <c r="D19" i="5"/>
  <c r="D10" i="5"/>
  <c r="D11" i="5" s="1"/>
  <c r="F9" i="5"/>
  <c r="D8" i="5"/>
  <c r="H7" i="5"/>
  <c r="J7" i="5" s="1"/>
  <c r="L7" i="5" s="1"/>
  <c r="N7" i="5" s="1"/>
  <c r="P7" i="5" s="1"/>
  <c r="R7" i="5" s="1"/>
  <c r="T7" i="5" s="1"/>
  <c r="V7" i="5" s="1"/>
  <c r="H6" i="5"/>
  <c r="J6" i="5" s="1"/>
  <c r="L6" i="5" s="1"/>
  <c r="N6" i="5" s="1"/>
  <c r="P6" i="5" s="1"/>
  <c r="R6" i="5" s="1"/>
  <c r="T6" i="5" s="1"/>
  <c r="V6" i="5" s="1"/>
  <c r="D42" i="4"/>
  <c r="C50" i="5" s="1"/>
  <c r="D23" i="4"/>
  <c r="D21" i="4"/>
  <c r="H11" i="7" s="1"/>
  <c r="D16" i="4"/>
  <c r="D15" i="4"/>
  <c r="D4" i="12" s="1"/>
  <c r="D13" i="4"/>
  <c r="D6" i="11" s="1"/>
  <c r="D12" i="4"/>
  <c r="D11" i="4"/>
  <c r="D4" i="11" s="1"/>
  <c r="C9" i="4"/>
  <c r="D7" i="10" s="1"/>
  <c r="D7" i="4"/>
  <c r="D5" i="4"/>
  <c r="D22" i="4" s="1"/>
  <c r="D4" i="4"/>
  <c r="D49" i="6"/>
  <c r="D24" i="6"/>
  <c r="D14" i="6"/>
  <c r="V60" i="3"/>
  <c r="Y60" i="3" s="1"/>
  <c r="S60" i="3"/>
  <c r="J60" i="3"/>
  <c r="M60" i="3" s="1"/>
  <c r="P60" i="3" s="1"/>
  <c r="D56" i="3"/>
  <c r="J54" i="3"/>
  <c r="M54" i="3" s="1"/>
  <c r="P54" i="3" s="1"/>
  <c r="S54" i="3" s="1"/>
  <c r="V54" i="3" s="1"/>
  <c r="Y54" i="3" s="1"/>
  <c r="G54" i="3"/>
  <c r="G53" i="3"/>
  <c r="F45" i="3"/>
  <c r="G42" i="3"/>
  <c r="D42" i="3"/>
  <c r="B42" i="3"/>
  <c r="AK41" i="3"/>
  <c r="Q41" i="3"/>
  <c r="P41" i="3"/>
  <c r="S41" i="3" s="1"/>
  <c r="K41" i="3"/>
  <c r="G41" i="3"/>
  <c r="J41" i="3" s="1"/>
  <c r="M41" i="3" s="1"/>
  <c r="N41" i="3" s="1"/>
  <c r="E41" i="3"/>
  <c r="B41" i="3"/>
  <c r="AK40" i="3"/>
  <c r="J40" i="3"/>
  <c r="M40" i="3" s="1"/>
  <c r="H40" i="3"/>
  <c r="G40" i="3"/>
  <c r="E40" i="3"/>
  <c r="B40" i="3"/>
  <c r="V39" i="3"/>
  <c r="W39" i="3" s="1"/>
  <c r="Q39" i="3"/>
  <c r="N39" i="3"/>
  <c r="J39" i="3"/>
  <c r="M39" i="3" s="1"/>
  <c r="P39" i="3" s="1"/>
  <c r="S39" i="3" s="1"/>
  <c r="T39" i="3" s="1"/>
  <c r="H39" i="3"/>
  <c r="G39" i="3"/>
  <c r="E39" i="3"/>
  <c r="B39" i="3"/>
  <c r="M38" i="3"/>
  <c r="P38" i="3" s="1"/>
  <c r="K38" i="3"/>
  <c r="J38" i="3"/>
  <c r="H38" i="3"/>
  <c r="G38" i="3"/>
  <c r="E38" i="3"/>
  <c r="B38" i="3"/>
  <c r="L37" i="3"/>
  <c r="O37" i="3" s="1"/>
  <c r="R37" i="3" s="1"/>
  <c r="E37" i="3"/>
  <c r="B37" i="3"/>
  <c r="AK36" i="3"/>
  <c r="K36" i="3"/>
  <c r="J36" i="3"/>
  <c r="M36" i="3" s="1"/>
  <c r="G36" i="3"/>
  <c r="H36" i="3" s="1"/>
  <c r="E36" i="3"/>
  <c r="B36" i="3"/>
  <c r="K35" i="3"/>
  <c r="J35" i="3"/>
  <c r="M35" i="3" s="1"/>
  <c r="G35" i="3"/>
  <c r="H35" i="3" s="1"/>
  <c r="E35" i="3"/>
  <c r="B35" i="3"/>
  <c r="G34" i="3"/>
  <c r="H34" i="3" s="1"/>
  <c r="E34" i="3"/>
  <c r="B34" i="3"/>
  <c r="K33" i="3"/>
  <c r="J33" i="3"/>
  <c r="M33" i="3" s="1"/>
  <c r="H33" i="3"/>
  <c r="G33" i="3"/>
  <c r="E33" i="3"/>
  <c r="B33" i="3"/>
  <c r="J32" i="3"/>
  <c r="G32" i="3"/>
  <c r="H32" i="3" s="1"/>
  <c r="E32" i="3"/>
  <c r="B32" i="3"/>
  <c r="G31" i="3"/>
  <c r="E31" i="3"/>
  <c r="B31" i="3"/>
  <c r="J30" i="3"/>
  <c r="M30" i="3" s="1"/>
  <c r="H30" i="3"/>
  <c r="G30" i="3"/>
  <c r="E30" i="3"/>
  <c r="B30" i="3"/>
  <c r="J29" i="3"/>
  <c r="H29" i="3"/>
  <c r="G29" i="3"/>
  <c r="E29" i="3"/>
  <c r="B29" i="3"/>
  <c r="AB25" i="3"/>
  <c r="D15" i="5" s="1"/>
  <c r="G25" i="3"/>
  <c r="J25" i="3" s="1"/>
  <c r="M25" i="3" s="1"/>
  <c r="P25" i="3" s="1"/>
  <c r="S25" i="3" s="1"/>
  <c r="V25" i="3" s="1"/>
  <c r="Y25" i="3" s="1"/>
  <c r="D24" i="3"/>
  <c r="D26" i="3" s="1"/>
  <c r="F43" i="3" s="1"/>
  <c r="G23" i="3"/>
  <c r="F23" i="3"/>
  <c r="C28" i="4" s="1"/>
  <c r="E13" i="5" s="1"/>
  <c r="G22" i="3"/>
  <c r="G24" i="3" s="1"/>
  <c r="G26" i="3" s="1"/>
  <c r="F22" i="3"/>
  <c r="C27" i="4" s="1"/>
  <c r="E12" i="5" s="1"/>
  <c r="AB21" i="3"/>
  <c r="G21" i="3"/>
  <c r="D20" i="3"/>
  <c r="AE15" i="3"/>
  <c r="AD15" i="3"/>
  <c r="AG15" i="3" s="1"/>
  <c r="J15" i="3"/>
  <c r="M15" i="3" s="1"/>
  <c r="P15" i="3" s="1"/>
  <c r="S15" i="3" s="1"/>
  <c r="V15" i="3" s="1"/>
  <c r="Y15" i="3" s="1"/>
  <c r="G15" i="3"/>
  <c r="AH14" i="3"/>
  <c r="AF14" i="3"/>
  <c r="M14" i="3"/>
  <c r="J14" i="3"/>
  <c r="G14" i="3"/>
  <c r="D14" i="3"/>
  <c r="D20" i="4" s="1"/>
  <c r="L27" i="21" s="1"/>
  <c r="AH13" i="3"/>
  <c r="AF13" i="3"/>
  <c r="AH12" i="3"/>
  <c r="AF12" i="3"/>
  <c r="G12" i="3"/>
  <c r="J12" i="3" s="1"/>
  <c r="AH11" i="3"/>
  <c r="AF11" i="3"/>
  <c r="D11" i="3"/>
  <c r="AH10" i="3"/>
  <c r="AF10" i="3"/>
  <c r="P10" i="3"/>
  <c r="S10" i="3" s="1"/>
  <c r="M10" i="3"/>
  <c r="J10" i="3"/>
  <c r="G10" i="3"/>
  <c r="AH9" i="3"/>
  <c r="AF9" i="3"/>
  <c r="G9" i="3"/>
  <c r="D9" i="3"/>
  <c r="AH8" i="3"/>
  <c r="AH15" i="3" s="1"/>
  <c r="AF8" i="3"/>
  <c r="J8" i="3"/>
  <c r="M8" i="3" s="1"/>
  <c r="G8" i="3"/>
  <c r="D7" i="3"/>
  <c r="P6" i="3"/>
  <c r="S6" i="3" s="1"/>
  <c r="V6" i="3" s="1"/>
  <c r="Y6" i="3" s="1"/>
  <c r="G6" i="3"/>
  <c r="J6" i="3" s="1"/>
  <c r="M6" i="3" s="1"/>
  <c r="E42" i="21"/>
  <c r="K39" i="21"/>
  <c r="L32" i="21"/>
  <c r="F32" i="21"/>
  <c r="E32" i="21"/>
  <c r="D32" i="21"/>
  <c r="F31" i="21"/>
  <c r="E31" i="21"/>
  <c r="D31" i="21"/>
  <c r="L30" i="21"/>
  <c r="F30" i="21"/>
  <c r="E30" i="21"/>
  <c r="D30" i="21"/>
  <c r="F29" i="21"/>
  <c r="F28" i="21"/>
  <c r="E28" i="21"/>
  <c r="L13" i="21"/>
  <c r="K13" i="21"/>
  <c r="L7" i="21"/>
  <c r="L6" i="21"/>
  <c r="L5" i="21"/>
  <c r="B8" i="1"/>
  <c r="B6" i="1"/>
  <c r="B48" i="2"/>
  <c r="D46" i="2"/>
  <c r="D44" i="2"/>
  <c r="D42" i="2"/>
  <c r="D40" i="2"/>
  <c r="C14" i="2"/>
  <c r="D13" i="2"/>
  <c r="C13" i="2"/>
  <c r="D12" i="2"/>
  <c r="C10" i="2"/>
  <c r="D9" i="2"/>
  <c r="E9" i="2" s="1"/>
  <c r="C9" i="2"/>
  <c r="C8" i="2"/>
  <c r="C7" i="2"/>
  <c r="C6" i="2"/>
  <c r="C5" i="2"/>
  <c r="F31" i="5" l="1"/>
  <c r="G31" i="5" s="1"/>
  <c r="F24" i="5"/>
  <c r="F20" i="5"/>
  <c r="F25" i="5"/>
  <c r="E20" i="5"/>
  <c r="P22" i="10"/>
  <c r="F26" i="5"/>
  <c r="Q22" i="10"/>
  <c r="F21" i="5"/>
  <c r="D7" i="13"/>
  <c r="C18" i="13" s="1"/>
  <c r="F18" i="13" s="1"/>
  <c r="G18" i="13" s="1"/>
  <c r="F29" i="5"/>
  <c r="G29" i="5" s="1"/>
  <c r="F30" i="5"/>
  <c r="M22" i="10"/>
  <c r="K25" i="10"/>
  <c r="F39" i="3"/>
  <c r="F31" i="3"/>
  <c r="F29" i="3"/>
  <c r="L25" i="10"/>
  <c r="F41" i="3"/>
  <c r="F47" i="3"/>
  <c r="I25" i="10"/>
  <c r="L22" i="10"/>
  <c r="M25" i="10"/>
  <c r="O25" i="10"/>
  <c r="P25" i="10"/>
  <c r="Q25" i="10"/>
  <c r="D24" i="7"/>
  <c r="J22" i="10"/>
  <c r="K22" i="10"/>
  <c r="N25" i="10"/>
  <c r="C84" i="8"/>
  <c r="D84" i="8"/>
  <c r="I22" i="10"/>
  <c r="H25" i="10"/>
  <c r="J25" i="10"/>
  <c r="N22" i="10"/>
  <c r="O22" i="10"/>
  <c r="P8" i="3"/>
  <c r="AD23" i="3"/>
  <c r="M9" i="3"/>
  <c r="Q38" i="3"/>
  <c r="S38" i="3"/>
  <c r="T41" i="3"/>
  <c r="V41" i="3"/>
  <c r="L26" i="21"/>
  <c r="L25" i="21"/>
  <c r="L24" i="21"/>
  <c r="N35" i="3"/>
  <c r="P35" i="3"/>
  <c r="U37" i="3"/>
  <c r="P33" i="3"/>
  <c r="N33" i="3"/>
  <c r="I40" i="3"/>
  <c r="I42" i="3"/>
  <c r="I38" i="3"/>
  <c r="I47" i="3"/>
  <c r="I34" i="3"/>
  <c r="I41" i="3"/>
  <c r="G37" i="3"/>
  <c r="H37" i="3" s="1"/>
  <c r="I39" i="3"/>
  <c r="I43" i="3"/>
  <c r="I30" i="3"/>
  <c r="I29" i="3"/>
  <c r="I36" i="3"/>
  <c r="I35" i="3"/>
  <c r="I33" i="3"/>
  <c r="I32" i="3"/>
  <c r="I31" i="3"/>
  <c r="M12" i="3"/>
  <c r="G13" i="5"/>
  <c r="D13" i="5"/>
  <c r="D28" i="4" s="1"/>
  <c r="V10" i="3"/>
  <c r="P30" i="3"/>
  <c r="N30" i="3"/>
  <c r="G12" i="5"/>
  <c r="D12" i="5"/>
  <c r="D27" i="4" s="1"/>
  <c r="P36" i="3"/>
  <c r="N36" i="3"/>
  <c r="E4" i="17"/>
  <c r="F4" i="17"/>
  <c r="E8" i="17"/>
  <c r="F8" i="17"/>
  <c r="B16" i="14"/>
  <c r="B38" i="19"/>
  <c r="B193" i="16"/>
  <c r="B381" i="13"/>
  <c r="B381" i="12"/>
  <c r="B381" i="11"/>
  <c r="B117" i="9"/>
  <c r="B182" i="8"/>
  <c r="B37" i="10"/>
  <c r="B59" i="6"/>
  <c r="B53" i="4"/>
  <c r="B46" i="21"/>
  <c r="B32" i="7"/>
  <c r="G7" i="3"/>
  <c r="J34" i="3"/>
  <c r="H42" i="3"/>
  <c r="J42" i="3"/>
  <c r="B63" i="3"/>
  <c r="C60" i="5"/>
  <c r="B162" i="8"/>
  <c r="B173" i="8"/>
  <c r="M32" i="3"/>
  <c r="K32" i="3"/>
  <c r="D5" i="12"/>
  <c r="B18" i="12" s="1"/>
  <c r="C12" i="12"/>
  <c r="H16" i="10" s="1"/>
  <c r="C13" i="12"/>
  <c r="H17" i="10" s="1"/>
  <c r="C14" i="12"/>
  <c r="H19" i="10" s="1"/>
  <c r="I15" i="10" s="1"/>
  <c r="D12" i="12"/>
  <c r="I16" i="10" s="1"/>
  <c r="F10" i="5"/>
  <c r="D26" i="4"/>
  <c r="G20" i="5"/>
  <c r="H20" i="5"/>
  <c r="G24" i="5"/>
  <c r="H24" i="5"/>
  <c r="J9" i="3"/>
  <c r="K30" i="3"/>
  <c r="N38" i="3"/>
  <c r="K40" i="3"/>
  <c r="J53" i="3"/>
  <c r="M53" i="3" s="1"/>
  <c r="P53" i="3" s="1"/>
  <c r="S53" i="3" s="1"/>
  <c r="V53" i="3" s="1"/>
  <c r="Y53" i="3" s="1"/>
  <c r="E6" i="9"/>
  <c r="F138" i="8"/>
  <c r="C5" i="8"/>
  <c r="K40" i="21"/>
  <c r="B64" i="5"/>
  <c r="C8" i="10"/>
  <c r="E41" i="21"/>
  <c r="D9" i="6"/>
  <c r="M29" i="3"/>
  <c r="K29" i="3"/>
  <c r="P40" i="3"/>
  <c r="N40" i="3"/>
  <c r="D25" i="4"/>
  <c r="D39" i="4" s="1"/>
  <c r="K18" i="21"/>
  <c r="G43" i="3"/>
  <c r="F6" i="17"/>
  <c r="E6" i="17"/>
  <c r="G25" i="5"/>
  <c r="H25" i="5"/>
  <c r="H31" i="5"/>
  <c r="E25" i="5"/>
  <c r="P14" i="3"/>
  <c r="F36" i="3"/>
  <c r="F30" i="3"/>
  <c r="F42" i="3"/>
  <c r="F40" i="3"/>
  <c r="F38" i="3"/>
  <c r="K16" i="21"/>
  <c r="F25" i="21"/>
  <c r="F32" i="3"/>
  <c r="F33" i="3"/>
  <c r="F34" i="3"/>
  <c r="F35" i="3"/>
  <c r="F37" i="3"/>
  <c r="E27" i="5" s="1"/>
  <c r="Y39" i="3"/>
  <c r="Z39" i="3" s="1"/>
  <c r="H41" i="3"/>
  <c r="F7" i="17"/>
  <c r="E7" i="17"/>
  <c r="F15" i="5"/>
  <c r="H15" i="5" s="1"/>
  <c r="J15" i="5" s="1"/>
  <c r="L15" i="5" s="1"/>
  <c r="N15" i="5" s="1"/>
  <c r="P15" i="5" s="1"/>
  <c r="R15" i="5" s="1"/>
  <c r="T15" i="5" s="1"/>
  <c r="V15" i="5" s="1"/>
  <c r="D30" i="4"/>
  <c r="G30" i="5"/>
  <c r="H30" i="5"/>
  <c r="D6" i="4"/>
  <c r="D13" i="3"/>
  <c r="D52" i="3" s="1"/>
  <c r="D57" i="3" s="1"/>
  <c r="AF15" i="3"/>
  <c r="G20" i="3"/>
  <c r="J21" i="3"/>
  <c r="J31" i="3"/>
  <c r="H31" i="3"/>
  <c r="K39" i="3"/>
  <c r="D43" i="3"/>
  <c r="D47" i="3" s="1"/>
  <c r="AB47" i="3" s="1"/>
  <c r="D32" i="5"/>
  <c r="E42" i="3"/>
  <c r="E43" i="3" s="1"/>
  <c r="E30" i="5"/>
  <c r="E11" i="17"/>
  <c r="D11" i="17"/>
  <c r="C11" i="17"/>
  <c r="C12" i="2" s="1"/>
  <c r="D10" i="17"/>
  <c r="C10" i="17"/>
  <c r="C11" i="2" s="1"/>
  <c r="E10" i="17" s="1"/>
  <c r="F22" i="5"/>
  <c r="D9" i="8"/>
  <c r="E4" i="8"/>
  <c r="D3" i="8"/>
  <c r="B164" i="8"/>
  <c r="B175" i="8"/>
  <c r="B178" i="8"/>
  <c r="B174" i="8"/>
  <c r="B163" i="8"/>
  <c r="G95" i="9"/>
  <c r="B165" i="8"/>
  <c r="B176" i="8"/>
  <c r="I7" i="9"/>
  <c r="I64" i="9"/>
  <c r="D9" i="4"/>
  <c r="E19" i="5"/>
  <c r="E24" i="5"/>
  <c r="E29" i="5"/>
  <c r="I12" i="9"/>
  <c r="I69" i="9"/>
  <c r="C82" i="8"/>
  <c r="B160" i="8"/>
  <c r="B171" i="8"/>
  <c r="D10" i="4"/>
  <c r="H9" i="5"/>
  <c r="F19" i="5"/>
  <c r="D10" i="8"/>
  <c r="D27" i="8"/>
  <c r="F8" i="5"/>
  <c r="D26" i="8"/>
  <c r="B177" i="8"/>
  <c r="B166" i="8"/>
  <c r="E78" i="8"/>
  <c r="F23" i="5"/>
  <c r="F28" i="5"/>
  <c r="D15" i="6"/>
  <c r="D5" i="11"/>
  <c r="B18" i="11" s="1"/>
  <c r="E9" i="17"/>
  <c r="F9" i="17"/>
  <c r="G91" i="9"/>
  <c r="J90" i="9"/>
  <c r="E97" i="8"/>
  <c r="B132" i="8"/>
  <c r="F91" i="8"/>
  <c r="B99" i="9"/>
  <c r="K5" i="10"/>
  <c r="B136" i="8"/>
  <c r="B141" i="8"/>
  <c r="B151" i="8" s="1"/>
  <c r="B137" i="8"/>
  <c r="B37" i="9"/>
  <c r="G33" i="9"/>
  <c r="E11" i="11"/>
  <c r="D13" i="12"/>
  <c r="I17" i="10" s="1"/>
  <c r="E11" i="12"/>
  <c r="D14" i="12"/>
  <c r="I19" i="10" s="1"/>
  <c r="J15" i="10" s="1"/>
  <c r="E11" i="13"/>
  <c r="B19" i="13"/>
  <c r="D18" i="13"/>
  <c r="E18" i="13"/>
  <c r="E17" i="19"/>
  <c r="E30" i="19"/>
  <c r="E33" i="19" s="1"/>
  <c r="F5" i="17"/>
  <c r="E5" i="17"/>
  <c r="G21" i="5" l="1"/>
  <c r="H21" i="5"/>
  <c r="G26" i="5"/>
  <c r="H26" i="5"/>
  <c r="H29" i="5"/>
  <c r="H18" i="13"/>
  <c r="D19" i="13" s="1"/>
  <c r="D27" i="7"/>
  <c r="D28" i="7"/>
  <c r="I18" i="10"/>
  <c r="H18" i="10"/>
  <c r="F11" i="13"/>
  <c r="G92" i="9"/>
  <c r="J91" i="9"/>
  <c r="I45" i="3"/>
  <c r="G45" i="3" s="1"/>
  <c r="G47" i="3" s="1"/>
  <c r="G49" i="3" s="1"/>
  <c r="H10" i="5"/>
  <c r="F11" i="5"/>
  <c r="F13" i="5" s="1"/>
  <c r="G96" i="9"/>
  <c r="J95" i="9"/>
  <c r="E13" i="12"/>
  <c r="J17" i="10" s="1"/>
  <c r="E14" i="12"/>
  <c r="J19" i="10" s="1"/>
  <c r="K15" i="10" s="1"/>
  <c r="F11" i="12"/>
  <c r="E12" i="12"/>
  <c r="J16" i="10" s="1"/>
  <c r="K4" i="10"/>
  <c r="L5" i="10"/>
  <c r="J29" i="5"/>
  <c r="I29" i="5"/>
  <c r="D131" i="8"/>
  <c r="E131" i="8" s="1"/>
  <c r="E172" i="8" s="1"/>
  <c r="D134" i="8"/>
  <c r="E134" i="8" s="1"/>
  <c r="E175" i="8" s="1"/>
  <c r="D137" i="8"/>
  <c r="E137" i="8" s="1"/>
  <c r="E178" i="8" s="1"/>
  <c r="D75" i="8" s="1"/>
  <c r="F130" i="8"/>
  <c r="D133" i="8"/>
  <c r="E133" i="8" s="1"/>
  <c r="E174" i="8" s="1"/>
  <c r="D52" i="8" s="1"/>
  <c r="D130" i="8"/>
  <c r="D132" i="8"/>
  <c r="E132" i="8" s="1"/>
  <c r="E173" i="8" s="1"/>
  <c r="D45" i="8" s="1"/>
  <c r="D135" i="8"/>
  <c r="E135" i="8" s="1"/>
  <c r="E176" i="8" s="1"/>
  <c r="D63" i="8" s="1"/>
  <c r="D136" i="8"/>
  <c r="E136" i="8" s="1"/>
  <c r="E177" i="8" s="1"/>
  <c r="D70" i="8" s="1"/>
  <c r="J24" i="5"/>
  <c r="I24" i="5"/>
  <c r="B42" i="9"/>
  <c r="H37" i="9"/>
  <c r="F37" i="9"/>
  <c r="G23" i="5"/>
  <c r="H23" i="5"/>
  <c r="S14" i="3"/>
  <c r="B172" i="8"/>
  <c r="B161" i="8"/>
  <c r="D6" i="6"/>
  <c r="F24" i="21"/>
  <c r="D82" i="8"/>
  <c r="H69" i="9" s="1"/>
  <c r="S40" i="3"/>
  <c r="Q40" i="3"/>
  <c r="E57" i="9"/>
  <c r="E63" i="9"/>
  <c r="J58" i="9"/>
  <c r="J6" i="9"/>
  <c r="G6" i="9"/>
  <c r="B19" i="12"/>
  <c r="H18" i="12"/>
  <c r="G18" i="12"/>
  <c r="F18" i="12"/>
  <c r="E18" i="12"/>
  <c r="D18" i="12"/>
  <c r="C18" i="12"/>
  <c r="K34" i="3"/>
  <c r="M34" i="3"/>
  <c r="I13" i="5"/>
  <c r="H7" i="10"/>
  <c r="H8" i="10" s="1"/>
  <c r="H29" i="10" s="1"/>
  <c r="L141" i="8"/>
  <c r="L142" i="8" s="1"/>
  <c r="D3" i="11"/>
  <c r="H17" i="11" s="1"/>
  <c r="D18" i="11" s="1"/>
  <c r="E18" i="11" s="1"/>
  <c r="K38" i="21"/>
  <c r="K41" i="21" s="1"/>
  <c r="D28" i="21"/>
  <c r="D23" i="6"/>
  <c r="D25" i="6" s="1"/>
  <c r="D14" i="2"/>
  <c r="D5" i="6"/>
  <c r="E34" i="19"/>
  <c r="E35" i="19" s="1"/>
  <c r="F78" i="8"/>
  <c r="H64" i="9"/>
  <c r="G22" i="5"/>
  <c r="H22" i="5"/>
  <c r="C7" i="10"/>
  <c r="E38" i="21"/>
  <c r="D38" i="4"/>
  <c r="D5" i="2" s="1"/>
  <c r="D19" i="4"/>
  <c r="D47" i="4"/>
  <c r="D8" i="4"/>
  <c r="E29" i="21"/>
  <c r="D18" i="4"/>
  <c r="D29" i="21"/>
  <c r="L4" i="21"/>
  <c r="C18" i="4"/>
  <c r="D4" i="6"/>
  <c r="B104" i="9"/>
  <c r="F99" i="9"/>
  <c r="F11" i="11"/>
  <c r="G91" i="8"/>
  <c r="F97" i="8"/>
  <c r="B19" i="11"/>
  <c r="H43" i="3"/>
  <c r="J25" i="5"/>
  <c r="I25" i="5"/>
  <c r="J7" i="3"/>
  <c r="G11" i="3"/>
  <c r="G13" i="3" s="1"/>
  <c r="G52" i="3" s="1"/>
  <c r="G57" i="3" s="1"/>
  <c r="G56" i="3"/>
  <c r="P12" i="3"/>
  <c r="Q33" i="3"/>
  <c r="S33" i="3"/>
  <c r="W41" i="3"/>
  <c r="Y41" i="3"/>
  <c r="Z41" i="3" s="1"/>
  <c r="D39" i="8"/>
  <c r="D57" i="8"/>
  <c r="G19" i="5"/>
  <c r="H19" i="5"/>
  <c r="K31" i="3"/>
  <c r="M31" i="3"/>
  <c r="G27" i="5"/>
  <c r="D49" i="3"/>
  <c r="N29" i="3"/>
  <c r="P29" i="3"/>
  <c r="J20" i="5"/>
  <c r="I20" i="5"/>
  <c r="N32" i="3"/>
  <c r="P32" i="3"/>
  <c r="Q36" i="3"/>
  <c r="S36" i="3"/>
  <c r="C19" i="13"/>
  <c r="B20" i="13"/>
  <c r="J33" i="9"/>
  <c r="G34" i="9"/>
  <c r="J20" i="3"/>
  <c r="J22" i="3"/>
  <c r="J24" i="3" s="1"/>
  <c r="J26" i="3" s="1"/>
  <c r="J23" i="3"/>
  <c r="M21" i="3"/>
  <c r="X37" i="3"/>
  <c r="E27" i="8"/>
  <c r="E26" i="8"/>
  <c r="E10" i="8"/>
  <c r="E12" i="8"/>
  <c r="E9" i="8"/>
  <c r="E13" i="8"/>
  <c r="E84" i="8" s="1"/>
  <c r="F4" i="8"/>
  <c r="E3" i="8"/>
  <c r="I12" i="5"/>
  <c r="T38" i="3"/>
  <c r="V38" i="3"/>
  <c r="G28" i="5"/>
  <c r="H28" i="5"/>
  <c r="E8" i="10"/>
  <c r="E13" i="10" s="1"/>
  <c r="Q30" i="3"/>
  <c r="S30" i="3"/>
  <c r="S35" i="3"/>
  <c r="Q35" i="3"/>
  <c r="D14" i="5"/>
  <c r="AF42" i="3"/>
  <c r="AK42" i="3" s="1"/>
  <c r="AH42" i="3"/>
  <c r="AH34" i="3"/>
  <c r="AF31" i="3"/>
  <c r="AK31" i="3" s="1"/>
  <c r="AF33" i="3"/>
  <c r="AK33" i="3" s="1"/>
  <c r="AH35" i="3"/>
  <c r="AH29" i="3"/>
  <c r="AF35" i="3"/>
  <c r="AH31" i="3"/>
  <c r="AF30" i="3"/>
  <c r="AK30" i="3" s="1"/>
  <c r="AH37" i="3"/>
  <c r="AF34" i="3"/>
  <c r="AK34" i="3" s="1"/>
  <c r="AF32" i="3"/>
  <c r="AK32" i="3" s="1"/>
  <c r="J9" i="5"/>
  <c r="H8" i="5"/>
  <c r="E32" i="5"/>
  <c r="F32" i="5"/>
  <c r="D11" i="2"/>
  <c r="F10" i="17" s="1"/>
  <c r="J30" i="5"/>
  <c r="I30" i="5"/>
  <c r="J31" i="5"/>
  <c r="I31" i="5"/>
  <c r="E93" i="8"/>
  <c r="N19" i="8"/>
  <c r="D93" i="8"/>
  <c r="D99" i="8" s="1"/>
  <c r="N89" i="8"/>
  <c r="F19" i="21" s="1"/>
  <c r="C93" i="8"/>
  <c r="L93" i="8"/>
  <c r="K93" i="8"/>
  <c r="J93" i="8"/>
  <c r="H93" i="8"/>
  <c r="N85" i="8"/>
  <c r="G93" i="8"/>
  <c r="F93" i="8"/>
  <c r="C7" i="8"/>
  <c r="D53" i="5"/>
  <c r="I93" i="8"/>
  <c r="C80" i="8"/>
  <c r="N15" i="8"/>
  <c r="D49" i="4" s="1"/>
  <c r="C14" i="8"/>
  <c r="D5" i="8" s="1"/>
  <c r="M42" i="3"/>
  <c r="K42" i="3"/>
  <c r="Y10" i="3"/>
  <c r="S8" i="3"/>
  <c r="P9" i="3"/>
  <c r="F12" i="5" l="1"/>
  <c r="F14" i="5" s="1"/>
  <c r="F16" i="5" s="1"/>
  <c r="F27" i="5" s="1"/>
  <c r="I26" i="5"/>
  <c r="J26" i="5"/>
  <c r="J21" i="5"/>
  <c r="I21" i="5"/>
  <c r="D7" i="11"/>
  <c r="D44" i="6" s="1"/>
  <c r="D45" i="6" s="1"/>
  <c r="D64" i="8"/>
  <c r="D46" i="8"/>
  <c r="D69" i="8"/>
  <c r="J18" i="10"/>
  <c r="L47" i="3"/>
  <c r="L41" i="3"/>
  <c r="L35" i="3"/>
  <c r="L43" i="3"/>
  <c r="L34" i="3"/>
  <c r="L40" i="3"/>
  <c r="L30" i="3"/>
  <c r="L42" i="3"/>
  <c r="L32" i="3"/>
  <c r="L36" i="3"/>
  <c r="L33" i="3"/>
  <c r="L29" i="3"/>
  <c r="L38" i="3"/>
  <c r="L31" i="3"/>
  <c r="L39" i="3"/>
  <c r="J37" i="3"/>
  <c r="G61" i="3"/>
  <c r="G55" i="3"/>
  <c r="J8" i="5"/>
  <c r="L9" i="5"/>
  <c r="F26" i="8"/>
  <c r="F10" i="8"/>
  <c r="F27" i="8"/>
  <c r="F12" i="8"/>
  <c r="F9" i="8"/>
  <c r="F13" i="8"/>
  <c r="F3" i="8"/>
  <c r="G4" i="8"/>
  <c r="D46" i="5"/>
  <c r="D47" i="5" s="1"/>
  <c r="D55" i="5"/>
  <c r="G32" i="5"/>
  <c r="H32" i="5"/>
  <c r="C95" i="8"/>
  <c r="C8" i="8"/>
  <c r="K17" i="21"/>
  <c r="N105" i="8"/>
  <c r="D51" i="4"/>
  <c r="F13" i="21"/>
  <c r="J28" i="5"/>
  <c r="I28" i="5"/>
  <c r="I17" i="9"/>
  <c r="I74" i="9"/>
  <c r="Y16" i="3"/>
  <c r="S16" i="3"/>
  <c r="V16" i="3"/>
  <c r="P16" i="3"/>
  <c r="M16" i="3"/>
  <c r="G16" i="3"/>
  <c r="G17" i="3" s="1"/>
  <c r="J16" i="3"/>
  <c r="J17" i="3" s="1"/>
  <c r="D16" i="3"/>
  <c r="D17" i="3" s="1"/>
  <c r="E39" i="21"/>
  <c r="E43" i="21" s="1"/>
  <c r="L38" i="21"/>
  <c r="L41" i="21"/>
  <c r="L40" i="21"/>
  <c r="L39" i="21"/>
  <c r="J23" i="5"/>
  <c r="I23" i="5"/>
  <c r="D138" i="8"/>
  <c r="E130" i="8"/>
  <c r="D29" i="4"/>
  <c r="D16" i="5"/>
  <c r="W38" i="3"/>
  <c r="Y38" i="3"/>
  <c r="Z38" i="3" s="1"/>
  <c r="P21" i="3"/>
  <c r="M22" i="3"/>
  <c r="M24" i="3" s="1"/>
  <c r="M26" i="3" s="1"/>
  <c r="M20" i="3"/>
  <c r="M23" i="3"/>
  <c r="P42" i="3"/>
  <c r="N42" i="3"/>
  <c r="AA37" i="3"/>
  <c r="C20" i="13"/>
  <c r="B21" i="13"/>
  <c r="J19" i="5"/>
  <c r="I19" i="5"/>
  <c r="G11" i="11"/>
  <c r="V40" i="3"/>
  <c r="T40" i="3"/>
  <c r="F174" i="8"/>
  <c r="L49" i="8"/>
  <c r="I49" i="8"/>
  <c r="H49" i="8"/>
  <c r="F49" i="8"/>
  <c r="E49" i="8"/>
  <c r="D49" i="8"/>
  <c r="C51" i="8"/>
  <c r="K49" i="8"/>
  <c r="J49" i="8"/>
  <c r="G49" i="8"/>
  <c r="C52" i="8"/>
  <c r="G38" i="9"/>
  <c r="F13" i="12"/>
  <c r="K17" i="10" s="1"/>
  <c r="F14" i="12"/>
  <c r="K19" i="10" s="1"/>
  <c r="L15" i="10" s="1"/>
  <c r="G11" i="12"/>
  <c r="F12" i="12"/>
  <c r="K16" i="10" s="1"/>
  <c r="B20" i="11"/>
  <c r="C19" i="11"/>
  <c r="L31" i="5"/>
  <c r="K31" i="5"/>
  <c r="G100" i="9"/>
  <c r="F73" i="8"/>
  <c r="E73" i="8"/>
  <c r="F178" i="8"/>
  <c r="L73" i="8"/>
  <c r="K73" i="8"/>
  <c r="I73" i="8"/>
  <c r="H73" i="8"/>
  <c r="J73" i="8"/>
  <c r="G73" i="8"/>
  <c r="D73" i="8"/>
  <c r="C76" i="8"/>
  <c r="C75" i="8"/>
  <c r="J92" i="9"/>
  <c r="S29" i="3"/>
  <c r="Q29" i="3"/>
  <c r="C24" i="8"/>
  <c r="E40" i="21"/>
  <c r="D8" i="6"/>
  <c r="F19" i="12"/>
  <c r="E19" i="12"/>
  <c r="D19" i="12"/>
  <c r="C19" i="12"/>
  <c r="B20" i="12"/>
  <c r="H19" i="12"/>
  <c r="G19" i="12"/>
  <c r="H42" i="9"/>
  <c r="F42" i="9"/>
  <c r="B47" i="9"/>
  <c r="J55" i="8"/>
  <c r="I55" i="8"/>
  <c r="F175" i="8"/>
  <c r="H55" i="8"/>
  <c r="C58" i="8"/>
  <c r="G55" i="8"/>
  <c r="F55" i="8"/>
  <c r="E55" i="8"/>
  <c r="D55" i="8"/>
  <c r="L55" i="8"/>
  <c r="C57" i="8"/>
  <c r="K55" i="8"/>
  <c r="J56" i="3"/>
  <c r="M7" i="3"/>
  <c r="J11" i="3"/>
  <c r="J13" i="3" s="1"/>
  <c r="J52" i="3" s="1"/>
  <c r="J57" i="3" s="1"/>
  <c r="G78" i="8"/>
  <c r="D14" i="8"/>
  <c r="E5" i="8" s="1"/>
  <c r="F53" i="5"/>
  <c r="D7" i="8"/>
  <c r="D80" i="8"/>
  <c r="D81" i="8" s="1"/>
  <c r="E19" i="13"/>
  <c r="F19" i="13"/>
  <c r="T33" i="3"/>
  <c r="V33" i="3"/>
  <c r="L25" i="5"/>
  <c r="K25" i="5"/>
  <c r="E12" i="2"/>
  <c r="F21" i="4" s="1"/>
  <c r="E11" i="2"/>
  <c r="E13" i="2"/>
  <c r="E14" i="2"/>
  <c r="F10" i="4" s="1"/>
  <c r="E5" i="2"/>
  <c r="F38" i="4" s="1"/>
  <c r="D76" i="8"/>
  <c r="J37" i="8"/>
  <c r="G37" i="8"/>
  <c r="F172" i="8"/>
  <c r="C39" i="8"/>
  <c r="L37" i="8"/>
  <c r="K37" i="8"/>
  <c r="I37" i="8"/>
  <c r="H37" i="8"/>
  <c r="F37" i="8"/>
  <c r="E37" i="8"/>
  <c r="D37" i="8"/>
  <c r="C40" i="8"/>
  <c r="G11" i="13"/>
  <c r="AK35" i="3"/>
  <c r="AE35" i="3"/>
  <c r="V35" i="3"/>
  <c r="T35" i="3"/>
  <c r="F104" i="9"/>
  <c r="B109" i="9"/>
  <c r="F109" i="9" s="1"/>
  <c r="K13" i="5"/>
  <c r="T30" i="3"/>
  <c r="V30" i="3"/>
  <c r="K12" i="5"/>
  <c r="E39" i="8"/>
  <c r="E45" i="8"/>
  <c r="E69" i="8"/>
  <c r="E63" i="8"/>
  <c r="E51" i="8"/>
  <c r="E75" i="8"/>
  <c r="E57" i="8"/>
  <c r="C81" i="8"/>
  <c r="L30" i="5"/>
  <c r="K30" i="5"/>
  <c r="D55" i="3"/>
  <c r="D61" i="3"/>
  <c r="D51" i="8"/>
  <c r="D28" i="6"/>
  <c r="D35" i="6" s="1"/>
  <c r="D51" i="6" s="1"/>
  <c r="D31" i="6"/>
  <c r="P34" i="3"/>
  <c r="N34" i="3"/>
  <c r="D58" i="8"/>
  <c r="L24" i="5"/>
  <c r="K24" i="5"/>
  <c r="E82" i="8"/>
  <c r="H74" i="9" s="1"/>
  <c r="L20" i="5"/>
  <c r="K20" i="5"/>
  <c r="S9" i="3"/>
  <c r="V8" i="3"/>
  <c r="C99" i="8"/>
  <c r="C100" i="8" s="1"/>
  <c r="D92" i="8" s="1"/>
  <c r="D100" i="8" s="1"/>
  <c r="E92" i="8" s="1"/>
  <c r="J34" i="9"/>
  <c r="G35" i="9"/>
  <c r="V36" i="3"/>
  <c r="T36" i="3"/>
  <c r="S12" i="3"/>
  <c r="E7" i="10"/>
  <c r="E10" i="10" s="1"/>
  <c r="N17" i="8"/>
  <c r="N103" i="8"/>
  <c r="E67" i="8"/>
  <c r="L67" i="8"/>
  <c r="K67" i="8"/>
  <c r="F177" i="8"/>
  <c r="G67" i="8"/>
  <c r="J67" i="8"/>
  <c r="I67" i="8"/>
  <c r="H67" i="8"/>
  <c r="F67" i="8"/>
  <c r="D67" i="8"/>
  <c r="C70" i="8"/>
  <c r="C69" i="8"/>
  <c r="L29" i="5"/>
  <c r="K29" i="5"/>
  <c r="J96" i="9"/>
  <c r="G97" i="9"/>
  <c r="E99" i="8"/>
  <c r="I27" i="5"/>
  <c r="H91" i="8"/>
  <c r="J22" i="5"/>
  <c r="I22" i="5"/>
  <c r="J115" i="9"/>
  <c r="N87" i="8" s="1"/>
  <c r="F18" i="21" s="1"/>
  <c r="J63" i="9"/>
  <c r="G63" i="9"/>
  <c r="E114" i="9"/>
  <c r="D61" i="8"/>
  <c r="F176" i="8"/>
  <c r="K61" i="8"/>
  <c r="J61" i="8"/>
  <c r="F61" i="8"/>
  <c r="L61" i="8"/>
  <c r="I61" i="8"/>
  <c r="H61" i="8"/>
  <c r="G61" i="8"/>
  <c r="E61" i="8"/>
  <c r="C64" i="8"/>
  <c r="C63" i="8"/>
  <c r="E46" i="8"/>
  <c r="E52" i="8"/>
  <c r="E76" i="8"/>
  <c r="E40" i="8"/>
  <c r="E70" i="8"/>
  <c r="E64" i="8"/>
  <c r="E58" i="8"/>
  <c r="S32" i="3"/>
  <c r="Q32" i="3"/>
  <c r="P31" i="3"/>
  <c r="N31" i="3"/>
  <c r="C18" i="11"/>
  <c r="V14" i="3"/>
  <c r="D40" i="8"/>
  <c r="K43" i="8"/>
  <c r="H43" i="8"/>
  <c r="F173" i="8"/>
  <c r="F43" i="8"/>
  <c r="E43" i="8"/>
  <c r="D43" i="8"/>
  <c r="C45" i="8"/>
  <c r="L43" i="8"/>
  <c r="J43" i="8"/>
  <c r="I43" i="8"/>
  <c r="G43" i="8"/>
  <c r="C46" i="8"/>
  <c r="L4" i="10"/>
  <c r="M5" i="10"/>
  <c r="J10" i="5"/>
  <c r="H11" i="5"/>
  <c r="H12" i="5" s="1"/>
  <c r="K21" i="5" l="1"/>
  <c r="L21" i="5"/>
  <c r="L26" i="5"/>
  <c r="K26" i="5"/>
  <c r="E12" i="10"/>
  <c r="F82" i="8"/>
  <c r="C9" i="10"/>
  <c r="E15" i="10"/>
  <c r="D7" i="6"/>
  <c r="D10" i="6" s="1"/>
  <c r="O43" i="3"/>
  <c r="O36" i="3"/>
  <c r="O33" i="3"/>
  <c r="O39" i="3"/>
  <c r="O35" i="3"/>
  <c r="AD24" i="3"/>
  <c r="AF37" i="3" s="1"/>
  <c r="AK37" i="3" s="1"/>
  <c r="O41" i="3"/>
  <c r="O47" i="3"/>
  <c r="O30" i="3"/>
  <c r="O42" i="3"/>
  <c r="O40" i="3"/>
  <c r="O38" i="3"/>
  <c r="O31" i="3"/>
  <c r="O29" i="3"/>
  <c r="O34" i="3"/>
  <c r="O32" i="3"/>
  <c r="M37" i="3"/>
  <c r="J35" i="9"/>
  <c r="N24" i="5"/>
  <c r="M24" i="5"/>
  <c r="E100" i="8"/>
  <c r="F92" i="8" s="1"/>
  <c r="E20" i="12"/>
  <c r="D20" i="12"/>
  <c r="C20" i="12"/>
  <c r="B21" i="12"/>
  <c r="H20" i="12"/>
  <c r="G20" i="12"/>
  <c r="F20" i="12"/>
  <c r="P23" i="3"/>
  <c r="S21" i="3"/>
  <c r="P22" i="3"/>
  <c r="P24" i="3" s="1"/>
  <c r="P26" i="3" s="1"/>
  <c r="P20" i="3"/>
  <c r="G12" i="8"/>
  <c r="G3" i="8"/>
  <c r="H4" i="8"/>
  <c r="J97" i="9"/>
  <c r="F41" i="21"/>
  <c r="F40" i="21"/>
  <c r="F39" i="21"/>
  <c r="F43" i="21"/>
  <c r="F42" i="21"/>
  <c r="F38" i="21"/>
  <c r="W30" i="3"/>
  <c r="Y30" i="3"/>
  <c r="Z30" i="3" s="1"/>
  <c r="H11" i="13"/>
  <c r="M4" i="10"/>
  <c r="N5" i="10"/>
  <c r="D95" i="8"/>
  <c r="D8" i="8"/>
  <c r="G39" i="9"/>
  <c r="J38" i="9"/>
  <c r="C96" i="8"/>
  <c r="D56" i="5"/>
  <c r="S31" i="3"/>
  <c r="Q31" i="3"/>
  <c r="V12" i="3"/>
  <c r="N20" i="5"/>
  <c r="M20" i="5"/>
  <c r="H13" i="5"/>
  <c r="H14" i="5" s="1"/>
  <c r="H16" i="5" s="1"/>
  <c r="F55" i="5"/>
  <c r="F46" i="5"/>
  <c r="F47" i="5" s="1"/>
  <c r="L19" i="5"/>
  <c r="K19" i="5"/>
  <c r="D31" i="4"/>
  <c r="D27" i="5"/>
  <c r="D33" i="5" s="1"/>
  <c r="F33" i="5" s="1"/>
  <c r="F45" i="8"/>
  <c r="F51" i="8"/>
  <c r="F75" i="8"/>
  <c r="F69" i="8"/>
  <c r="F63" i="8"/>
  <c r="F57" i="8"/>
  <c r="F39" i="8"/>
  <c r="Y8" i="3"/>
  <c r="Y9" i="3" s="1"/>
  <c r="V9" i="3"/>
  <c r="S34" i="3"/>
  <c r="Q34" i="3"/>
  <c r="M13" i="5"/>
  <c r="E14" i="8"/>
  <c r="F5" i="8" s="1"/>
  <c r="E80" i="8"/>
  <c r="E7" i="8"/>
  <c r="H53" i="5"/>
  <c r="H47" i="9"/>
  <c r="F47" i="9"/>
  <c r="B52" i="9"/>
  <c r="F84" i="8"/>
  <c r="F99" i="8" s="1"/>
  <c r="J11" i="5"/>
  <c r="J12" i="5" s="1"/>
  <c r="L10" i="5"/>
  <c r="F18" i="11"/>
  <c r="G110" i="9"/>
  <c r="N25" i="5"/>
  <c r="M25" i="5"/>
  <c r="H78" i="8"/>
  <c r="G43" i="9"/>
  <c r="G101" i="9"/>
  <c r="J100" i="9"/>
  <c r="Q42" i="3"/>
  <c r="S42" i="3"/>
  <c r="E171" i="8"/>
  <c r="C31" i="8" s="1"/>
  <c r="E169" i="8"/>
  <c r="J32" i="5"/>
  <c r="I32" i="5"/>
  <c r="L22" i="5"/>
  <c r="K22" i="5"/>
  <c r="N29" i="5"/>
  <c r="M29" i="5"/>
  <c r="V32" i="3"/>
  <c r="T32" i="3"/>
  <c r="I91" i="8"/>
  <c r="H92" i="8"/>
  <c r="H97" i="8"/>
  <c r="Y40" i="3"/>
  <c r="Z40" i="3" s="1"/>
  <c r="W40" i="3"/>
  <c r="I79" i="9"/>
  <c r="I22" i="9"/>
  <c r="G105" i="9"/>
  <c r="Y33" i="3"/>
  <c r="Z33" i="3" s="1"/>
  <c r="W33" i="3"/>
  <c r="C55" i="8"/>
  <c r="C73" i="8"/>
  <c r="C49" i="8"/>
  <c r="C43" i="8"/>
  <c r="M24" i="8"/>
  <c r="C67" i="8"/>
  <c r="C61" i="8"/>
  <c r="C37" i="8"/>
  <c r="C20" i="11"/>
  <c r="B21" i="11"/>
  <c r="L28" i="5"/>
  <c r="K28" i="5"/>
  <c r="F52" i="8"/>
  <c r="F58" i="8"/>
  <c r="F76" i="8"/>
  <c r="F40" i="8"/>
  <c r="F70" i="8"/>
  <c r="F64" i="8"/>
  <c r="F46" i="8"/>
  <c r="L8" i="5"/>
  <c r="N9" i="5"/>
  <c r="K37" i="3"/>
  <c r="K43" i="3" s="1"/>
  <c r="J43" i="3"/>
  <c r="M12" i="5"/>
  <c r="Y36" i="3"/>
  <c r="Z36" i="3" s="1"/>
  <c r="W36" i="3"/>
  <c r="N31" i="5"/>
  <c r="M31" i="5"/>
  <c r="K18" i="10"/>
  <c r="Y14" i="3"/>
  <c r="K27" i="5"/>
  <c r="D50" i="4"/>
  <c r="F12" i="21"/>
  <c r="N30" i="5"/>
  <c r="M30" i="5"/>
  <c r="Y35" i="3"/>
  <c r="Z35" i="3" s="1"/>
  <c r="W35" i="3"/>
  <c r="G19" i="13"/>
  <c r="H19" i="13"/>
  <c r="M56" i="3"/>
  <c r="P7" i="3"/>
  <c r="AD22" i="3"/>
  <c r="M11" i="3"/>
  <c r="M13" i="3" s="1"/>
  <c r="M52" i="3" s="1"/>
  <c r="M57" i="3" s="1"/>
  <c r="M17" i="3"/>
  <c r="T29" i="3"/>
  <c r="V29" i="3"/>
  <c r="G14" i="12"/>
  <c r="L19" i="10" s="1"/>
  <c r="M15" i="10" s="1"/>
  <c r="H11" i="12"/>
  <c r="G12" i="12"/>
  <c r="L16" i="10" s="1"/>
  <c r="G13" i="12"/>
  <c r="L17" i="10" s="1"/>
  <c r="H11" i="11"/>
  <c r="C21" i="13"/>
  <c r="B22" i="13"/>
  <c r="L23" i="5"/>
  <c r="K23" i="5"/>
  <c r="N26" i="5" l="1"/>
  <c r="M26" i="5"/>
  <c r="N21" i="5"/>
  <c r="M21" i="5"/>
  <c r="R42" i="3"/>
  <c r="R36" i="3"/>
  <c r="R39" i="3"/>
  <c r="R38" i="3"/>
  <c r="R31" i="3"/>
  <c r="R33" i="3"/>
  <c r="R47" i="3"/>
  <c r="R30" i="3"/>
  <c r="R29" i="3"/>
  <c r="R40" i="3"/>
  <c r="R35" i="3"/>
  <c r="R34" i="3"/>
  <c r="R32" i="3"/>
  <c r="R41" i="3"/>
  <c r="R43" i="3"/>
  <c r="P37" i="3"/>
  <c r="H27" i="5"/>
  <c r="H33" i="5" s="1"/>
  <c r="I33" i="5" s="1"/>
  <c r="G33" i="5"/>
  <c r="F35" i="5"/>
  <c r="AF28" i="3"/>
  <c r="AF29" i="3"/>
  <c r="AK29" i="3" s="1"/>
  <c r="H30" i="7"/>
  <c r="D7" i="2"/>
  <c r="E7" i="2" s="1"/>
  <c r="L18" i="10"/>
  <c r="I11" i="12"/>
  <c r="H14" i="12"/>
  <c r="M19" i="10" s="1"/>
  <c r="N15" i="10" s="1"/>
  <c r="H12" i="12"/>
  <c r="M16" i="10" s="1"/>
  <c r="H13" i="12"/>
  <c r="M17" i="10" s="1"/>
  <c r="M27" i="5"/>
  <c r="O12" i="5"/>
  <c r="G106" i="9"/>
  <c r="J105" i="9"/>
  <c r="W32" i="3"/>
  <c r="Y32" i="3"/>
  <c r="Z32" i="3" s="1"/>
  <c r="H52" i="9"/>
  <c r="F52" i="9"/>
  <c r="V34" i="3"/>
  <c r="T34" i="3"/>
  <c r="L45" i="3"/>
  <c r="J45" i="3" s="1"/>
  <c r="J47" i="3" s="1"/>
  <c r="J49" i="3" s="1"/>
  <c r="K31" i="8"/>
  <c r="E179" i="8"/>
  <c r="F171" i="8"/>
  <c r="F179" i="8" s="1"/>
  <c r="H31" i="8"/>
  <c r="J31" i="8"/>
  <c r="I31" i="8"/>
  <c r="G31" i="8"/>
  <c r="F31" i="8"/>
  <c r="E31" i="8"/>
  <c r="D31" i="8"/>
  <c r="C33" i="8"/>
  <c r="L31" i="8"/>
  <c r="C34" i="8"/>
  <c r="D33" i="8"/>
  <c r="D34" i="8"/>
  <c r="E33" i="8"/>
  <c r="E34" i="8"/>
  <c r="P25" i="5"/>
  <c r="O25" i="5"/>
  <c r="M19" i="5"/>
  <c r="N19" i="5"/>
  <c r="T31" i="3"/>
  <c r="V31" i="3"/>
  <c r="N4" i="10"/>
  <c r="O5" i="10"/>
  <c r="D20" i="13"/>
  <c r="N28" i="5"/>
  <c r="M28" i="5"/>
  <c r="G48" i="9"/>
  <c r="W29" i="3"/>
  <c r="Y29" i="3"/>
  <c r="B22" i="11"/>
  <c r="C21" i="11"/>
  <c r="P29" i="5"/>
  <c r="O29" i="5"/>
  <c r="T42" i="3"/>
  <c r="V42" i="3"/>
  <c r="I84" i="9"/>
  <c r="I27" i="9"/>
  <c r="H21" i="12"/>
  <c r="G21" i="12"/>
  <c r="F21" i="12"/>
  <c r="E21" i="12"/>
  <c r="D21" i="12"/>
  <c r="C21" i="12"/>
  <c r="B22" i="12"/>
  <c r="G111" i="9"/>
  <c r="J110" i="9"/>
  <c r="H46" i="5"/>
  <c r="H47" i="5" s="1"/>
  <c r="H55" i="5"/>
  <c r="M55" i="8"/>
  <c r="M73" i="8"/>
  <c r="M61" i="8"/>
  <c r="M37" i="8"/>
  <c r="M43" i="8"/>
  <c r="M49" i="8"/>
  <c r="M31" i="8"/>
  <c r="M67" i="8"/>
  <c r="N22" i="5"/>
  <c r="M22" i="5"/>
  <c r="G18" i="11"/>
  <c r="H18" i="11"/>
  <c r="E95" i="8"/>
  <c r="E8" i="8"/>
  <c r="S22" i="3"/>
  <c r="S24" i="3" s="1"/>
  <c r="S26" i="3" s="1"/>
  <c r="S20" i="3"/>
  <c r="S23" i="3"/>
  <c r="V21" i="3"/>
  <c r="G102" i="9"/>
  <c r="J101" i="9"/>
  <c r="E81" i="8"/>
  <c r="D32" i="4"/>
  <c r="E33" i="5"/>
  <c r="I11" i="13"/>
  <c r="P31" i="5"/>
  <c r="O31" i="5"/>
  <c r="J39" i="9"/>
  <c r="G40" i="9"/>
  <c r="H79" i="9"/>
  <c r="F100" i="8"/>
  <c r="G92" i="8" s="1"/>
  <c r="N23" i="5"/>
  <c r="M23" i="5"/>
  <c r="P30" i="5"/>
  <c r="O30" i="5"/>
  <c r="N10" i="5"/>
  <c r="L11" i="5"/>
  <c r="L12" i="5" s="1"/>
  <c r="F14" i="8"/>
  <c r="G5" i="8" s="1"/>
  <c r="F80" i="8"/>
  <c r="F81" i="8" s="1"/>
  <c r="F7" i="8"/>
  <c r="J53" i="5"/>
  <c r="B23" i="13"/>
  <c r="C22" i="13"/>
  <c r="I11" i="11"/>
  <c r="G44" i="9"/>
  <c r="J43" i="9"/>
  <c r="J13" i="5"/>
  <c r="J14" i="5" s="1"/>
  <c r="J16" i="5" s="1"/>
  <c r="F33" i="8"/>
  <c r="P20" i="5"/>
  <c r="O20" i="5"/>
  <c r="D96" i="8"/>
  <c r="F56" i="5"/>
  <c r="N37" i="3"/>
  <c r="N43" i="3" s="1"/>
  <c r="M43" i="3"/>
  <c r="J91" i="8"/>
  <c r="I97" i="8"/>
  <c r="I92" i="8"/>
  <c r="L32" i="5"/>
  <c r="K32" i="5"/>
  <c r="H83" i="8"/>
  <c r="I78" i="8"/>
  <c r="O13" i="5"/>
  <c r="D35" i="5"/>
  <c r="Y12" i="3"/>
  <c r="H27" i="8"/>
  <c r="H81" i="8"/>
  <c r="H80" i="8"/>
  <c r="H12" i="8"/>
  <c r="H9" i="8"/>
  <c r="H13" i="8"/>
  <c r="H3" i="8"/>
  <c r="I4" i="8"/>
  <c r="H25" i="8"/>
  <c r="H7" i="8"/>
  <c r="H95" i="8" s="1"/>
  <c r="H26" i="8"/>
  <c r="H11" i="8"/>
  <c r="H98" i="8" s="1"/>
  <c r="H10" i="8"/>
  <c r="H8" i="8"/>
  <c r="P24" i="5"/>
  <c r="O24" i="5"/>
  <c r="P56" i="3"/>
  <c r="S7" i="3"/>
  <c r="P13" i="3"/>
  <c r="P52" i="3" s="1"/>
  <c r="P57" i="3" s="1"/>
  <c r="P11" i="3"/>
  <c r="P17" i="3"/>
  <c r="P9" i="5"/>
  <c r="N45" i="5"/>
  <c r="N51" i="5"/>
  <c r="N53" i="5"/>
  <c r="N8" i="5"/>
  <c r="N50" i="5"/>
  <c r="N49" i="5"/>
  <c r="F34" i="8"/>
  <c r="E9" i="10"/>
  <c r="E14" i="10" s="1"/>
  <c r="E16" i="10" s="1"/>
  <c r="P21" i="5" l="1"/>
  <c r="O21" i="5"/>
  <c r="P26" i="5"/>
  <c r="O26" i="5"/>
  <c r="H35" i="5"/>
  <c r="H60" i="5" s="1"/>
  <c r="H84" i="8"/>
  <c r="H99" i="8" s="1"/>
  <c r="H100" i="8" s="1"/>
  <c r="J61" i="3"/>
  <c r="J55" i="3"/>
  <c r="J27" i="5"/>
  <c r="J33" i="5" s="1"/>
  <c r="K33" i="5" s="1"/>
  <c r="U43" i="3"/>
  <c r="U34" i="3"/>
  <c r="U41" i="3"/>
  <c r="U32" i="3"/>
  <c r="U29" i="3"/>
  <c r="U42" i="3"/>
  <c r="U38" i="3"/>
  <c r="U31" i="3"/>
  <c r="U35" i="3"/>
  <c r="U33" i="3"/>
  <c r="U40" i="3"/>
  <c r="U36" i="3"/>
  <c r="U39" i="3"/>
  <c r="U47" i="3"/>
  <c r="U30" i="3"/>
  <c r="S37" i="3"/>
  <c r="Q24" i="5"/>
  <c r="R24" i="5"/>
  <c r="L13" i="5"/>
  <c r="L14" i="5" s="1"/>
  <c r="L16" i="5" s="1"/>
  <c r="L27" i="5" s="1"/>
  <c r="Q13" i="5"/>
  <c r="C23" i="13"/>
  <c r="B24" i="13"/>
  <c r="P23" i="5"/>
  <c r="O23" i="5"/>
  <c r="J11" i="13"/>
  <c r="B23" i="11"/>
  <c r="C22" i="11"/>
  <c r="H58" i="5"/>
  <c r="J78" i="8"/>
  <c r="I83" i="8"/>
  <c r="J55" i="5"/>
  <c r="J46" i="5"/>
  <c r="J47" i="5" s="1"/>
  <c r="C32" i="4"/>
  <c r="D8" i="2" s="1"/>
  <c r="E8" i="2" s="1"/>
  <c r="F32" i="4" s="1"/>
  <c r="K15" i="21"/>
  <c r="P28" i="5"/>
  <c r="O28" i="5"/>
  <c r="G107" i="9"/>
  <c r="J106" i="9"/>
  <c r="K58" i="9"/>
  <c r="I30" i="7"/>
  <c r="O17" i="8"/>
  <c r="F50" i="4"/>
  <c r="Q37" i="3"/>
  <c r="Q43" i="3" s="1"/>
  <c r="P43" i="3"/>
  <c r="Q12" i="5"/>
  <c r="P45" i="5"/>
  <c r="P53" i="5"/>
  <c r="P8" i="5"/>
  <c r="R9" i="5"/>
  <c r="P51" i="5"/>
  <c r="P50" i="5"/>
  <c r="P49" i="5"/>
  <c r="I89" i="9"/>
  <c r="I32" i="9"/>
  <c r="F95" i="8"/>
  <c r="F8" i="8"/>
  <c r="G112" i="9"/>
  <c r="J111" i="9"/>
  <c r="W42" i="3"/>
  <c r="Y42" i="3"/>
  <c r="Z42" i="3" s="1"/>
  <c r="F20" i="13"/>
  <c r="E20" i="13"/>
  <c r="Q25" i="5"/>
  <c r="R25" i="5"/>
  <c r="H82" i="8"/>
  <c r="H89" i="9" s="1"/>
  <c r="Q20" i="5"/>
  <c r="R20" i="5"/>
  <c r="J11" i="11"/>
  <c r="J40" i="9"/>
  <c r="E96" i="8"/>
  <c r="H56" i="5"/>
  <c r="N32" i="5"/>
  <c r="M32" i="5"/>
  <c r="G80" i="8"/>
  <c r="G81" i="8" s="1"/>
  <c r="G7" i="8"/>
  <c r="L53" i="5"/>
  <c r="B23" i="12"/>
  <c r="H22" i="12"/>
  <c r="G22" i="12"/>
  <c r="F22" i="12"/>
  <c r="E22" i="12"/>
  <c r="D22" i="12"/>
  <c r="C22" i="12"/>
  <c r="P5" i="10"/>
  <c r="O4" i="10"/>
  <c r="AK28" i="3"/>
  <c r="AE28" i="3"/>
  <c r="N56" i="5"/>
  <c r="H96" i="8"/>
  <c r="Z29" i="3"/>
  <c r="W34" i="3"/>
  <c r="Y34" i="3"/>
  <c r="Z34" i="3" s="1"/>
  <c r="O27" i="5"/>
  <c r="H39" i="8"/>
  <c r="H33" i="8"/>
  <c r="H57" i="8"/>
  <c r="H63" i="8"/>
  <c r="H45" i="8"/>
  <c r="H51" i="8"/>
  <c r="H75" i="8"/>
  <c r="H69" i="8"/>
  <c r="P10" i="5"/>
  <c r="N11" i="5"/>
  <c r="N13" i="5" s="1"/>
  <c r="Q31" i="5"/>
  <c r="R31" i="5"/>
  <c r="J102" i="9"/>
  <c r="D19" i="11"/>
  <c r="F60" i="5"/>
  <c r="F59" i="5"/>
  <c r="F58" i="5"/>
  <c r="H46" i="8"/>
  <c r="H64" i="8"/>
  <c r="H70" i="8"/>
  <c r="H76" i="8"/>
  <c r="H34" i="8"/>
  <c r="H52" i="8"/>
  <c r="H58" i="8"/>
  <c r="H40" i="8"/>
  <c r="S13" i="3"/>
  <c r="S52" i="3" s="1"/>
  <c r="S57" i="3" s="1"/>
  <c r="S56" i="3"/>
  <c r="V7" i="3"/>
  <c r="S11" i="3"/>
  <c r="S17" i="3"/>
  <c r="M18" i="10"/>
  <c r="L16" i="21"/>
  <c r="L18" i="21"/>
  <c r="Q29" i="5"/>
  <c r="R29" i="5"/>
  <c r="W31" i="3"/>
  <c r="Y31" i="3"/>
  <c r="Z31" i="3" s="1"/>
  <c r="G53" i="9"/>
  <c r="N55" i="5"/>
  <c r="N46" i="5"/>
  <c r="N47" i="5" s="1"/>
  <c r="H50" i="8"/>
  <c r="H56" i="8"/>
  <c r="H74" i="8"/>
  <c r="H44" i="8"/>
  <c r="H32" i="8"/>
  <c r="H68" i="8"/>
  <c r="H62" i="8"/>
  <c r="H38" i="8"/>
  <c r="K91" i="8"/>
  <c r="J97" i="8"/>
  <c r="J92" i="8"/>
  <c r="H23" i="8"/>
  <c r="H6" i="8"/>
  <c r="I26" i="8"/>
  <c r="I81" i="8"/>
  <c r="I80" i="8"/>
  <c r="I27" i="8"/>
  <c r="I13" i="8"/>
  <c r="I3" i="8"/>
  <c r="J4" i="8"/>
  <c r="I25" i="8"/>
  <c r="I11" i="8"/>
  <c r="I98" i="8" s="1"/>
  <c r="I10" i="8"/>
  <c r="I8" i="8"/>
  <c r="I12" i="8"/>
  <c r="I9" i="8"/>
  <c r="I7" i="8"/>
  <c r="I95" i="8" s="1"/>
  <c r="D60" i="5"/>
  <c r="D59" i="5"/>
  <c r="D58" i="5"/>
  <c r="D33" i="4"/>
  <c r="K11" i="21"/>
  <c r="O45" i="3"/>
  <c r="M45" i="3"/>
  <c r="M47" i="3" s="1"/>
  <c r="M49" i="3" s="1"/>
  <c r="G45" i="9"/>
  <c r="J44" i="9"/>
  <c r="Q30" i="5"/>
  <c r="R30" i="5"/>
  <c r="V23" i="3"/>
  <c r="V24" i="3" s="1"/>
  <c r="V26" i="3" s="1"/>
  <c r="V22" i="3"/>
  <c r="V20" i="3"/>
  <c r="Y21" i="3"/>
  <c r="P19" i="5"/>
  <c r="O19" i="5"/>
  <c r="P22" i="5"/>
  <c r="O22" i="5"/>
  <c r="G49" i="9"/>
  <c r="J48" i="9"/>
  <c r="J11" i="12"/>
  <c r="I14" i="12"/>
  <c r="N19" i="10" s="1"/>
  <c r="O15" i="10" s="1"/>
  <c r="I13" i="12"/>
  <c r="N17" i="10" s="1"/>
  <c r="I12" i="12"/>
  <c r="N16" i="10" s="1"/>
  <c r="N12" i="5" l="1"/>
  <c r="Q26" i="5"/>
  <c r="R26" i="5"/>
  <c r="Q21" i="5"/>
  <c r="R21" i="5"/>
  <c r="H59" i="5"/>
  <c r="L33" i="5"/>
  <c r="M33" i="5" s="1"/>
  <c r="L15" i="21" s="1"/>
  <c r="N18" i="10"/>
  <c r="X41" i="3"/>
  <c r="X35" i="3"/>
  <c r="X43" i="3"/>
  <c r="X30" i="3"/>
  <c r="X47" i="3"/>
  <c r="X40" i="3"/>
  <c r="X32" i="3"/>
  <c r="X29" i="3"/>
  <c r="X42" i="3"/>
  <c r="X38" i="3"/>
  <c r="X34" i="3"/>
  <c r="X39" i="3"/>
  <c r="X33" i="3"/>
  <c r="X36" i="3"/>
  <c r="X31" i="3"/>
  <c r="V37" i="3"/>
  <c r="L55" i="5"/>
  <c r="L46" i="5"/>
  <c r="L47" i="5" s="1"/>
  <c r="P46" i="5"/>
  <c r="P47" i="5" s="1"/>
  <c r="P55" i="5"/>
  <c r="P45" i="3"/>
  <c r="P47" i="3" s="1"/>
  <c r="P49" i="3" s="1"/>
  <c r="R45" i="3"/>
  <c r="L91" i="8"/>
  <c r="K97" i="8"/>
  <c r="K92" i="8"/>
  <c r="G95" i="8"/>
  <c r="L17" i="21"/>
  <c r="G8" i="8"/>
  <c r="F96" i="8"/>
  <c r="J56" i="5"/>
  <c r="K11" i="13"/>
  <c r="T30" i="5"/>
  <c r="S30" i="5"/>
  <c r="Q22" i="5"/>
  <c r="R22" i="5"/>
  <c r="I84" i="8"/>
  <c r="I99" i="8" s="1"/>
  <c r="I100" i="8" s="1"/>
  <c r="Q27" i="5"/>
  <c r="Q5" i="10"/>
  <c r="Q4" i="10" s="1"/>
  <c r="P4" i="10"/>
  <c r="S13" i="5"/>
  <c r="J49" i="9"/>
  <c r="G50" i="9"/>
  <c r="J32" i="9"/>
  <c r="G36" i="9"/>
  <c r="J36" i="9" s="1"/>
  <c r="Q23" i="5"/>
  <c r="R23" i="5"/>
  <c r="J25" i="8"/>
  <c r="J81" i="8"/>
  <c r="J3" i="8"/>
  <c r="J80" i="8"/>
  <c r="K4" i="8"/>
  <c r="J7" i="8"/>
  <c r="J95" i="8" s="1"/>
  <c r="J26" i="8"/>
  <c r="J12" i="8"/>
  <c r="J9" i="8"/>
  <c r="J27" i="8"/>
  <c r="J13" i="8"/>
  <c r="J11" i="8"/>
  <c r="J98" i="8" s="1"/>
  <c r="J10" i="8"/>
  <c r="J8" i="8"/>
  <c r="G54" i="9"/>
  <c r="J53" i="9"/>
  <c r="E19" i="11"/>
  <c r="F19" i="11"/>
  <c r="Q19" i="5"/>
  <c r="R19" i="5"/>
  <c r="J45" i="9"/>
  <c r="G20" i="13"/>
  <c r="H20" i="13"/>
  <c r="T24" i="5"/>
  <c r="S24" i="5"/>
  <c r="I52" i="8"/>
  <c r="I70" i="8"/>
  <c r="I76" i="8"/>
  <c r="I64" i="8"/>
  <c r="I34" i="8"/>
  <c r="I46" i="8"/>
  <c r="I58" i="8"/>
  <c r="I40" i="8"/>
  <c r="M55" i="3"/>
  <c r="M61" i="3"/>
  <c r="I37" i="9"/>
  <c r="I94" i="9"/>
  <c r="K11" i="11"/>
  <c r="B25" i="13"/>
  <c r="C24" i="13"/>
  <c r="J35" i="5"/>
  <c r="R10" i="5"/>
  <c r="P11" i="5"/>
  <c r="P13" i="5" s="1"/>
  <c r="T20" i="5"/>
  <c r="S20" i="5"/>
  <c r="J83" i="8"/>
  <c r="K78" i="8"/>
  <c r="T37" i="3"/>
  <c r="T43" i="3" s="1"/>
  <c r="S43" i="3"/>
  <c r="T31" i="5"/>
  <c r="S31" i="5"/>
  <c r="I23" i="8"/>
  <c r="I6" i="8"/>
  <c r="S12" i="5"/>
  <c r="J107" i="9"/>
  <c r="C23" i="11"/>
  <c r="B24" i="11"/>
  <c r="I45" i="8"/>
  <c r="I63" i="8"/>
  <c r="I69" i="8"/>
  <c r="I75" i="8"/>
  <c r="I51" i="8"/>
  <c r="I33" i="8"/>
  <c r="I57" i="8"/>
  <c r="I39" i="8"/>
  <c r="P32" i="5"/>
  <c r="O32" i="5"/>
  <c r="V56" i="3"/>
  <c r="Y7" i="3"/>
  <c r="V11" i="3"/>
  <c r="V13" i="3" s="1"/>
  <c r="V52" i="3" s="1"/>
  <c r="V57" i="3" s="1"/>
  <c r="V17" i="3"/>
  <c r="J89" i="9"/>
  <c r="G93" i="9"/>
  <c r="J93" i="9" s="1"/>
  <c r="J112" i="9"/>
  <c r="R45" i="5"/>
  <c r="R50" i="5"/>
  <c r="R49" i="5"/>
  <c r="T9" i="5"/>
  <c r="R8" i="5"/>
  <c r="R53" i="5"/>
  <c r="R51" i="5"/>
  <c r="I96" i="8"/>
  <c r="P56" i="5"/>
  <c r="Y23" i="3"/>
  <c r="Y22" i="3"/>
  <c r="Y24" i="3" s="1"/>
  <c r="Y26" i="3" s="1"/>
  <c r="Y20" i="3"/>
  <c r="I82" i="8"/>
  <c r="H94" i="9" s="1"/>
  <c r="H79" i="8"/>
  <c r="H85" i="8" s="1"/>
  <c r="H15" i="8"/>
  <c r="H94" i="8"/>
  <c r="H101" i="8" s="1"/>
  <c r="K11" i="12"/>
  <c r="J14" i="12"/>
  <c r="O19" i="10" s="1"/>
  <c r="P15" i="10" s="1"/>
  <c r="J13" i="12"/>
  <c r="O17" i="10" s="1"/>
  <c r="J12" i="12"/>
  <c r="O16" i="10" s="1"/>
  <c r="H72" i="8"/>
  <c r="H71" i="8" s="1"/>
  <c r="H60" i="8"/>
  <c r="H59" i="8" s="1"/>
  <c r="H30" i="8"/>
  <c r="H29" i="8" s="1"/>
  <c r="H28" i="8"/>
  <c r="H36" i="8"/>
  <c r="H35" i="8" s="1"/>
  <c r="H48" i="8"/>
  <c r="H47" i="8" s="1"/>
  <c r="H42" i="8"/>
  <c r="H41" i="8" s="1"/>
  <c r="H66" i="8"/>
  <c r="H65" i="8" s="1"/>
  <c r="H54" i="8"/>
  <c r="H53" i="8" s="1"/>
  <c r="T29" i="5"/>
  <c r="S29" i="5"/>
  <c r="I38" i="8"/>
  <c r="I56" i="8"/>
  <c r="I62" i="8"/>
  <c r="I44" i="8"/>
  <c r="I50" i="8"/>
  <c r="I32" i="8"/>
  <c r="I68" i="8"/>
  <c r="I74" i="8"/>
  <c r="N14" i="5"/>
  <c r="N16" i="5" s="1"/>
  <c r="N27" i="5" s="1"/>
  <c r="N33" i="5" s="1"/>
  <c r="O33" i="5" s="1"/>
  <c r="D23" i="12"/>
  <c r="C23" i="12"/>
  <c r="G23" i="12"/>
  <c r="F23" i="12"/>
  <c r="E23" i="12"/>
  <c r="B24" i="12"/>
  <c r="H23" i="12"/>
  <c r="T25" i="5"/>
  <c r="S25" i="5"/>
  <c r="Q28" i="5"/>
  <c r="R28" i="5"/>
  <c r="L35" i="5" l="1"/>
  <c r="T21" i="5"/>
  <c r="S21" i="5"/>
  <c r="S26" i="5"/>
  <c r="T26" i="5"/>
  <c r="O18" i="10"/>
  <c r="AA38" i="3"/>
  <c r="AA40" i="3"/>
  <c r="AA33" i="3"/>
  <c r="AA39" i="3"/>
  <c r="AA42" i="3"/>
  <c r="AA43" i="3"/>
  <c r="AA30" i="3"/>
  <c r="AA41" i="3"/>
  <c r="AA47" i="3"/>
  <c r="AA35" i="3"/>
  <c r="AA34" i="3"/>
  <c r="AA32" i="3"/>
  <c r="AA36" i="3"/>
  <c r="AA31" i="3"/>
  <c r="AA29" i="3"/>
  <c r="Y37" i="3"/>
  <c r="J50" i="9"/>
  <c r="K14" i="12"/>
  <c r="P19" i="10" s="1"/>
  <c r="Q15" i="10" s="1"/>
  <c r="K13" i="12"/>
  <c r="P17" i="10" s="1"/>
  <c r="K12" i="12"/>
  <c r="P16" i="10" s="1"/>
  <c r="L11" i="12"/>
  <c r="U12" i="5"/>
  <c r="V20" i="5"/>
  <c r="W20" i="5" s="1"/>
  <c r="U20" i="5"/>
  <c r="J37" i="9"/>
  <c r="G41" i="9"/>
  <c r="J41" i="9" s="1"/>
  <c r="J82" i="8"/>
  <c r="W37" i="3"/>
  <c r="W43" i="3" s="1"/>
  <c r="V43" i="3"/>
  <c r="Q32" i="5"/>
  <c r="R32" i="5"/>
  <c r="I79" i="8"/>
  <c r="I85" i="8" s="1"/>
  <c r="I15" i="8"/>
  <c r="I94" i="8"/>
  <c r="I101" i="8" s="1"/>
  <c r="V30" i="5"/>
  <c r="W30" i="5" s="1"/>
  <c r="U30" i="5"/>
  <c r="S28" i="5"/>
  <c r="T28" i="5"/>
  <c r="J23" i="8"/>
  <c r="J6" i="8"/>
  <c r="I36" i="8"/>
  <c r="I35" i="8" s="1"/>
  <c r="I66" i="8"/>
  <c r="I65" i="8" s="1"/>
  <c r="I60" i="8"/>
  <c r="I59" i="8" s="1"/>
  <c r="I30" i="8"/>
  <c r="I29" i="8" s="1"/>
  <c r="I28" i="8"/>
  <c r="I48" i="8"/>
  <c r="I47" i="8" s="1"/>
  <c r="I72" i="8"/>
  <c r="I71" i="8" s="1"/>
  <c r="I42" i="8"/>
  <c r="I41" i="8" s="1"/>
  <c r="I54" i="8"/>
  <c r="I53" i="8" s="1"/>
  <c r="U24" i="5"/>
  <c r="V24" i="5"/>
  <c r="W24" i="5" s="1"/>
  <c r="J84" i="8"/>
  <c r="J99" i="8" s="1"/>
  <c r="J100" i="8" s="1"/>
  <c r="J44" i="8"/>
  <c r="J32" i="8"/>
  <c r="J62" i="8"/>
  <c r="J68" i="8"/>
  <c r="J74" i="8"/>
  <c r="J50" i="8"/>
  <c r="J56" i="8"/>
  <c r="J38" i="8"/>
  <c r="R46" i="5"/>
  <c r="R47" i="5" s="1"/>
  <c r="R55" i="5"/>
  <c r="R11" i="5"/>
  <c r="T10" i="5"/>
  <c r="D21" i="13"/>
  <c r="J58" i="8"/>
  <c r="J76" i="8"/>
  <c r="J70" i="8"/>
  <c r="J64" i="8"/>
  <c r="J34" i="8"/>
  <c r="J46" i="8"/>
  <c r="J52" i="8"/>
  <c r="J40" i="8"/>
  <c r="S23" i="5"/>
  <c r="T23" i="5"/>
  <c r="L97" i="8"/>
  <c r="L92" i="8"/>
  <c r="L11" i="11"/>
  <c r="G19" i="11"/>
  <c r="H19" i="11"/>
  <c r="S27" i="5"/>
  <c r="V31" i="5"/>
  <c r="W31" i="5" s="1"/>
  <c r="U31" i="5"/>
  <c r="J60" i="5"/>
  <c r="J59" i="5"/>
  <c r="J58" i="5"/>
  <c r="N35" i="5"/>
  <c r="S45" i="3"/>
  <c r="S47" i="3" s="1"/>
  <c r="S49" i="3" s="1"/>
  <c r="U45" i="3"/>
  <c r="I99" i="9"/>
  <c r="I42" i="9"/>
  <c r="L11" i="13"/>
  <c r="P61" i="3"/>
  <c r="P55" i="3"/>
  <c r="V25" i="5"/>
  <c r="W25" i="5" s="1"/>
  <c r="U25" i="5"/>
  <c r="J51" i="8"/>
  <c r="J69" i="8"/>
  <c r="J75" i="8"/>
  <c r="J45" i="8"/>
  <c r="J33" i="8"/>
  <c r="J57" i="8"/>
  <c r="J39" i="8"/>
  <c r="J63" i="8"/>
  <c r="H8" i="7"/>
  <c r="L60" i="5"/>
  <c r="L59" i="5"/>
  <c r="L58" i="5"/>
  <c r="B25" i="11"/>
  <c r="C24" i="11"/>
  <c r="U29" i="5"/>
  <c r="V29" i="5"/>
  <c r="W29" i="5" s="1"/>
  <c r="Y56" i="3"/>
  <c r="Y11" i="3"/>
  <c r="Y13" i="3" s="1"/>
  <c r="Y52" i="3" s="1"/>
  <c r="Y57" i="3" s="1"/>
  <c r="Y17" i="3"/>
  <c r="K83" i="8"/>
  <c r="L78" i="8"/>
  <c r="L83" i="8" s="1"/>
  <c r="J94" i="9"/>
  <c r="G98" i="9"/>
  <c r="J98" i="9" s="1"/>
  <c r="T45" i="5"/>
  <c r="T50" i="5"/>
  <c r="T49" i="5"/>
  <c r="T51" i="5"/>
  <c r="T8" i="5"/>
  <c r="T53" i="5"/>
  <c r="V9" i="5"/>
  <c r="B26" i="13"/>
  <c r="C25" i="13"/>
  <c r="S22" i="5"/>
  <c r="T22" i="5"/>
  <c r="G96" i="8"/>
  <c r="L56" i="5"/>
  <c r="J54" i="9"/>
  <c r="G55" i="9"/>
  <c r="K81" i="8"/>
  <c r="K80" i="8"/>
  <c r="K3" i="8"/>
  <c r="L4" i="8"/>
  <c r="K7" i="8"/>
  <c r="K95" i="8" s="1"/>
  <c r="K25" i="8"/>
  <c r="K11" i="8"/>
  <c r="K98" i="8" s="1"/>
  <c r="K10" i="8"/>
  <c r="K8" i="8"/>
  <c r="K26" i="8"/>
  <c r="K27" i="8"/>
  <c r="K13" i="8"/>
  <c r="K12" i="8"/>
  <c r="K9" i="8"/>
  <c r="G24" i="12"/>
  <c r="F24" i="12"/>
  <c r="E24" i="12"/>
  <c r="B25" i="12"/>
  <c r="H24" i="12"/>
  <c r="D24" i="12"/>
  <c r="C24" i="12"/>
  <c r="P12" i="5"/>
  <c r="P14" i="5" s="1"/>
  <c r="P16" i="5" s="1"/>
  <c r="T19" i="5"/>
  <c r="S19" i="5"/>
  <c r="J96" i="8"/>
  <c r="R56" i="5"/>
  <c r="U13" i="5"/>
  <c r="V26" i="5" l="1"/>
  <c r="W26" i="5" s="1"/>
  <c r="U26" i="5"/>
  <c r="U21" i="5"/>
  <c r="V21" i="5"/>
  <c r="W21" i="5" s="1"/>
  <c r="P18" i="10"/>
  <c r="P27" i="5"/>
  <c r="P33" i="5" s="1"/>
  <c r="Q33" i="5" s="1"/>
  <c r="I47" i="9"/>
  <c r="I104" i="9"/>
  <c r="K6" i="8"/>
  <c r="K23" i="8"/>
  <c r="Z37" i="3"/>
  <c r="Z43" i="3" s="1"/>
  <c r="Y43" i="3"/>
  <c r="K84" i="8"/>
  <c r="K99" i="8" s="1"/>
  <c r="K100" i="8" s="1"/>
  <c r="J55" i="9"/>
  <c r="J42" i="9"/>
  <c r="G46" i="9"/>
  <c r="J46" i="9" s="1"/>
  <c r="R12" i="5"/>
  <c r="K64" i="8"/>
  <c r="K70" i="8"/>
  <c r="K34" i="8"/>
  <c r="K76" i="8"/>
  <c r="K46" i="8"/>
  <c r="K52" i="8"/>
  <c r="K58" i="8"/>
  <c r="K40" i="8"/>
  <c r="R13" i="5"/>
  <c r="T56" i="5"/>
  <c r="K96" i="8"/>
  <c r="W13" i="5"/>
  <c r="B26" i="12"/>
  <c r="H25" i="12"/>
  <c r="F25" i="12"/>
  <c r="E25" i="12"/>
  <c r="D25" i="12"/>
  <c r="C25" i="12"/>
  <c r="G25" i="12"/>
  <c r="K82" i="8"/>
  <c r="U27" i="5"/>
  <c r="J79" i="8"/>
  <c r="J85" i="8" s="1"/>
  <c r="J15" i="8"/>
  <c r="J94" i="8"/>
  <c r="J101" i="8" s="1"/>
  <c r="S32" i="5"/>
  <c r="T32" i="5"/>
  <c r="W12" i="5"/>
  <c r="U19" i="5"/>
  <c r="V19" i="5"/>
  <c r="C26" i="13"/>
  <c r="B27" i="13"/>
  <c r="V53" i="5"/>
  <c r="V51" i="5"/>
  <c r="V50" i="5"/>
  <c r="V45" i="5"/>
  <c r="V49" i="5"/>
  <c r="V8" i="5"/>
  <c r="L11" i="21"/>
  <c r="H12" i="7"/>
  <c r="L31" i="21"/>
  <c r="J42" i="8"/>
  <c r="J41" i="8" s="1"/>
  <c r="J30" i="8"/>
  <c r="J29" i="8" s="1"/>
  <c r="J48" i="8"/>
  <c r="J47" i="8" s="1"/>
  <c r="J72" i="8"/>
  <c r="J71" i="8" s="1"/>
  <c r="J28" i="8"/>
  <c r="J36" i="8"/>
  <c r="J35" i="8" s="1"/>
  <c r="J54" i="8"/>
  <c r="J53" i="8" s="1"/>
  <c r="J66" i="8"/>
  <c r="J65" i="8" s="1"/>
  <c r="J60" i="8"/>
  <c r="J59" i="8" s="1"/>
  <c r="L14" i="12"/>
  <c r="Q19" i="10" s="1"/>
  <c r="L12" i="12"/>
  <c r="Q16" i="10" s="1"/>
  <c r="L13" i="12"/>
  <c r="Q17" i="10" s="1"/>
  <c r="S61" i="3"/>
  <c r="S55" i="3"/>
  <c r="D20" i="11"/>
  <c r="U28" i="5"/>
  <c r="V28" i="5"/>
  <c r="W28" i="5" s="1"/>
  <c r="X45" i="3"/>
  <c r="V45" i="3"/>
  <c r="V47" i="3" s="1"/>
  <c r="V49" i="3" s="1"/>
  <c r="K57" i="8"/>
  <c r="K75" i="8"/>
  <c r="K45" i="8"/>
  <c r="K33" i="8"/>
  <c r="K51" i="8"/>
  <c r="K39" i="8"/>
  <c r="K69" i="8"/>
  <c r="K63" i="8"/>
  <c r="K50" i="8"/>
  <c r="K68" i="8"/>
  <c r="K74" i="8"/>
  <c r="K56" i="8"/>
  <c r="K32" i="8"/>
  <c r="K38" i="8"/>
  <c r="K62" i="8"/>
  <c r="K44" i="8"/>
  <c r="V22" i="5"/>
  <c r="W22" i="5" s="1"/>
  <c r="U22" i="5"/>
  <c r="T46" i="5"/>
  <c r="T47" i="5" s="1"/>
  <c r="T55" i="5"/>
  <c r="B26" i="11"/>
  <c r="C25" i="11"/>
  <c r="N60" i="5"/>
  <c r="N59" i="5"/>
  <c r="N58" i="5"/>
  <c r="U23" i="5"/>
  <c r="V23" i="5"/>
  <c r="W23" i="5" s="1"/>
  <c r="F21" i="13"/>
  <c r="E21" i="13"/>
  <c r="L81" i="8"/>
  <c r="L80" i="8"/>
  <c r="L13" i="8"/>
  <c r="L12" i="8"/>
  <c r="L11" i="8"/>
  <c r="L98" i="8" s="1"/>
  <c r="L3" i="8"/>
  <c r="L7" i="8"/>
  <c r="L95" i="8" s="1"/>
  <c r="L25" i="8"/>
  <c r="L10" i="8"/>
  <c r="L8" i="8"/>
  <c r="L26" i="8"/>
  <c r="L9" i="8"/>
  <c r="L27" i="8"/>
  <c r="N18" i="8"/>
  <c r="N88" i="8"/>
  <c r="F17" i="21" s="1"/>
  <c r="H99" i="9"/>
  <c r="T11" i="5"/>
  <c r="V10" i="5"/>
  <c r="V11" i="5" s="1"/>
  <c r="R14" i="5" l="1"/>
  <c r="R16" i="5" s="1"/>
  <c r="R27" i="5" s="1"/>
  <c r="R33" i="5"/>
  <c r="S33" i="5" s="1"/>
  <c r="R35" i="5"/>
  <c r="C27" i="13"/>
  <c r="B28" i="13"/>
  <c r="K48" i="8"/>
  <c r="K47" i="8" s="1"/>
  <c r="K54" i="8"/>
  <c r="K53" i="8" s="1"/>
  <c r="K36" i="8"/>
  <c r="K35" i="8" s="1"/>
  <c r="K72" i="8"/>
  <c r="K71" i="8" s="1"/>
  <c r="K42" i="8"/>
  <c r="K41" i="8" s="1"/>
  <c r="K66" i="8"/>
  <c r="K65" i="8" s="1"/>
  <c r="K60" i="8"/>
  <c r="K59" i="8" s="1"/>
  <c r="K30" i="8"/>
  <c r="K29" i="8" s="1"/>
  <c r="K28" i="8"/>
  <c r="C26" i="12"/>
  <c r="B27" i="12"/>
  <c r="H26" i="12"/>
  <c r="G26" i="12"/>
  <c r="F26" i="12"/>
  <c r="E26" i="12"/>
  <c r="D26" i="12"/>
  <c r="K15" i="8"/>
  <c r="K79" i="8"/>
  <c r="K85" i="8" s="1"/>
  <c r="K94" i="8"/>
  <c r="K101" i="8" s="1"/>
  <c r="I52" i="9"/>
  <c r="I109" i="9"/>
  <c r="I114" i="9" s="1"/>
  <c r="L70" i="8"/>
  <c r="L76" i="8"/>
  <c r="L34" i="8"/>
  <c r="L64" i="8"/>
  <c r="L46" i="8"/>
  <c r="L52" i="8"/>
  <c r="L58" i="8"/>
  <c r="L40" i="8"/>
  <c r="L84" i="8"/>
  <c r="L99" i="8" s="1"/>
  <c r="L100" i="8" s="1"/>
  <c r="C26" i="11"/>
  <c r="B27" i="11"/>
  <c r="J99" i="9"/>
  <c r="G103" i="9"/>
  <c r="J103" i="9" s="1"/>
  <c r="G21" i="13"/>
  <c r="H21" i="13"/>
  <c r="N104" i="8"/>
  <c r="F11" i="21"/>
  <c r="D37" i="4"/>
  <c r="V61" i="3"/>
  <c r="V55" i="3"/>
  <c r="V13" i="5"/>
  <c r="J47" i="9"/>
  <c r="G51" i="9"/>
  <c r="J51" i="9" s="1"/>
  <c r="L6" i="8"/>
  <c r="L23" i="8"/>
  <c r="L96" i="8"/>
  <c r="V56" i="5"/>
  <c r="V55" i="5"/>
  <c r="V46" i="5"/>
  <c r="V47" i="5" s="1"/>
  <c r="H104" i="9"/>
  <c r="AA45" i="3"/>
  <c r="Y45" i="3" s="1"/>
  <c r="Y47" i="3" s="1"/>
  <c r="Y49" i="3" s="1"/>
  <c r="V32" i="5"/>
  <c r="W32" i="5" s="1"/>
  <c r="U32" i="5"/>
  <c r="F20" i="11"/>
  <c r="E20" i="11"/>
  <c r="W27" i="5"/>
  <c r="L82" i="8"/>
  <c r="G13" i="7"/>
  <c r="H13" i="7" s="1"/>
  <c r="H16" i="7"/>
  <c r="G26" i="8" s="1"/>
  <c r="L33" i="21"/>
  <c r="T12" i="5"/>
  <c r="Q18" i="10"/>
  <c r="W19" i="5"/>
  <c r="T13" i="5"/>
  <c r="L63" i="8"/>
  <c r="L45" i="8"/>
  <c r="L33" i="8"/>
  <c r="L51" i="8"/>
  <c r="L57" i="8"/>
  <c r="L39" i="8"/>
  <c r="L75" i="8"/>
  <c r="L69" i="8"/>
  <c r="L56" i="8"/>
  <c r="L74" i="8"/>
  <c r="L32" i="8"/>
  <c r="L68" i="8"/>
  <c r="L38" i="8"/>
  <c r="L62" i="8"/>
  <c r="L44" i="8"/>
  <c r="L50" i="8"/>
  <c r="V12" i="5"/>
  <c r="P35" i="5"/>
  <c r="V14" i="5" l="1"/>
  <c r="V16" i="5" s="1"/>
  <c r="T14" i="5"/>
  <c r="T16" i="5" s="1"/>
  <c r="T27" i="5" s="1"/>
  <c r="T33" i="5" s="1"/>
  <c r="U33" i="5" s="1"/>
  <c r="Y61" i="3"/>
  <c r="Y55" i="3"/>
  <c r="J104" i="9"/>
  <c r="G108" i="9"/>
  <c r="J108" i="9" s="1"/>
  <c r="F27" i="12"/>
  <c r="E27" i="12"/>
  <c r="D27" i="12"/>
  <c r="H27" i="12"/>
  <c r="G27" i="12"/>
  <c r="C27" i="12"/>
  <c r="B28" i="12"/>
  <c r="H31" i="7"/>
  <c r="D10" i="2"/>
  <c r="E10" i="2" s="1"/>
  <c r="B29" i="13"/>
  <c r="C28" i="13"/>
  <c r="I57" i="9"/>
  <c r="J52" i="9"/>
  <c r="G56" i="9"/>
  <c r="J56" i="9" s="1"/>
  <c r="C27" i="11"/>
  <c r="B28" i="11"/>
  <c r="H109" i="9"/>
  <c r="G20" i="11"/>
  <c r="H20" i="11"/>
  <c r="L36" i="8"/>
  <c r="L35" i="8" s="1"/>
  <c r="L54" i="8"/>
  <c r="L53" i="8" s="1"/>
  <c r="L60" i="8"/>
  <c r="L59" i="8" s="1"/>
  <c r="L72" i="8"/>
  <c r="L71" i="8" s="1"/>
  <c r="L48" i="8"/>
  <c r="L47" i="8" s="1"/>
  <c r="L42" i="8"/>
  <c r="L41" i="8" s="1"/>
  <c r="L66" i="8"/>
  <c r="L65" i="8" s="1"/>
  <c r="L30" i="8"/>
  <c r="L29" i="8" s="1"/>
  <c r="L28" i="8"/>
  <c r="G51" i="8"/>
  <c r="G57" i="8"/>
  <c r="G75" i="8"/>
  <c r="G63" i="8"/>
  <c r="G45" i="8"/>
  <c r="G33" i="8"/>
  <c r="G39" i="8"/>
  <c r="G69" i="8"/>
  <c r="M26" i="8"/>
  <c r="L15" i="8"/>
  <c r="L79" i="8"/>
  <c r="L85" i="8" s="1"/>
  <c r="L94" i="8"/>
  <c r="L101" i="8" s="1"/>
  <c r="P59" i="5"/>
  <c r="P60" i="5"/>
  <c r="P58" i="5"/>
  <c r="V27" i="5"/>
  <c r="D22" i="13"/>
  <c r="R58" i="5"/>
  <c r="R60" i="5"/>
  <c r="R59" i="5"/>
  <c r="V33" i="5" l="1"/>
  <c r="W33" i="5" s="1"/>
  <c r="I31" i="7"/>
  <c r="O18" i="8"/>
  <c r="F37" i="4"/>
  <c r="J109" i="9"/>
  <c r="G113" i="9"/>
  <c r="J113" i="9" s="1"/>
  <c r="D28" i="12"/>
  <c r="B29" i="12"/>
  <c r="H28" i="12"/>
  <c r="G28" i="12"/>
  <c r="F28" i="12"/>
  <c r="E28" i="12"/>
  <c r="C28" i="12"/>
  <c r="M69" i="8"/>
  <c r="M75" i="8"/>
  <c r="M51" i="8"/>
  <c r="M57" i="8"/>
  <c r="M39" i="8"/>
  <c r="M63" i="8"/>
  <c r="M45" i="8"/>
  <c r="M33" i="8"/>
  <c r="F22" i="13"/>
  <c r="E22" i="13"/>
  <c r="C29" i="13"/>
  <c r="D9" i="13" s="1"/>
  <c r="B30" i="13"/>
  <c r="D21" i="11"/>
  <c r="T35" i="5"/>
  <c r="B29" i="11"/>
  <c r="C28" i="11"/>
  <c r="V35" i="5" l="1"/>
  <c r="V59" i="5" s="1"/>
  <c r="G29" i="12"/>
  <c r="C29" i="12"/>
  <c r="D9" i="12" s="1"/>
  <c r="B30" i="12"/>
  <c r="H29" i="12"/>
  <c r="F29" i="12"/>
  <c r="E29" i="12"/>
  <c r="D29" i="12"/>
  <c r="F21" i="11"/>
  <c r="E21" i="11"/>
  <c r="B30" i="11"/>
  <c r="C29" i="11"/>
  <c r="D9" i="11" s="1"/>
  <c r="G22" i="13"/>
  <c r="H22" i="13"/>
  <c r="C30" i="13"/>
  <c r="B31" i="13"/>
  <c r="T60" i="5"/>
  <c r="T59" i="5"/>
  <c r="T58" i="5"/>
  <c r="V60" i="5" l="1"/>
  <c r="V58" i="5"/>
  <c r="G21" i="11"/>
  <c r="H21" i="11"/>
  <c r="C30" i="11"/>
  <c r="B31" i="11"/>
  <c r="B32" i="13"/>
  <c r="C31" i="13"/>
  <c r="G30" i="12"/>
  <c r="F30" i="12"/>
  <c r="E30" i="12"/>
  <c r="B31" i="12"/>
  <c r="H30" i="12"/>
  <c r="D30" i="12"/>
  <c r="C30" i="12"/>
  <c r="D23" i="13"/>
  <c r="D22" i="11" l="1"/>
  <c r="C31" i="12"/>
  <c r="B32" i="12"/>
  <c r="H31" i="12"/>
  <c r="G31" i="12"/>
  <c r="F31" i="12"/>
  <c r="E31" i="12"/>
  <c r="D31" i="12"/>
  <c r="F23" i="13"/>
  <c r="E23" i="13"/>
  <c r="C31" i="11"/>
  <c r="B32" i="11"/>
  <c r="B33" i="13"/>
  <c r="C32" i="13"/>
  <c r="G23" i="13" l="1"/>
  <c r="H23" i="13"/>
  <c r="F32" i="12"/>
  <c r="D32" i="12"/>
  <c r="C32" i="12"/>
  <c r="E32" i="12"/>
  <c r="B33" i="12"/>
  <c r="H32" i="12"/>
  <c r="G32" i="12"/>
  <c r="F22" i="11"/>
  <c r="E22" i="11"/>
  <c r="C33" i="13"/>
  <c r="B34" i="13"/>
  <c r="B33" i="11"/>
  <c r="C32" i="11"/>
  <c r="D24" i="13" l="1"/>
  <c r="G22" i="11"/>
  <c r="H22" i="11"/>
  <c r="C33" i="11"/>
  <c r="B34" i="11"/>
  <c r="B34" i="12"/>
  <c r="H33" i="12"/>
  <c r="G33" i="12"/>
  <c r="F33" i="12"/>
  <c r="E33" i="12"/>
  <c r="D33" i="12"/>
  <c r="C33" i="12"/>
  <c r="B35" i="13"/>
  <c r="C34" i="13"/>
  <c r="C34" i="11" l="1"/>
  <c r="B35" i="11"/>
  <c r="B36" i="13"/>
  <c r="C35" i="13"/>
  <c r="D23" i="11"/>
  <c r="F24" i="13"/>
  <c r="E24" i="13"/>
  <c r="F34" i="12"/>
  <c r="E34" i="12"/>
  <c r="D34" i="12"/>
  <c r="C34" i="12"/>
  <c r="B35" i="12"/>
  <c r="H34" i="12"/>
  <c r="G34" i="12"/>
  <c r="C36" i="13" l="1"/>
  <c r="B37" i="13"/>
  <c r="G24" i="13"/>
  <c r="H24" i="13"/>
  <c r="F23" i="11"/>
  <c r="E23" i="11"/>
  <c r="B36" i="11"/>
  <c r="C35" i="11"/>
  <c r="E35" i="12"/>
  <c r="F35" i="12"/>
  <c r="D35" i="12"/>
  <c r="C35" i="12"/>
  <c r="B36" i="12"/>
  <c r="H35" i="12"/>
  <c r="G35" i="12"/>
  <c r="H36" i="12" l="1"/>
  <c r="B37" i="12"/>
  <c r="G36" i="12"/>
  <c r="F36" i="12"/>
  <c r="E36" i="12"/>
  <c r="D36" i="12"/>
  <c r="C36" i="12"/>
  <c r="B37" i="11"/>
  <c r="C36" i="11"/>
  <c r="B38" i="13"/>
  <c r="C37" i="13"/>
  <c r="G23" i="11"/>
  <c r="H23" i="11"/>
  <c r="D25" i="13"/>
  <c r="F25" i="13" l="1"/>
  <c r="E25" i="13"/>
  <c r="D24" i="11"/>
  <c r="C37" i="12"/>
  <c r="B38" i="12"/>
  <c r="H37" i="12"/>
  <c r="G37" i="12"/>
  <c r="F37" i="12"/>
  <c r="E37" i="12"/>
  <c r="D37" i="12"/>
  <c r="B39" i="13"/>
  <c r="C38" i="13"/>
  <c r="C37" i="11"/>
  <c r="B38" i="11"/>
  <c r="F24" i="11" l="1"/>
  <c r="E24" i="11"/>
  <c r="G25" i="13"/>
  <c r="H25" i="13"/>
  <c r="D38" i="12"/>
  <c r="G38" i="12"/>
  <c r="F38" i="12"/>
  <c r="E38" i="12"/>
  <c r="B39" i="12"/>
  <c r="H38" i="12"/>
  <c r="C38" i="12"/>
  <c r="C38" i="11"/>
  <c r="B39" i="11"/>
  <c r="C39" i="13"/>
  <c r="B40" i="13"/>
  <c r="C40" i="13" l="1"/>
  <c r="B41" i="13"/>
  <c r="D26" i="13"/>
  <c r="G39" i="12"/>
  <c r="B40" i="12"/>
  <c r="C39" i="12"/>
  <c r="H39" i="12"/>
  <c r="F39" i="12"/>
  <c r="D39" i="12"/>
  <c r="E39" i="12"/>
  <c r="B40" i="11"/>
  <c r="C39" i="11"/>
  <c r="G24" i="11"/>
  <c r="H24" i="11"/>
  <c r="F26" i="13" l="1"/>
  <c r="E26" i="13"/>
  <c r="C40" i="11"/>
  <c r="B41" i="11"/>
  <c r="D25" i="11"/>
  <c r="B42" i="13"/>
  <c r="C41" i="13"/>
  <c r="D40" i="12"/>
  <c r="C40" i="12"/>
  <c r="B41" i="12"/>
  <c r="H40" i="12"/>
  <c r="G40" i="12"/>
  <c r="F40" i="12"/>
  <c r="E40" i="12"/>
  <c r="C41" i="11" l="1"/>
  <c r="B42" i="11"/>
  <c r="C41" i="12"/>
  <c r="H41" i="12"/>
  <c r="G41" i="12"/>
  <c r="F41" i="12"/>
  <c r="D41" i="12"/>
  <c r="B42" i="12"/>
  <c r="E41" i="12"/>
  <c r="B43" i="13"/>
  <c r="C42" i="13"/>
  <c r="F25" i="11"/>
  <c r="E25" i="11"/>
  <c r="G26" i="13"/>
  <c r="H26" i="13"/>
  <c r="D27" i="13" l="1"/>
  <c r="B43" i="11"/>
  <c r="C42" i="11"/>
  <c r="C43" i="13"/>
  <c r="B44" i="13"/>
  <c r="F42" i="12"/>
  <c r="B43" i="12"/>
  <c r="H42" i="12"/>
  <c r="G42" i="12"/>
  <c r="E42" i="12"/>
  <c r="D42" i="12"/>
  <c r="C42" i="12"/>
  <c r="G25" i="11"/>
  <c r="H25" i="11"/>
  <c r="D26" i="11" l="1"/>
  <c r="C43" i="11"/>
  <c r="B44" i="11"/>
  <c r="B45" i="13"/>
  <c r="C44" i="13"/>
  <c r="F27" i="13"/>
  <c r="E27" i="13"/>
  <c r="B44" i="12"/>
  <c r="E43" i="12"/>
  <c r="D43" i="12"/>
  <c r="C43" i="12"/>
  <c r="G43" i="12"/>
  <c r="F43" i="12"/>
  <c r="H43" i="12"/>
  <c r="G27" i="13" l="1"/>
  <c r="H27" i="13"/>
  <c r="C44" i="11"/>
  <c r="B45" i="11"/>
  <c r="B46" i="13"/>
  <c r="C45" i="13"/>
  <c r="B45" i="12"/>
  <c r="H44" i="12"/>
  <c r="G44" i="12"/>
  <c r="F44" i="12"/>
  <c r="E44" i="12"/>
  <c r="D44" i="12"/>
  <c r="C44" i="12"/>
  <c r="F26" i="11"/>
  <c r="E26" i="11"/>
  <c r="C45" i="11" l="1"/>
  <c r="B46" i="11"/>
  <c r="E45" i="12"/>
  <c r="H45" i="12"/>
  <c r="G45" i="12"/>
  <c r="F45" i="12"/>
  <c r="D45" i="12"/>
  <c r="C45" i="12"/>
  <c r="B46" i="12"/>
  <c r="G26" i="11"/>
  <c r="H26" i="11"/>
  <c r="D28" i="13"/>
  <c r="C46" i="13"/>
  <c r="B47" i="13"/>
  <c r="H46" i="12" l="1"/>
  <c r="F46" i="12"/>
  <c r="E46" i="12"/>
  <c r="D46" i="12"/>
  <c r="B47" i="12"/>
  <c r="G46" i="12"/>
  <c r="C46" i="12"/>
  <c r="D27" i="11"/>
  <c r="F28" i="13"/>
  <c r="E28" i="13"/>
  <c r="C46" i="11"/>
  <c r="B47" i="11"/>
  <c r="B48" i="13"/>
  <c r="C47" i="13"/>
  <c r="F27" i="11" l="1"/>
  <c r="E27" i="11"/>
  <c r="B48" i="11"/>
  <c r="C47" i="11"/>
  <c r="B48" i="12"/>
  <c r="H47" i="12"/>
  <c r="G47" i="12"/>
  <c r="F47" i="12"/>
  <c r="E47" i="12"/>
  <c r="D47" i="12"/>
  <c r="C47" i="12"/>
  <c r="G28" i="13"/>
  <c r="H28" i="13"/>
  <c r="B49" i="13"/>
  <c r="C48" i="13"/>
  <c r="B50" i="13" l="1"/>
  <c r="C49" i="13"/>
  <c r="C48" i="11"/>
  <c r="B49" i="11"/>
  <c r="G27" i="11"/>
  <c r="H27" i="11"/>
  <c r="D48" i="12"/>
  <c r="C48" i="12"/>
  <c r="E48" i="12"/>
  <c r="B49" i="12"/>
  <c r="H48" i="12"/>
  <c r="G48" i="12"/>
  <c r="F48" i="12"/>
  <c r="D29" i="13"/>
  <c r="G49" i="12" l="1"/>
  <c r="H49" i="12"/>
  <c r="F49" i="12"/>
  <c r="E49" i="12"/>
  <c r="B50" i="12"/>
  <c r="D49" i="12"/>
  <c r="C49" i="12"/>
  <c r="C49" i="11"/>
  <c r="B50" i="11"/>
  <c r="C50" i="13"/>
  <c r="B51" i="13"/>
  <c r="D28" i="11"/>
  <c r="F29" i="13"/>
  <c r="E29" i="13"/>
  <c r="C13" i="13" s="1"/>
  <c r="F28" i="11" l="1"/>
  <c r="E28" i="11"/>
  <c r="C51" i="13"/>
  <c r="B52" i="13"/>
  <c r="C50" i="11"/>
  <c r="B51" i="11"/>
  <c r="B51" i="12"/>
  <c r="E50" i="12"/>
  <c r="D50" i="12"/>
  <c r="C50" i="12"/>
  <c r="H50" i="12"/>
  <c r="F50" i="12"/>
  <c r="G50" i="12"/>
  <c r="G29" i="13"/>
  <c r="C12" i="13" s="1"/>
  <c r="H29" i="13"/>
  <c r="C14" i="13" l="1"/>
  <c r="D30" i="13"/>
  <c r="C51" i="12"/>
  <c r="E51" i="12"/>
  <c r="D51" i="12"/>
  <c r="B52" i="12"/>
  <c r="H51" i="12"/>
  <c r="G51" i="12"/>
  <c r="F51" i="12"/>
  <c r="B52" i="11"/>
  <c r="C51" i="11"/>
  <c r="G28" i="11"/>
  <c r="H28" i="11"/>
  <c r="B53" i="13"/>
  <c r="C52" i="13"/>
  <c r="F52" i="12" l="1"/>
  <c r="B53" i="12"/>
  <c r="H52" i="12"/>
  <c r="G52" i="12"/>
  <c r="E52" i="12"/>
  <c r="D52" i="12"/>
  <c r="C52" i="12"/>
  <c r="C53" i="13"/>
  <c r="B54" i="13"/>
  <c r="C52" i="11"/>
  <c r="B53" i="11"/>
  <c r="F30" i="13"/>
  <c r="E30" i="13"/>
  <c r="D29" i="11"/>
  <c r="B54" i="12" l="1"/>
  <c r="H53" i="12"/>
  <c r="G53" i="12"/>
  <c r="F53" i="12"/>
  <c r="E53" i="12"/>
  <c r="D53" i="12"/>
  <c r="C53" i="12"/>
  <c r="B54" i="11"/>
  <c r="C53" i="11"/>
  <c r="F29" i="11"/>
  <c r="E29" i="11"/>
  <c r="C13" i="11" s="1"/>
  <c r="H10" i="10" s="1"/>
  <c r="H30" i="10" s="1"/>
  <c r="G30" i="13"/>
  <c r="H30" i="13"/>
  <c r="C54" i="13"/>
  <c r="B55" i="13"/>
  <c r="B56" i="13" l="1"/>
  <c r="C55" i="13"/>
  <c r="H31" i="10"/>
  <c r="D39" i="5"/>
  <c r="D31" i="13"/>
  <c r="G29" i="11"/>
  <c r="C12" i="11" s="1"/>
  <c r="H9" i="10" s="1"/>
  <c r="H29" i="11"/>
  <c r="B55" i="11"/>
  <c r="C54" i="11"/>
  <c r="F54" i="12"/>
  <c r="E54" i="12"/>
  <c r="D54" i="12"/>
  <c r="B55" i="12"/>
  <c r="H54" i="12"/>
  <c r="G54" i="12"/>
  <c r="C54" i="12"/>
  <c r="C55" i="11" l="1"/>
  <c r="B56" i="11"/>
  <c r="C14" i="11"/>
  <c r="H12" i="10" s="1"/>
  <c r="D30" i="11"/>
  <c r="H11" i="10"/>
  <c r="H34" i="10" s="1"/>
  <c r="H32" i="10"/>
  <c r="E55" i="12"/>
  <c r="B56" i="12"/>
  <c r="H55" i="12"/>
  <c r="G55" i="12"/>
  <c r="F55" i="12"/>
  <c r="D55" i="12"/>
  <c r="C55" i="12"/>
  <c r="F31" i="13"/>
  <c r="E31" i="13"/>
  <c r="C56" i="13"/>
  <c r="B57" i="13"/>
  <c r="C57" i="13" l="1"/>
  <c r="B58" i="13"/>
  <c r="H35" i="10"/>
  <c r="I8" i="10"/>
  <c r="I29" i="10" s="1"/>
  <c r="C56" i="11"/>
  <c r="B57" i="11"/>
  <c r="G31" i="13"/>
  <c r="H31" i="13"/>
  <c r="H56" i="12"/>
  <c r="C56" i="12"/>
  <c r="B57" i="12"/>
  <c r="G56" i="12"/>
  <c r="F56" i="12"/>
  <c r="E56" i="12"/>
  <c r="D56" i="12"/>
  <c r="H33" i="10"/>
  <c r="D38" i="5"/>
  <c r="D40" i="5" s="1"/>
  <c r="F30" i="11"/>
  <c r="E30" i="11"/>
  <c r="G30" i="11" l="1"/>
  <c r="H30" i="11"/>
  <c r="K12" i="21"/>
  <c r="D62" i="5"/>
  <c r="K14" i="21" s="1"/>
  <c r="D34" i="4"/>
  <c r="D35" i="4" s="1"/>
  <c r="D42" i="5"/>
  <c r="D32" i="13"/>
  <c r="B58" i="11"/>
  <c r="C57" i="11"/>
  <c r="B59" i="13"/>
  <c r="C58" i="13"/>
  <c r="G57" i="12"/>
  <c r="F57" i="12"/>
  <c r="E57" i="12"/>
  <c r="C57" i="12"/>
  <c r="B58" i="12"/>
  <c r="H57" i="12"/>
  <c r="D57" i="12"/>
  <c r="F32" i="13" l="1"/>
  <c r="E32" i="13"/>
  <c r="D48" i="5"/>
  <c r="D45" i="5"/>
  <c r="C25" i="8" s="1"/>
  <c r="D58" i="12"/>
  <c r="B59" i="12"/>
  <c r="H58" i="12"/>
  <c r="G58" i="12"/>
  <c r="F58" i="12"/>
  <c r="E58" i="12"/>
  <c r="C58" i="12"/>
  <c r="B60" i="13"/>
  <c r="C59" i="13"/>
  <c r="D31" i="11"/>
  <c r="C58" i="11"/>
  <c r="B59" i="11"/>
  <c r="C59" i="11" l="1"/>
  <c r="B60" i="11"/>
  <c r="G59" i="12"/>
  <c r="D59" i="12"/>
  <c r="C59" i="12"/>
  <c r="F59" i="12"/>
  <c r="E59" i="12"/>
  <c r="B60" i="12"/>
  <c r="H59" i="12"/>
  <c r="G32" i="13"/>
  <c r="H32" i="13"/>
  <c r="C62" i="8"/>
  <c r="C38" i="8"/>
  <c r="C74" i="8"/>
  <c r="C44" i="8"/>
  <c r="C50" i="8"/>
  <c r="C56" i="8"/>
  <c r="C32" i="8"/>
  <c r="C68" i="8"/>
  <c r="D50" i="5"/>
  <c r="C60" i="13"/>
  <c r="B61" i="13"/>
  <c r="D49" i="5"/>
  <c r="D51" i="5" s="1"/>
  <c r="F31" i="11"/>
  <c r="E31" i="11"/>
  <c r="D33" i="13" l="1"/>
  <c r="G31" i="11"/>
  <c r="H31" i="11"/>
  <c r="C60" i="11"/>
  <c r="B61" i="11"/>
  <c r="H60" i="12"/>
  <c r="G60" i="12"/>
  <c r="F60" i="12"/>
  <c r="B61" i="12"/>
  <c r="E60" i="12"/>
  <c r="D60" i="12"/>
  <c r="C60" i="12"/>
  <c r="C61" i="13"/>
  <c r="B62" i="13"/>
  <c r="F64" i="9"/>
  <c r="C23" i="8"/>
  <c r="F7" i="9"/>
  <c r="C6" i="8"/>
  <c r="D46" i="4"/>
  <c r="C42" i="8" l="1"/>
  <c r="C41" i="8" s="1"/>
  <c r="C30" i="8"/>
  <c r="C29" i="8" s="1"/>
  <c r="C60" i="8"/>
  <c r="C59" i="8" s="1"/>
  <c r="C66" i="8"/>
  <c r="C65" i="8" s="1"/>
  <c r="C48" i="8"/>
  <c r="C47" i="8" s="1"/>
  <c r="C54" i="8"/>
  <c r="C53" i="8" s="1"/>
  <c r="C28" i="8"/>
  <c r="C72" i="8"/>
  <c r="C71" i="8" s="1"/>
  <c r="C36" i="8"/>
  <c r="C35" i="8" s="1"/>
  <c r="G65" i="9"/>
  <c r="J64" i="9"/>
  <c r="F33" i="13"/>
  <c r="E33" i="13"/>
  <c r="C61" i="12"/>
  <c r="G61" i="12"/>
  <c r="F61" i="12"/>
  <c r="E61" i="12"/>
  <c r="D61" i="12"/>
  <c r="H61" i="12"/>
  <c r="B62" i="12"/>
  <c r="D32" i="11"/>
  <c r="B63" i="13"/>
  <c r="C62" i="13"/>
  <c r="B62" i="11"/>
  <c r="C61" i="11"/>
  <c r="C79" i="8"/>
  <c r="C11" i="8"/>
  <c r="C98" i="8" s="1"/>
  <c r="C15" i="8"/>
  <c r="C94" i="8"/>
  <c r="G8" i="9"/>
  <c r="J7" i="9"/>
  <c r="G9" i="9" l="1"/>
  <c r="J8" i="9"/>
  <c r="C85" i="8"/>
  <c r="C62" i="11"/>
  <c r="B63" i="11"/>
  <c r="C101" i="8"/>
  <c r="C63" i="13"/>
  <c r="B64" i="13"/>
  <c r="F32" i="11"/>
  <c r="E32" i="11"/>
  <c r="G33" i="13"/>
  <c r="H33" i="13"/>
  <c r="G66" i="9"/>
  <c r="J65" i="9"/>
  <c r="F62" i="12"/>
  <c r="E62" i="12"/>
  <c r="D62" i="12"/>
  <c r="C62" i="12"/>
  <c r="B63" i="12"/>
  <c r="H62" i="12"/>
  <c r="G62" i="12"/>
  <c r="G67" i="9" l="1"/>
  <c r="J66" i="9"/>
  <c r="D34" i="13"/>
  <c r="B64" i="12"/>
  <c r="H63" i="12"/>
  <c r="G63" i="12"/>
  <c r="F63" i="12"/>
  <c r="E63" i="12"/>
  <c r="D63" i="12"/>
  <c r="C63" i="12"/>
  <c r="C83" i="8"/>
  <c r="G32" i="11"/>
  <c r="H32" i="11"/>
  <c r="G10" i="9"/>
  <c r="J9" i="9"/>
  <c r="B65" i="13"/>
  <c r="C64" i="13"/>
  <c r="B64" i="11"/>
  <c r="C63" i="11"/>
  <c r="B65" i="11" l="1"/>
  <c r="C64" i="11"/>
  <c r="B66" i="13"/>
  <c r="C65" i="13"/>
  <c r="G68" i="9"/>
  <c r="J68" i="9" s="1"/>
  <c r="J67" i="9"/>
  <c r="C64" i="12"/>
  <c r="D64" i="12"/>
  <c r="B65" i="12"/>
  <c r="H64" i="12"/>
  <c r="G64" i="12"/>
  <c r="F64" i="12"/>
  <c r="E64" i="12"/>
  <c r="J10" i="9"/>
  <c r="G11" i="9"/>
  <c r="J11" i="9" s="1"/>
  <c r="F34" i="13"/>
  <c r="E34" i="13"/>
  <c r="D33" i="11"/>
  <c r="G34" i="13" l="1"/>
  <c r="H34" i="13"/>
  <c r="C65" i="11"/>
  <c r="B66" i="11"/>
  <c r="F33" i="11"/>
  <c r="E33" i="11"/>
  <c r="E65" i="12"/>
  <c r="G65" i="12"/>
  <c r="F65" i="12"/>
  <c r="D65" i="12"/>
  <c r="B66" i="12"/>
  <c r="H65" i="12"/>
  <c r="C65" i="12"/>
  <c r="B67" i="13"/>
  <c r="C66" i="13"/>
  <c r="C66" i="11" l="1"/>
  <c r="B67" i="11"/>
  <c r="G33" i="11"/>
  <c r="H33" i="11"/>
  <c r="D35" i="13"/>
  <c r="H66" i="12"/>
  <c r="B67" i="12"/>
  <c r="D66" i="12"/>
  <c r="C66" i="12"/>
  <c r="G66" i="12"/>
  <c r="F66" i="12"/>
  <c r="E66" i="12"/>
  <c r="C67" i="13"/>
  <c r="B68" i="13"/>
  <c r="B68" i="11" l="1"/>
  <c r="C67" i="11"/>
  <c r="F35" i="13"/>
  <c r="E35" i="13"/>
  <c r="B69" i="13"/>
  <c r="C68" i="13"/>
  <c r="D67" i="12"/>
  <c r="C67" i="12"/>
  <c r="B68" i="12"/>
  <c r="H67" i="12"/>
  <c r="G67" i="12"/>
  <c r="F67" i="12"/>
  <c r="E67" i="12"/>
  <c r="D34" i="11"/>
  <c r="G35" i="13" l="1"/>
  <c r="H35" i="13"/>
  <c r="F34" i="11"/>
  <c r="E34" i="11"/>
  <c r="C68" i="11"/>
  <c r="B69" i="11"/>
  <c r="C69" i="13"/>
  <c r="B70" i="13"/>
  <c r="D68" i="12"/>
  <c r="H68" i="12"/>
  <c r="G68" i="12"/>
  <c r="F68" i="12"/>
  <c r="E68" i="12"/>
  <c r="C68" i="12"/>
  <c r="B69" i="12"/>
  <c r="C70" i="13" l="1"/>
  <c r="B71" i="13"/>
  <c r="D36" i="13"/>
  <c r="G34" i="11"/>
  <c r="H34" i="11"/>
  <c r="C69" i="11"/>
  <c r="B70" i="11"/>
  <c r="G69" i="12"/>
  <c r="B70" i="12"/>
  <c r="H69" i="12"/>
  <c r="F69" i="12"/>
  <c r="E69" i="12"/>
  <c r="D69" i="12"/>
  <c r="C69" i="12"/>
  <c r="F36" i="13" l="1"/>
  <c r="E36" i="13"/>
  <c r="B71" i="11"/>
  <c r="C70" i="11"/>
  <c r="B72" i="13"/>
  <c r="C71" i="13"/>
  <c r="E70" i="12"/>
  <c r="D70" i="12"/>
  <c r="C70" i="12"/>
  <c r="B71" i="12"/>
  <c r="H70" i="12"/>
  <c r="G70" i="12"/>
  <c r="F70" i="12"/>
  <c r="D35" i="11"/>
  <c r="B72" i="11" l="1"/>
  <c r="C71" i="11"/>
  <c r="B73" i="13"/>
  <c r="C72" i="13"/>
  <c r="F35" i="11"/>
  <c r="E35" i="11"/>
  <c r="C71" i="12"/>
  <c r="B72" i="12"/>
  <c r="H71" i="12"/>
  <c r="G71" i="12"/>
  <c r="F71" i="12"/>
  <c r="E71" i="12"/>
  <c r="D71" i="12"/>
  <c r="G36" i="13"/>
  <c r="H36" i="13"/>
  <c r="G35" i="11" l="1"/>
  <c r="H35" i="11"/>
  <c r="C72" i="11"/>
  <c r="B73" i="11"/>
  <c r="F72" i="12"/>
  <c r="B73" i="12"/>
  <c r="H72" i="12"/>
  <c r="G72" i="12"/>
  <c r="E72" i="12"/>
  <c r="D72" i="12"/>
  <c r="C72" i="12"/>
  <c r="D37" i="13"/>
  <c r="B74" i="13"/>
  <c r="C73" i="13"/>
  <c r="B74" i="12" l="1"/>
  <c r="F73" i="12"/>
  <c r="E73" i="12"/>
  <c r="D73" i="12"/>
  <c r="C73" i="12"/>
  <c r="H73" i="12"/>
  <c r="G73" i="12"/>
  <c r="F37" i="13"/>
  <c r="E37" i="13"/>
  <c r="D36" i="11"/>
  <c r="C74" i="13"/>
  <c r="B75" i="13"/>
  <c r="B74" i="11"/>
  <c r="C73" i="11"/>
  <c r="B75" i="11" l="1"/>
  <c r="C74" i="11"/>
  <c r="G37" i="13"/>
  <c r="H37" i="13"/>
  <c r="F36" i="11"/>
  <c r="E36" i="11"/>
  <c r="B75" i="12"/>
  <c r="H74" i="12"/>
  <c r="G74" i="12"/>
  <c r="F74" i="12"/>
  <c r="E74" i="12"/>
  <c r="C74" i="12"/>
  <c r="D74" i="12"/>
  <c r="B76" i="13"/>
  <c r="C75" i="13"/>
  <c r="C76" i="13" l="1"/>
  <c r="B77" i="13"/>
  <c r="E75" i="12"/>
  <c r="C75" i="12"/>
  <c r="B76" i="12"/>
  <c r="H75" i="12"/>
  <c r="G75" i="12"/>
  <c r="F75" i="12"/>
  <c r="D75" i="12"/>
  <c r="C75" i="11"/>
  <c r="B76" i="11"/>
  <c r="D38" i="13"/>
  <c r="G36" i="11"/>
  <c r="H36" i="11"/>
  <c r="C77" i="13" l="1"/>
  <c r="B78" i="13"/>
  <c r="D37" i="11"/>
  <c r="B77" i="11"/>
  <c r="C76" i="11"/>
  <c r="F38" i="13"/>
  <c r="E38" i="13"/>
  <c r="H76" i="12"/>
  <c r="G76" i="12"/>
  <c r="F76" i="12"/>
  <c r="E76" i="12"/>
  <c r="D76" i="12"/>
  <c r="C76" i="12"/>
  <c r="B77" i="12"/>
  <c r="B78" i="12" l="1"/>
  <c r="H77" i="12"/>
  <c r="G77" i="12"/>
  <c r="F77" i="12"/>
  <c r="C77" i="12"/>
  <c r="E77" i="12"/>
  <c r="D77" i="12"/>
  <c r="G38" i="13"/>
  <c r="H38" i="13"/>
  <c r="F37" i="11"/>
  <c r="E37" i="11"/>
  <c r="C78" i="13"/>
  <c r="B79" i="13"/>
  <c r="B78" i="11"/>
  <c r="C77" i="11"/>
  <c r="D39" i="13" l="1"/>
  <c r="C78" i="11"/>
  <c r="B79" i="11"/>
  <c r="G37" i="11"/>
  <c r="H37" i="11"/>
  <c r="D78" i="12"/>
  <c r="E78" i="12"/>
  <c r="C78" i="12"/>
  <c r="B79" i="12"/>
  <c r="H78" i="12"/>
  <c r="G78" i="12"/>
  <c r="F78" i="12"/>
  <c r="B80" i="13"/>
  <c r="C79" i="13"/>
  <c r="C79" i="11" l="1"/>
  <c r="B80" i="11"/>
  <c r="G79" i="12"/>
  <c r="B80" i="12"/>
  <c r="H79" i="12"/>
  <c r="F79" i="12"/>
  <c r="E79" i="12"/>
  <c r="D79" i="12"/>
  <c r="C79" i="12"/>
  <c r="D38" i="11"/>
  <c r="F39" i="13"/>
  <c r="E39" i="13"/>
  <c r="C80" i="13"/>
  <c r="B81" i="13"/>
  <c r="G39" i="13" l="1"/>
  <c r="H39" i="13"/>
  <c r="F38" i="11"/>
  <c r="E38" i="11"/>
  <c r="B81" i="11"/>
  <c r="C80" i="11"/>
  <c r="B82" i="13"/>
  <c r="C81" i="13"/>
  <c r="H80" i="12"/>
  <c r="B81" i="12"/>
  <c r="G80" i="12"/>
  <c r="F80" i="12"/>
  <c r="E80" i="12"/>
  <c r="D80" i="12"/>
  <c r="C80" i="12"/>
  <c r="B83" i="13" l="1"/>
  <c r="C82" i="13"/>
  <c r="D40" i="13"/>
  <c r="G38" i="11"/>
  <c r="H38" i="11"/>
  <c r="B82" i="11"/>
  <c r="C81" i="11"/>
  <c r="C81" i="12"/>
  <c r="G81" i="12"/>
  <c r="F81" i="12"/>
  <c r="E81" i="12"/>
  <c r="D81" i="12"/>
  <c r="B82" i="12"/>
  <c r="H81" i="12"/>
  <c r="F40" i="13" l="1"/>
  <c r="E40" i="13"/>
  <c r="F82" i="12"/>
  <c r="D82" i="12"/>
  <c r="B83" i="12"/>
  <c r="H82" i="12"/>
  <c r="G82" i="12"/>
  <c r="E82" i="12"/>
  <c r="C82" i="12"/>
  <c r="D39" i="11"/>
  <c r="B84" i="13"/>
  <c r="C83" i="13"/>
  <c r="C82" i="11"/>
  <c r="B83" i="11"/>
  <c r="B84" i="12" l="1"/>
  <c r="H83" i="12"/>
  <c r="G83" i="12"/>
  <c r="E83" i="12"/>
  <c r="D83" i="12"/>
  <c r="C83" i="12"/>
  <c r="F83" i="12"/>
  <c r="C84" i="13"/>
  <c r="B85" i="13"/>
  <c r="F39" i="11"/>
  <c r="E39" i="11"/>
  <c r="B84" i="11"/>
  <c r="C83" i="11"/>
  <c r="G40" i="13"/>
  <c r="H40" i="13"/>
  <c r="D41" i="13" l="1"/>
  <c r="G39" i="11"/>
  <c r="H39" i="11"/>
  <c r="B85" i="11"/>
  <c r="C84" i="11"/>
  <c r="B85" i="12"/>
  <c r="H84" i="12"/>
  <c r="G84" i="12"/>
  <c r="F84" i="12"/>
  <c r="E84" i="12"/>
  <c r="D84" i="12"/>
  <c r="C84" i="12"/>
  <c r="B86" i="13"/>
  <c r="C85" i="13"/>
  <c r="C85" i="11" l="1"/>
  <c r="B86" i="11"/>
  <c r="F41" i="13"/>
  <c r="E41" i="13"/>
  <c r="D13" i="13" s="1"/>
  <c r="D40" i="11"/>
  <c r="E85" i="12"/>
  <c r="D85" i="12"/>
  <c r="C85" i="12"/>
  <c r="G85" i="12"/>
  <c r="F85" i="12"/>
  <c r="B86" i="12"/>
  <c r="H85" i="12"/>
  <c r="C86" i="13"/>
  <c r="B87" i="13"/>
  <c r="H86" i="12" l="1"/>
  <c r="G86" i="12"/>
  <c r="F86" i="12"/>
  <c r="B87" i="12"/>
  <c r="E86" i="12"/>
  <c r="D86" i="12"/>
  <c r="C86" i="12"/>
  <c r="G41" i="13"/>
  <c r="D12" i="13" s="1"/>
  <c r="H41" i="13"/>
  <c r="F40" i="11"/>
  <c r="E40" i="11"/>
  <c r="C87" i="13"/>
  <c r="B88" i="13"/>
  <c r="B87" i="11"/>
  <c r="C86" i="11"/>
  <c r="D14" i="13" l="1"/>
  <c r="D42" i="13"/>
  <c r="C88" i="13"/>
  <c r="B89" i="13"/>
  <c r="B88" i="11"/>
  <c r="C87" i="11"/>
  <c r="B88" i="12"/>
  <c r="F87" i="12"/>
  <c r="E87" i="12"/>
  <c r="D87" i="12"/>
  <c r="C87" i="12"/>
  <c r="H87" i="12"/>
  <c r="G87" i="12"/>
  <c r="G40" i="11"/>
  <c r="H40" i="11"/>
  <c r="D88" i="12" l="1"/>
  <c r="C88" i="12"/>
  <c r="B89" i="12"/>
  <c r="H88" i="12"/>
  <c r="G88" i="12"/>
  <c r="F88" i="12"/>
  <c r="E88" i="12"/>
  <c r="D41" i="11"/>
  <c r="B89" i="11"/>
  <c r="C88" i="11"/>
  <c r="F42" i="13"/>
  <c r="E42" i="13"/>
  <c r="B90" i="13"/>
  <c r="C89" i="13"/>
  <c r="G42" i="13" l="1"/>
  <c r="H42" i="13"/>
  <c r="F41" i="11"/>
  <c r="E41" i="11"/>
  <c r="D13" i="11" s="1"/>
  <c r="I10" i="10" s="1"/>
  <c r="I30" i="10" s="1"/>
  <c r="G89" i="12"/>
  <c r="F89" i="12"/>
  <c r="E89" i="12"/>
  <c r="H89" i="12"/>
  <c r="D89" i="12"/>
  <c r="C89" i="12"/>
  <c r="B90" i="12"/>
  <c r="C90" i="13"/>
  <c r="B91" i="13"/>
  <c r="C89" i="11"/>
  <c r="B90" i="11"/>
  <c r="I31" i="10" l="1"/>
  <c r="F39" i="5"/>
  <c r="G41" i="11"/>
  <c r="D12" i="11" s="1"/>
  <c r="I9" i="10" s="1"/>
  <c r="H41" i="11"/>
  <c r="B91" i="12"/>
  <c r="H90" i="12"/>
  <c r="G90" i="12"/>
  <c r="F90" i="12"/>
  <c r="E90" i="12"/>
  <c r="D90" i="12"/>
  <c r="C90" i="12"/>
  <c r="B91" i="11"/>
  <c r="C90" i="11"/>
  <c r="D43" i="13"/>
  <c r="B92" i="13"/>
  <c r="C91" i="13"/>
  <c r="B93" i="13" l="1"/>
  <c r="C92" i="13"/>
  <c r="B92" i="11"/>
  <c r="C91" i="11"/>
  <c r="D14" i="11"/>
  <c r="I12" i="10" s="1"/>
  <c r="D42" i="11"/>
  <c r="I11" i="10"/>
  <c r="I34" i="10" s="1"/>
  <c r="I32" i="10"/>
  <c r="F43" i="13"/>
  <c r="E43" i="13"/>
  <c r="C91" i="12"/>
  <c r="G91" i="12"/>
  <c r="F91" i="12"/>
  <c r="E91" i="12"/>
  <c r="D91" i="12"/>
  <c r="B92" i="12"/>
  <c r="H91" i="12"/>
  <c r="F92" i="12" l="1"/>
  <c r="E92" i="12"/>
  <c r="D92" i="12"/>
  <c r="B93" i="12"/>
  <c r="H92" i="12"/>
  <c r="G92" i="12"/>
  <c r="C92" i="12"/>
  <c r="I33" i="10"/>
  <c r="F38" i="5"/>
  <c r="F40" i="5" s="1"/>
  <c r="F42" i="11"/>
  <c r="E42" i="11"/>
  <c r="C92" i="11"/>
  <c r="B93" i="11"/>
  <c r="C93" i="13"/>
  <c r="B94" i="13"/>
  <c r="J8" i="10"/>
  <c r="J29" i="10" s="1"/>
  <c r="I35" i="10"/>
  <c r="G43" i="13"/>
  <c r="H43" i="13"/>
  <c r="C93" i="11" l="1"/>
  <c r="B94" i="11"/>
  <c r="B94" i="12"/>
  <c r="H93" i="12"/>
  <c r="G93" i="12"/>
  <c r="F93" i="12"/>
  <c r="E93" i="12"/>
  <c r="D93" i="12"/>
  <c r="C93" i="12"/>
  <c r="B95" i="13"/>
  <c r="C94" i="13"/>
  <c r="F62" i="5"/>
  <c r="F42" i="5"/>
  <c r="D44" i="13"/>
  <c r="G42" i="11"/>
  <c r="H42" i="11"/>
  <c r="D43" i="11" l="1"/>
  <c r="B95" i="12"/>
  <c r="H94" i="12"/>
  <c r="G94" i="12"/>
  <c r="F94" i="12"/>
  <c r="E94" i="12"/>
  <c r="D94" i="12"/>
  <c r="C94" i="12"/>
  <c r="C95" i="13"/>
  <c r="B96" i="13"/>
  <c r="F44" i="13"/>
  <c r="E44" i="13"/>
  <c r="B95" i="11"/>
  <c r="C94" i="11"/>
  <c r="F48" i="5"/>
  <c r="F45" i="5"/>
  <c r="D25" i="8" s="1"/>
  <c r="B97" i="13" l="1"/>
  <c r="C96" i="13"/>
  <c r="E95" i="12"/>
  <c r="D95" i="12"/>
  <c r="C95" i="12"/>
  <c r="H95" i="12"/>
  <c r="G95" i="12"/>
  <c r="F95" i="12"/>
  <c r="B96" i="12"/>
  <c r="C95" i="11"/>
  <c r="B96" i="11"/>
  <c r="F43" i="11"/>
  <c r="E43" i="11"/>
  <c r="G44" i="13"/>
  <c r="H44" i="13"/>
  <c r="F49" i="5"/>
  <c r="F51" i="5" s="1"/>
  <c r="D68" i="8"/>
  <c r="D74" i="8"/>
  <c r="D44" i="8"/>
  <c r="D50" i="8"/>
  <c r="D56" i="8"/>
  <c r="D32" i="8"/>
  <c r="D62" i="8"/>
  <c r="D38" i="8"/>
  <c r="F50" i="5"/>
  <c r="H96" i="12" l="1"/>
  <c r="G96" i="12"/>
  <c r="F96" i="12"/>
  <c r="B97" i="12"/>
  <c r="C96" i="12"/>
  <c r="D96" i="12"/>
  <c r="E96" i="12"/>
  <c r="G43" i="11"/>
  <c r="H43" i="11"/>
  <c r="D45" i="13"/>
  <c r="B97" i="11"/>
  <c r="C96" i="11"/>
  <c r="C97" i="13"/>
  <c r="B98" i="13"/>
  <c r="F69" i="9"/>
  <c r="F12" i="9"/>
  <c r="D6" i="8"/>
  <c r="D23" i="8"/>
  <c r="B98" i="11" l="1"/>
  <c r="C97" i="11"/>
  <c r="B99" i="13"/>
  <c r="C98" i="13"/>
  <c r="B98" i="12"/>
  <c r="G97" i="12"/>
  <c r="F97" i="12"/>
  <c r="E97" i="12"/>
  <c r="D97" i="12"/>
  <c r="C97" i="12"/>
  <c r="H97" i="12"/>
  <c r="G70" i="9"/>
  <c r="J69" i="9"/>
  <c r="D48" i="8"/>
  <c r="D47" i="8" s="1"/>
  <c r="D66" i="8"/>
  <c r="D65" i="8" s="1"/>
  <c r="D28" i="8"/>
  <c r="D72" i="8"/>
  <c r="D71" i="8" s="1"/>
  <c r="D54" i="8"/>
  <c r="D53" i="8" s="1"/>
  <c r="D42" i="8"/>
  <c r="D41" i="8" s="1"/>
  <c r="D60" i="8"/>
  <c r="D59" i="8" s="1"/>
  <c r="D30" i="8"/>
  <c r="D29" i="8" s="1"/>
  <c r="D36" i="8"/>
  <c r="D35" i="8" s="1"/>
  <c r="D79" i="8"/>
  <c r="D15" i="8"/>
  <c r="D94" i="8"/>
  <c r="D11" i="8"/>
  <c r="D98" i="8" s="1"/>
  <c r="D44" i="11"/>
  <c r="F45" i="13"/>
  <c r="E45" i="13"/>
  <c r="G13" i="9"/>
  <c r="J12" i="9"/>
  <c r="G14" i="9" l="1"/>
  <c r="J13" i="9"/>
  <c r="G45" i="13"/>
  <c r="H45" i="13"/>
  <c r="D101" i="8"/>
  <c r="D85" i="8"/>
  <c r="D98" i="12"/>
  <c r="C98" i="12"/>
  <c r="B99" i="12"/>
  <c r="H98" i="12"/>
  <c r="G98" i="12"/>
  <c r="F98" i="12"/>
  <c r="E98" i="12"/>
  <c r="F44" i="11"/>
  <c r="E44" i="11"/>
  <c r="J70" i="9"/>
  <c r="G71" i="9"/>
  <c r="B99" i="11"/>
  <c r="C98" i="11"/>
  <c r="B100" i="13"/>
  <c r="C99" i="13"/>
  <c r="C100" i="13" l="1"/>
  <c r="B101" i="13"/>
  <c r="D83" i="8"/>
  <c r="G44" i="11"/>
  <c r="H44" i="11"/>
  <c r="D46" i="13"/>
  <c r="C99" i="11"/>
  <c r="B100" i="11"/>
  <c r="G99" i="12"/>
  <c r="F99" i="12"/>
  <c r="E99" i="12"/>
  <c r="B100" i="12"/>
  <c r="H99" i="12"/>
  <c r="D99" i="12"/>
  <c r="C99" i="12"/>
  <c r="G72" i="9"/>
  <c r="J71" i="9"/>
  <c r="G15" i="9"/>
  <c r="J14" i="9"/>
  <c r="F46" i="13" l="1"/>
  <c r="E46" i="13"/>
  <c r="D45" i="11"/>
  <c r="B101" i="11"/>
  <c r="C100" i="11"/>
  <c r="J72" i="9"/>
  <c r="G73" i="9"/>
  <c r="J73" i="9" s="1"/>
  <c r="B102" i="13"/>
  <c r="C101" i="13"/>
  <c r="J15" i="9"/>
  <c r="G16" i="9"/>
  <c r="J16" i="9" s="1"/>
  <c r="B101" i="12"/>
  <c r="H100" i="12"/>
  <c r="G100" i="12"/>
  <c r="F100" i="12"/>
  <c r="E100" i="12"/>
  <c r="D100" i="12"/>
  <c r="C100" i="12"/>
  <c r="B102" i="11" l="1"/>
  <c r="C101" i="11"/>
  <c r="F45" i="11"/>
  <c r="E45" i="11"/>
  <c r="C101" i="12"/>
  <c r="H101" i="12"/>
  <c r="G101" i="12"/>
  <c r="F101" i="12"/>
  <c r="E101" i="12"/>
  <c r="D101" i="12"/>
  <c r="B102" i="12"/>
  <c r="B103" i="13"/>
  <c r="C102" i="13"/>
  <c r="G46" i="13"/>
  <c r="H46" i="13"/>
  <c r="B104" i="13" l="1"/>
  <c r="C103" i="13"/>
  <c r="G45" i="11"/>
  <c r="H45" i="11"/>
  <c r="F102" i="12"/>
  <c r="E102" i="12"/>
  <c r="D102" i="12"/>
  <c r="B103" i="12"/>
  <c r="H102" i="12"/>
  <c r="G102" i="12"/>
  <c r="C102" i="12"/>
  <c r="D47" i="13"/>
  <c r="C102" i="11"/>
  <c r="B103" i="11"/>
  <c r="F47" i="13" l="1"/>
  <c r="E47" i="13"/>
  <c r="B104" i="12"/>
  <c r="H103" i="12"/>
  <c r="G103" i="12"/>
  <c r="F103" i="12"/>
  <c r="E103" i="12"/>
  <c r="D103" i="12"/>
  <c r="C103" i="12"/>
  <c r="C104" i="13"/>
  <c r="B105" i="13"/>
  <c r="C103" i="11"/>
  <c r="B104" i="11"/>
  <c r="D46" i="11"/>
  <c r="F46" i="11" l="1"/>
  <c r="E46" i="11"/>
  <c r="C104" i="12"/>
  <c r="B105" i="12"/>
  <c r="H104" i="12"/>
  <c r="G104" i="12"/>
  <c r="F104" i="12"/>
  <c r="E104" i="12"/>
  <c r="D104" i="12"/>
  <c r="G47" i="13"/>
  <c r="H47" i="13"/>
  <c r="B106" i="13"/>
  <c r="C105" i="13"/>
  <c r="B105" i="11"/>
  <c r="C104" i="11"/>
  <c r="C106" i="13" l="1"/>
  <c r="B107" i="13"/>
  <c r="C105" i="11"/>
  <c r="B106" i="11"/>
  <c r="G46" i="11"/>
  <c r="H46" i="11"/>
  <c r="E105" i="12"/>
  <c r="D105" i="12"/>
  <c r="C105" i="12"/>
  <c r="B106" i="12"/>
  <c r="H105" i="12"/>
  <c r="G105" i="12"/>
  <c r="F105" i="12"/>
  <c r="D48" i="13"/>
  <c r="D47" i="11" l="1"/>
  <c r="F48" i="13"/>
  <c r="E48" i="13"/>
  <c r="C107" i="13"/>
  <c r="B108" i="13"/>
  <c r="H106" i="12"/>
  <c r="G106" i="12"/>
  <c r="F106" i="12"/>
  <c r="D106" i="12"/>
  <c r="C106" i="12"/>
  <c r="B107" i="12"/>
  <c r="E106" i="12"/>
  <c r="B107" i="11"/>
  <c r="C106" i="11"/>
  <c r="G48" i="13" l="1"/>
  <c r="H48" i="13"/>
  <c r="B108" i="11"/>
  <c r="C107" i="11"/>
  <c r="C108" i="13"/>
  <c r="B109" i="13"/>
  <c r="B108" i="12"/>
  <c r="H107" i="12"/>
  <c r="G107" i="12"/>
  <c r="F107" i="12"/>
  <c r="E107" i="12"/>
  <c r="D107" i="12"/>
  <c r="C107" i="12"/>
  <c r="F47" i="11"/>
  <c r="E47" i="11"/>
  <c r="B110" i="13" l="1"/>
  <c r="C109" i="13"/>
  <c r="D108" i="12"/>
  <c r="C108" i="12"/>
  <c r="B109" i="12"/>
  <c r="H108" i="12"/>
  <c r="G108" i="12"/>
  <c r="F108" i="12"/>
  <c r="E108" i="12"/>
  <c r="G47" i="11"/>
  <c r="H47" i="11"/>
  <c r="B109" i="11"/>
  <c r="C108" i="11"/>
  <c r="D49" i="13"/>
  <c r="C109" i="11" l="1"/>
  <c r="B110" i="11"/>
  <c r="D48" i="11"/>
  <c r="F49" i="13"/>
  <c r="E49" i="13"/>
  <c r="C110" i="13"/>
  <c r="B111" i="13"/>
  <c r="G109" i="12"/>
  <c r="F109" i="12"/>
  <c r="E109" i="12"/>
  <c r="B110" i="12"/>
  <c r="H109" i="12"/>
  <c r="D109" i="12"/>
  <c r="C109" i="12"/>
  <c r="B111" i="12" l="1"/>
  <c r="H110" i="12"/>
  <c r="C110" i="12"/>
  <c r="G110" i="12"/>
  <c r="F110" i="12"/>
  <c r="E110" i="12"/>
  <c r="D110" i="12"/>
  <c r="G49" i="13"/>
  <c r="H49" i="13"/>
  <c r="B111" i="11"/>
  <c r="C110" i="11"/>
  <c r="C111" i="13"/>
  <c r="B112" i="13"/>
  <c r="F48" i="11"/>
  <c r="E48" i="11"/>
  <c r="D50" i="13" l="1"/>
  <c r="B112" i="11"/>
  <c r="C111" i="11"/>
  <c r="B113" i="13"/>
  <c r="C112" i="13"/>
  <c r="G48" i="11"/>
  <c r="H48" i="11"/>
  <c r="C111" i="12"/>
  <c r="B112" i="12"/>
  <c r="H111" i="12"/>
  <c r="G111" i="12"/>
  <c r="F111" i="12"/>
  <c r="E111" i="12"/>
  <c r="D111" i="12"/>
  <c r="C112" i="11" l="1"/>
  <c r="B113" i="11"/>
  <c r="F112" i="12"/>
  <c r="E112" i="12"/>
  <c r="D112" i="12"/>
  <c r="B113" i="12"/>
  <c r="H112" i="12"/>
  <c r="G112" i="12"/>
  <c r="C112" i="12"/>
  <c r="F50" i="13"/>
  <c r="E50" i="13"/>
  <c r="C113" i="13"/>
  <c r="B114" i="13"/>
  <c r="D49" i="11"/>
  <c r="F49" i="11" l="1"/>
  <c r="E49" i="11"/>
  <c r="B115" i="13"/>
  <c r="C114" i="13"/>
  <c r="B114" i="12"/>
  <c r="H113" i="12"/>
  <c r="G113" i="12"/>
  <c r="F113" i="12"/>
  <c r="E113" i="12"/>
  <c r="D113" i="12"/>
  <c r="C113" i="12"/>
  <c r="G50" i="13"/>
  <c r="H50" i="13"/>
  <c r="C113" i="11"/>
  <c r="B114" i="11"/>
  <c r="D51" i="13" l="1"/>
  <c r="B116" i="13"/>
  <c r="C115" i="13"/>
  <c r="B115" i="11"/>
  <c r="C114" i="11"/>
  <c r="D114" i="12"/>
  <c r="C114" i="12"/>
  <c r="B115" i="12"/>
  <c r="H114" i="12"/>
  <c r="G114" i="12"/>
  <c r="F114" i="12"/>
  <c r="E114" i="12"/>
  <c r="G49" i="11"/>
  <c r="H49" i="11"/>
  <c r="C116" i="13" l="1"/>
  <c r="B117" i="13"/>
  <c r="F51" i="13"/>
  <c r="E51" i="13"/>
  <c r="D50" i="11"/>
  <c r="C115" i="11"/>
  <c r="B116" i="11"/>
  <c r="E115" i="12"/>
  <c r="D115" i="12"/>
  <c r="C115" i="12"/>
  <c r="B116" i="12"/>
  <c r="H115" i="12"/>
  <c r="G115" i="12"/>
  <c r="F115" i="12"/>
  <c r="G51" i="13" l="1"/>
  <c r="H51" i="13"/>
  <c r="B117" i="11"/>
  <c r="C116" i="11"/>
  <c r="C117" i="13"/>
  <c r="B118" i="13"/>
  <c r="H116" i="12"/>
  <c r="G116" i="12"/>
  <c r="F116" i="12"/>
  <c r="C116" i="12"/>
  <c r="B117" i="12"/>
  <c r="E116" i="12"/>
  <c r="D116" i="12"/>
  <c r="F50" i="11"/>
  <c r="E50" i="11"/>
  <c r="B118" i="11" l="1"/>
  <c r="C117" i="11"/>
  <c r="G50" i="11"/>
  <c r="H50" i="11"/>
  <c r="C118" i="13"/>
  <c r="B119" i="13"/>
  <c r="B118" i="12"/>
  <c r="H117" i="12"/>
  <c r="G117" i="12"/>
  <c r="F117" i="12"/>
  <c r="E117" i="12"/>
  <c r="D117" i="12"/>
  <c r="C117" i="12"/>
  <c r="D52" i="13"/>
  <c r="D51" i="11" l="1"/>
  <c r="D118" i="12"/>
  <c r="C118" i="12"/>
  <c r="E118" i="12"/>
  <c r="B119" i="12"/>
  <c r="H118" i="12"/>
  <c r="G118" i="12"/>
  <c r="F118" i="12"/>
  <c r="B120" i="13"/>
  <c r="C119" i="13"/>
  <c r="F52" i="13"/>
  <c r="E52" i="13"/>
  <c r="B119" i="11"/>
  <c r="C118" i="11"/>
  <c r="G52" i="13" l="1"/>
  <c r="H52" i="13"/>
  <c r="G119" i="12"/>
  <c r="F119" i="12"/>
  <c r="E119" i="12"/>
  <c r="B120" i="12"/>
  <c r="H119" i="12"/>
  <c r="D119" i="12"/>
  <c r="C119" i="12"/>
  <c r="F51" i="11"/>
  <c r="E51" i="11"/>
  <c r="C120" i="13"/>
  <c r="B121" i="13"/>
  <c r="C119" i="11"/>
  <c r="B120" i="11"/>
  <c r="B121" i="12" l="1"/>
  <c r="H120" i="12"/>
  <c r="D120" i="12"/>
  <c r="C120" i="12"/>
  <c r="G120" i="12"/>
  <c r="F120" i="12"/>
  <c r="E120" i="12"/>
  <c r="B121" i="11"/>
  <c r="C120" i="11"/>
  <c r="D53" i="13"/>
  <c r="G51" i="11"/>
  <c r="H51" i="11"/>
  <c r="B122" i="13"/>
  <c r="C121" i="13"/>
  <c r="D52" i="11" l="1"/>
  <c r="C121" i="12"/>
  <c r="B122" i="12"/>
  <c r="H121" i="12"/>
  <c r="G121" i="12"/>
  <c r="F121" i="12"/>
  <c r="E121" i="12"/>
  <c r="D121" i="12"/>
  <c r="F53" i="13"/>
  <c r="E53" i="13"/>
  <c r="E13" i="13" s="1"/>
  <c r="B122" i="11"/>
  <c r="C121" i="11"/>
  <c r="B123" i="13"/>
  <c r="C122" i="13"/>
  <c r="C122" i="11" l="1"/>
  <c r="B123" i="11"/>
  <c r="F122" i="12"/>
  <c r="E122" i="12"/>
  <c r="D122" i="12"/>
  <c r="C122" i="12"/>
  <c r="B123" i="12"/>
  <c r="H122" i="12"/>
  <c r="G122" i="12"/>
  <c r="F52" i="11"/>
  <c r="E52" i="11"/>
  <c r="B124" i="13"/>
  <c r="C123" i="13"/>
  <c r="G53" i="13"/>
  <c r="E12" i="13" s="1"/>
  <c r="H53" i="13"/>
  <c r="E14" i="13" l="1"/>
  <c r="D54" i="13"/>
  <c r="B124" i="11"/>
  <c r="C123" i="11"/>
  <c r="C124" i="13"/>
  <c r="B125" i="13"/>
  <c r="B124" i="12"/>
  <c r="H123" i="12"/>
  <c r="G123" i="12"/>
  <c r="F123" i="12"/>
  <c r="E123" i="12"/>
  <c r="D123" i="12"/>
  <c r="C123" i="12"/>
  <c r="G52" i="11"/>
  <c r="H52" i="11"/>
  <c r="E124" i="12" l="1"/>
  <c r="D124" i="12"/>
  <c r="C124" i="12"/>
  <c r="B125" i="12"/>
  <c r="H124" i="12"/>
  <c r="G124" i="12"/>
  <c r="F124" i="12"/>
  <c r="F54" i="13"/>
  <c r="E54" i="13"/>
  <c r="B125" i="11"/>
  <c r="C124" i="11"/>
  <c r="D53" i="11"/>
  <c r="B126" i="13"/>
  <c r="C125" i="13"/>
  <c r="G54" i="13" l="1"/>
  <c r="H54" i="13"/>
  <c r="B127" i="13"/>
  <c r="C126" i="13"/>
  <c r="E125" i="12"/>
  <c r="D125" i="12"/>
  <c r="C125" i="12"/>
  <c r="B126" i="12"/>
  <c r="H125" i="12"/>
  <c r="G125" i="12"/>
  <c r="F125" i="12"/>
  <c r="C125" i="11"/>
  <c r="B126" i="11"/>
  <c r="F53" i="11"/>
  <c r="E53" i="11"/>
  <c r="E13" i="11" s="1"/>
  <c r="J10" i="10" s="1"/>
  <c r="J30" i="10" s="1"/>
  <c r="G53" i="11" l="1"/>
  <c r="E12" i="11" s="1"/>
  <c r="J9" i="10" s="1"/>
  <c r="H53" i="11"/>
  <c r="B127" i="11"/>
  <c r="C126" i="11"/>
  <c r="H126" i="12"/>
  <c r="G126" i="12"/>
  <c r="F126" i="12"/>
  <c r="D126" i="12"/>
  <c r="C126" i="12"/>
  <c r="B127" i="12"/>
  <c r="E126" i="12"/>
  <c r="C127" i="13"/>
  <c r="B128" i="13"/>
  <c r="D55" i="13"/>
  <c r="J31" i="10"/>
  <c r="H39" i="5"/>
  <c r="B128" i="12" l="1"/>
  <c r="H127" i="12"/>
  <c r="G127" i="12"/>
  <c r="F127" i="12"/>
  <c r="E127" i="12"/>
  <c r="D127" i="12"/>
  <c r="C127" i="12"/>
  <c r="B128" i="11"/>
  <c r="C127" i="11"/>
  <c r="E14" i="11"/>
  <c r="J12" i="10" s="1"/>
  <c r="D54" i="11"/>
  <c r="F55" i="13"/>
  <c r="E55" i="13"/>
  <c r="B129" i="13"/>
  <c r="C128" i="13"/>
  <c r="J32" i="10"/>
  <c r="J11" i="10"/>
  <c r="J34" i="10" s="1"/>
  <c r="C128" i="11" l="1"/>
  <c r="B129" i="11"/>
  <c r="G55" i="13"/>
  <c r="H55" i="13"/>
  <c r="F54" i="11"/>
  <c r="E54" i="11"/>
  <c r="B130" i="13"/>
  <c r="C129" i="13"/>
  <c r="K8" i="10"/>
  <c r="K29" i="10" s="1"/>
  <c r="J35" i="10"/>
  <c r="D128" i="12"/>
  <c r="C128" i="12"/>
  <c r="F128" i="12"/>
  <c r="E128" i="12"/>
  <c r="B129" i="12"/>
  <c r="H128" i="12"/>
  <c r="G128" i="12"/>
  <c r="J33" i="10"/>
  <c r="H38" i="5"/>
  <c r="H40" i="5" s="1"/>
  <c r="C130" i="13" l="1"/>
  <c r="B131" i="13"/>
  <c r="H62" i="5"/>
  <c r="H42" i="5"/>
  <c r="G54" i="11"/>
  <c r="H54" i="11"/>
  <c r="G129" i="12"/>
  <c r="F129" i="12"/>
  <c r="E129" i="12"/>
  <c r="B130" i="12"/>
  <c r="H129" i="12"/>
  <c r="D129" i="12"/>
  <c r="C129" i="12"/>
  <c r="C129" i="11"/>
  <c r="B130" i="11"/>
  <c r="D56" i="13"/>
  <c r="H48" i="5" l="1"/>
  <c r="H45" i="5"/>
  <c r="E25" i="8" s="1"/>
  <c r="C131" i="13"/>
  <c r="B132" i="13"/>
  <c r="B131" i="11"/>
  <c r="C130" i="11"/>
  <c r="D55" i="11"/>
  <c r="F56" i="13"/>
  <c r="E56" i="13"/>
  <c r="B131" i="12"/>
  <c r="H130" i="12"/>
  <c r="E130" i="12"/>
  <c r="D130" i="12"/>
  <c r="C130" i="12"/>
  <c r="G130" i="12"/>
  <c r="F130" i="12"/>
  <c r="F55" i="11" l="1"/>
  <c r="E55" i="11"/>
  <c r="C131" i="12"/>
  <c r="B132" i="12"/>
  <c r="H131" i="12"/>
  <c r="G131" i="12"/>
  <c r="F131" i="12"/>
  <c r="E131" i="12"/>
  <c r="D131" i="12"/>
  <c r="E74" i="8"/>
  <c r="E62" i="8"/>
  <c r="E44" i="8"/>
  <c r="E50" i="8"/>
  <c r="E56" i="8"/>
  <c r="E32" i="8"/>
  <c r="E68" i="8"/>
  <c r="E38" i="8"/>
  <c r="H49" i="5"/>
  <c r="H51" i="5" s="1"/>
  <c r="H50" i="5"/>
  <c r="B132" i="11"/>
  <c r="C131" i="11"/>
  <c r="G56" i="13"/>
  <c r="H56" i="13"/>
  <c r="B133" i="13"/>
  <c r="C132" i="13"/>
  <c r="C132" i="11" l="1"/>
  <c r="B133" i="11"/>
  <c r="F132" i="12"/>
  <c r="E132" i="12"/>
  <c r="D132" i="12"/>
  <c r="G132" i="12"/>
  <c r="C132" i="12"/>
  <c r="B133" i="12"/>
  <c r="H132" i="12"/>
  <c r="B134" i="13"/>
  <c r="C133" i="13"/>
  <c r="D57" i="13"/>
  <c r="F17" i="9"/>
  <c r="E6" i="8"/>
  <c r="F74" i="9"/>
  <c r="E23" i="8"/>
  <c r="G55" i="11"/>
  <c r="H55" i="11"/>
  <c r="E79" i="8" l="1"/>
  <c r="E15" i="8"/>
  <c r="E94" i="8"/>
  <c r="E11" i="8"/>
  <c r="E98" i="8" s="1"/>
  <c r="B134" i="12"/>
  <c r="H133" i="12"/>
  <c r="G133" i="12"/>
  <c r="F133" i="12"/>
  <c r="E133" i="12"/>
  <c r="D133" i="12"/>
  <c r="C133" i="12"/>
  <c r="B134" i="11"/>
  <c r="C133" i="11"/>
  <c r="G18" i="9"/>
  <c r="J17" i="9"/>
  <c r="F57" i="13"/>
  <c r="E57" i="13"/>
  <c r="E54" i="8"/>
  <c r="E53" i="8" s="1"/>
  <c r="E72" i="8"/>
  <c r="E71" i="8" s="1"/>
  <c r="E48" i="8"/>
  <c r="E47" i="8" s="1"/>
  <c r="E66" i="8"/>
  <c r="E65" i="8" s="1"/>
  <c r="E42" i="8"/>
  <c r="E41" i="8" s="1"/>
  <c r="E60" i="8"/>
  <c r="E59" i="8" s="1"/>
  <c r="E30" i="8"/>
  <c r="E29" i="8" s="1"/>
  <c r="E28" i="8"/>
  <c r="E36" i="8"/>
  <c r="E35" i="8" s="1"/>
  <c r="J74" i="9"/>
  <c r="G75" i="9"/>
  <c r="C134" i="13"/>
  <c r="B135" i="13"/>
  <c r="D56" i="11"/>
  <c r="F56" i="11" l="1"/>
  <c r="E56" i="11"/>
  <c r="G76" i="9"/>
  <c r="J75" i="9"/>
  <c r="B135" i="11"/>
  <c r="C134" i="11"/>
  <c r="B136" i="13"/>
  <c r="C135" i="13"/>
  <c r="E101" i="8"/>
  <c r="F134" i="12"/>
  <c r="E134" i="12"/>
  <c r="D134" i="12"/>
  <c r="C134" i="12"/>
  <c r="B135" i="12"/>
  <c r="G134" i="12"/>
  <c r="H134" i="12"/>
  <c r="G57" i="13"/>
  <c r="H57" i="13"/>
  <c r="G19" i="9"/>
  <c r="J18" i="9"/>
  <c r="E85" i="8"/>
  <c r="C135" i="11" l="1"/>
  <c r="B136" i="11"/>
  <c r="E83" i="8"/>
  <c r="C136" i="13"/>
  <c r="B137" i="13"/>
  <c r="J76" i="9"/>
  <c r="G77" i="9"/>
  <c r="E135" i="12"/>
  <c r="D135" i="12"/>
  <c r="C135" i="12"/>
  <c r="B136" i="12"/>
  <c r="H135" i="12"/>
  <c r="G135" i="12"/>
  <c r="F135" i="12"/>
  <c r="G56" i="11"/>
  <c r="H56" i="11"/>
  <c r="G20" i="9"/>
  <c r="J19" i="9"/>
  <c r="D58" i="13"/>
  <c r="J77" i="9" l="1"/>
  <c r="G78" i="9"/>
  <c r="J78" i="9" s="1"/>
  <c r="C137" i="13"/>
  <c r="B138" i="13"/>
  <c r="H136" i="12"/>
  <c r="G136" i="12"/>
  <c r="F136" i="12"/>
  <c r="E136" i="12"/>
  <c r="D136" i="12"/>
  <c r="C136" i="12"/>
  <c r="B137" i="12"/>
  <c r="B137" i="11"/>
  <c r="C136" i="11"/>
  <c r="F58" i="13"/>
  <c r="E58" i="13"/>
  <c r="G21" i="9"/>
  <c r="J21" i="9" s="1"/>
  <c r="J20" i="9"/>
  <c r="D57" i="11"/>
  <c r="F57" i="11" l="1"/>
  <c r="E57" i="11"/>
  <c r="C138" i="13"/>
  <c r="B139" i="13"/>
  <c r="G58" i="13"/>
  <c r="H58" i="13"/>
  <c r="B138" i="12"/>
  <c r="H137" i="12"/>
  <c r="G137" i="12"/>
  <c r="F137" i="12"/>
  <c r="E137" i="12"/>
  <c r="D137" i="12"/>
  <c r="C137" i="12"/>
  <c r="B138" i="11"/>
  <c r="C137" i="11"/>
  <c r="B140" i="13" l="1"/>
  <c r="C139" i="13"/>
  <c r="D59" i="13"/>
  <c r="D138" i="12"/>
  <c r="C138" i="12"/>
  <c r="G138" i="12"/>
  <c r="F138" i="12"/>
  <c r="E138" i="12"/>
  <c r="B139" i="12"/>
  <c r="H138" i="12"/>
  <c r="C138" i="11"/>
  <c r="B139" i="11"/>
  <c r="G57" i="11"/>
  <c r="H57" i="11"/>
  <c r="F59" i="13" l="1"/>
  <c r="E59" i="13"/>
  <c r="C140" i="13"/>
  <c r="B141" i="13"/>
  <c r="D58" i="11"/>
  <c r="G139" i="12"/>
  <c r="F139" i="12"/>
  <c r="E139" i="12"/>
  <c r="B140" i="12"/>
  <c r="H139" i="12"/>
  <c r="D139" i="12"/>
  <c r="C139" i="12"/>
  <c r="C139" i="11"/>
  <c r="B140" i="11"/>
  <c r="B142" i="13" l="1"/>
  <c r="C141" i="13"/>
  <c r="C140" i="11"/>
  <c r="B141" i="11"/>
  <c r="F58" i="11"/>
  <c r="E58" i="11"/>
  <c r="G59" i="13"/>
  <c r="H59" i="13"/>
  <c r="B141" i="12"/>
  <c r="H140" i="12"/>
  <c r="F140" i="12"/>
  <c r="E140" i="12"/>
  <c r="D140" i="12"/>
  <c r="C140" i="12"/>
  <c r="G140" i="12"/>
  <c r="D60" i="13" l="1"/>
  <c r="B143" i="13"/>
  <c r="C142" i="13"/>
  <c r="G58" i="11"/>
  <c r="H58" i="11"/>
  <c r="B142" i="11"/>
  <c r="C141" i="11"/>
  <c r="C141" i="12"/>
  <c r="B142" i="12"/>
  <c r="H141" i="12"/>
  <c r="G141" i="12"/>
  <c r="F141" i="12"/>
  <c r="E141" i="12"/>
  <c r="D141" i="12"/>
  <c r="F142" i="12" l="1"/>
  <c r="E142" i="12"/>
  <c r="D142" i="12"/>
  <c r="H142" i="12"/>
  <c r="G142" i="12"/>
  <c r="C142" i="12"/>
  <c r="B143" i="12"/>
  <c r="C142" i="11"/>
  <c r="B143" i="11"/>
  <c r="D59" i="11"/>
  <c r="F60" i="13"/>
  <c r="E60" i="13"/>
  <c r="B144" i="13"/>
  <c r="C143" i="13"/>
  <c r="F59" i="11" l="1"/>
  <c r="E59" i="11"/>
  <c r="C144" i="13"/>
  <c r="B145" i="13"/>
  <c r="G60" i="13"/>
  <c r="H60" i="13"/>
  <c r="B144" i="12"/>
  <c r="H143" i="12"/>
  <c r="G143" i="12"/>
  <c r="F143" i="12"/>
  <c r="E143" i="12"/>
  <c r="D143" i="12"/>
  <c r="C143" i="12"/>
  <c r="B144" i="11"/>
  <c r="C143" i="11"/>
  <c r="B145" i="11" l="1"/>
  <c r="C144" i="11"/>
  <c r="G59" i="11"/>
  <c r="H59" i="11"/>
  <c r="G144" i="12"/>
  <c r="F144" i="12"/>
  <c r="E144" i="12"/>
  <c r="D144" i="12"/>
  <c r="C144" i="12"/>
  <c r="B145" i="12"/>
  <c r="H144" i="12"/>
  <c r="D61" i="13"/>
  <c r="B146" i="13"/>
  <c r="C145" i="13"/>
  <c r="B147" i="13" l="1"/>
  <c r="C146" i="13"/>
  <c r="D60" i="11"/>
  <c r="C145" i="11"/>
  <c r="B146" i="11"/>
  <c r="E145" i="12"/>
  <c r="D145" i="12"/>
  <c r="C145" i="12"/>
  <c r="B146" i="12"/>
  <c r="H145" i="12"/>
  <c r="G145" i="12"/>
  <c r="F145" i="12"/>
  <c r="F61" i="13"/>
  <c r="E61" i="13"/>
  <c r="H146" i="12" l="1"/>
  <c r="G146" i="12"/>
  <c r="F146" i="12"/>
  <c r="B147" i="12"/>
  <c r="E146" i="12"/>
  <c r="D146" i="12"/>
  <c r="C146" i="12"/>
  <c r="F60" i="11"/>
  <c r="E60" i="11"/>
  <c r="G61" i="13"/>
  <c r="H61" i="13"/>
  <c r="C147" i="13"/>
  <c r="B148" i="13"/>
  <c r="C146" i="11"/>
  <c r="B147" i="11"/>
  <c r="G60" i="11" l="1"/>
  <c r="H60" i="11"/>
  <c r="B148" i="11"/>
  <c r="C147" i="11"/>
  <c r="D62" i="13"/>
  <c r="B148" i="12"/>
  <c r="H147" i="12"/>
  <c r="G147" i="12"/>
  <c r="F147" i="12"/>
  <c r="E147" i="12"/>
  <c r="D147" i="12"/>
  <c r="C147" i="12"/>
  <c r="B149" i="13"/>
  <c r="C148" i="13"/>
  <c r="C148" i="11" l="1"/>
  <c r="B149" i="11"/>
  <c r="D148" i="12"/>
  <c r="C148" i="12"/>
  <c r="H148" i="12"/>
  <c r="G148" i="12"/>
  <c r="F148" i="12"/>
  <c r="E148" i="12"/>
  <c r="B149" i="12"/>
  <c r="D61" i="11"/>
  <c r="F62" i="13"/>
  <c r="E62" i="13"/>
  <c r="C149" i="13"/>
  <c r="B150" i="13"/>
  <c r="G62" i="13" l="1"/>
  <c r="H62" i="13"/>
  <c r="F61" i="11"/>
  <c r="E61" i="11"/>
  <c r="C150" i="13"/>
  <c r="B151" i="13"/>
  <c r="G149" i="12"/>
  <c r="F149" i="12"/>
  <c r="E149" i="12"/>
  <c r="B150" i="12"/>
  <c r="H149" i="12"/>
  <c r="D149" i="12"/>
  <c r="C149" i="12"/>
  <c r="C149" i="11"/>
  <c r="B150" i="11"/>
  <c r="C150" i="11" l="1"/>
  <c r="B151" i="11"/>
  <c r="B152" i="13"/>
  <c r="C151" i="13"/>
  <c r="G61" i="11"/>
  <c r="H61" i="11"/>
  <c r="D63" i="13"/>
  <c r="B151" i="12"/>
  <c r="H150" i="12"/>
  <c r="G150" i="12"/>
  <c r="F150" i="12"/>
  <c r="E150" i="12"/>
  <c r="D150" i="12"/>
  <c r="C150" i="12"/>
  <c r="D62" i="11" l="1"/>
  <c r="B153" i="13"/>
  <c r="C152" i="13"/>
  <c r="B152" i="11"/>
  <c r="C151" i="11"/>
  <c r="C151" i="12"/>
  <c r="B152" i="12"/>
  <c r="H151" i="12"/>
  <c r="G151" i="12"/>
  <c r="F151" i="12"/>
  <c r="E151" i="12"/>
  <c r="D151" i="12"/>
  <c r="F63" i="13"/>
  <c r="E63" i="13"/>
  <c r="B154" i="13" l="1"/>
  <c r="C153" i="13"/>
  <c r="F152" i="12"/>
  <c r="E152" i="12"/>
  <c r="D152" i="12"/>
  <c r="B153" i="12"/>
  <c r="H152" i="12"/>
  <c r="G152" i="12"/>
  <c r="C152" i="12"/>
  <c r="G63" i="13"/>
  <c r="H63" i="13"/>
  <c r="F62" i="11"/>
  <c r="E62" i="11"/>
  <c r="C152" i="11"/>
  <c r="B153" i="11"/>
  <c r="B154" i="11" l="1"/>
  <c r="C153" i="11"/>
  <c r="B154" i="12"/>
  <c r="H153" i="12"/>
  <c r="G153" i="12"/>
  <c r="F153" i="12"/>
  <c r="E153" i="12"/>
  <c r="D153" i="12"/>
  <c r="C153" i="12"/>
  <c r="D64" i="13"/>
  <c r="B155" i="13"/>
  <c r="C154" i="13"/>
  <c r="G62" i="11"/>
  <c r="H62" i="11"/>
  <c r="C155" i="13" l="1"/>
  <c r="B156" i="13"/>
  <c r="D63" i="11"/>
  <c r="F64" i="13"/>
  <c r="E64" i="13"/>
  <c r="B155" i="11"/>
  <c r="C154" i="11"/>
  <c r="H154" i="12"/>
  <c r="G154" i="12"/>
  <c r="F154" i="12"/>
  <c r="E154" i="12"/>
  <c r="D154" i="12"/>
  <c r="C154" i="12"/>
  <c r="B155" i="12"/>
  <c r="E155" i="12" l="1"/>
  <c r="D155" i="12"/>
  <c r="C155" i="12"/>
  <c r="B156" i="12"/>
  <c r="H155" i="12"/>
  <c r="G155" i="12"/>
  <c r="F155" i="12"/>
  <c r="B157" i="13"/>
  <c r="C156" i="13"/>
  <c r="F63" i="11"/>
  <c r="E63" i="11"/>
  <c r="C155" i="11"/>
  <c r="B156" i="11"/>
  <c r="G64" i="13"/>
  <c r="H64" i="13"/>
  <c r="G63" i="11" l="1"/>
  <c r="H63" i="11"/>
  <c r="H156" i="12"/>
  <c r="G156" i="12"/>
  <c r="F156" i="12"/>
  <c r="B157" i="12"/>
  <c r="E156" i="12"/>
  <c r="D156" i="12"/>
  <c r="C156" i="12"/>
  <c r="D65" i="13"/>
  <c r="C157" i="13"/>
  <c r="B158" i="13"/>
  <c r="C156" i="11"/>
  <c r="B157" i="11"/>
  <c r="B159" i="13" l="1"/>
  <c r="C158" i="13"/>
  <c r="B158" i="12"/>
  <c r="C157" i="12"/>
  <c r="H157" i="12"/>
  <c r="G157" i="12"/>
  <c r="F157" i="12"/>
  <c r="E157" i="12"/>
  <c r="D157" i="12"/>
  <c r="B158" i="11"/>
  <c r="C157" i="11"/>
  <c r="D64" i="11"/>
  <c r="F65" i="13"/>
  <c r="E65" i="13"/>
  <c r="F13" i="13" s="1"/>
  <c r="D158" i="12" l="1"/>
  <c r="C158" i="12"/>
  <c r="B159" i="12"/>
  <c r="H158" i="12"/>
  <c r="G158" i="12"/>
  <c r="F158" i="12"/>
  <c r="E158" i="12"/>
  <c r="G65" i="13"/>
  <c r="F12" i="13" s="1"/>
  <c r="H65" i="13"/>
  <c r="C158" i="11"/>
  <c r="B159" i="11"/>
  <c r="F64" i="11"/>
  <c r="E64" i="11"/>
  <c r="C159" i="13"/>
  <c r="B160" i="13"/>
  <c r="C160" i="13" l="1"/>
  <c r="B161" i="13"/>
  <c r="G159" i="12"/>
  <c r="F159" i="12"/>
  <c r="E159" i="12"/>
  <c r="B160" i="12"/>
  <c r="H159" i="12"/>
  <c r="D159" i="12"/>
  <c r="C159" i="12"/>
  <c r="F14" i="13"/>
  <c r="D66" i="13"/>
  <c r="G64" i="11"/>
  <c r="H64" i="11"/>
  <c r="C159" i="11"/>
  <c r="B160" i="11"/>
  <c r="B161" i="12" l="1"/>
  <c r="H160" i="12"/>
  <c r="G160" i="12"/>
  <c r="F160" i="12"/>
  <c r="E160" i="12"/>
  <c r="D160" i="12"/>
  <c r="C160" i="12"/>
  <c r="F66" i="13"/>
  <c r="E66" i="13"/>
  <c r="C160" i="11"/>
  <c r="B161" i="11"/>
  <c r="B162" i="13"/>
  <c r="C161" i="13"/>
  <c r="D65" i="11"/>
  <c r="B163" i="13" l="1"/>
  <c r="C162" i="13"/>
  <c r="G66" i="13"/>
  <c r="H66" i="13"/>
  <c r="B162" i="11"/>
  <c r="C161" i="11"/>
  <c r="C161" i="12"/>
  <c r="D161" i="12"/>
  <c r="B162" i="12"/>
  <c r="H161" i="12"/>
  <c r="G161" i="12"/>
  <c r="F161" i="12"/>
  <c r="E161" i="12"/>
  <c r="F65" i="11"/>
  <c r="E65" i="11"/>
  <c r="F13" i="11" s="1"/>
  <c r="K10" i="10" s="1"/>
  <c r="K30" i="10" s="1"/>
  <c r="G65" i="11" l="1"/>
  <c r="F12" i="11" s="1"/>
  <c r="K9" i="10" s="1"/>
  <c r="H65" i="11"/>
  <c r="C162" i="11"/>
  <c r="B163" i="11"/>
  <c r="C163" i="13"/>
  <c r="B164" i="13"/>
  <c r="K31" i="10"/>
  <c r="J39" i="5"/>
  <c r="F162" i="12"/>
  <c r="E162" i="12"/>
  <c r="D162" i="12"/>
  <c r="B163" i="12"/>
  <c r="H162" i="12"/>
  <c r="G162" i="12"/>
  <c r="C162" i="12"/>
  <c r="D67" i="13"/>
  <c r="B164" i="11" l="1"/>
  <c r="C163" i="11"/>
  <c r="B165" i="13"/>
  <c r="C164" i="13"/>
  <c r="B164" i="12"/>
  <c r="H163" i="12"/>
  <c r="G163" i="12"/>
  <c r="C163" i="12"/>
  <c r="F163" i="12"/>
  <c r="E163" i="12"/>
  <c r="D163" i="12"/>
  <c r="F14" i="11"/>
  <c r="K12" i="10" s="1"/>
  <c r="D66" i="11"/>
  <c r="F67" i="13"/>
  <c r="E67" i="13"/>
  <c r="K32" i="10"/>
  <c r="K11" i="10"/>
  <c r="K34" i="10" s="1"/>
  <c r="K33" i="10" l="1"/>
  <c r="J38" i="5"/>
  <c r="J40" i="5" s="1"/>
  <c r="C165" i="13"/>
  <c r="B166" i="13"/>
  <c r="F66" i="11"/>
  <c r="E66" i="11"/>
  <c r="B165" i="12"/>
  <c r="H164" i="12"/>
  <c r="G164" i="12"/>
  <c r="F164" i="12"/>
  <c r="E164" i="12"/>
  <c r="D164" i="12"/>
  <c r="C164" i="12"/>
  <c r="B165" i="11"/>
  <c r="C164" i="11"/>
  <c r="L8" i="10"/>
  <c r="L29" i="10" s="1"/>
  <c r="K35" i="10"/>
  <c r="G67" i="13"/>
  <c r="H67" i="13"/>
  <c r="B167" i="13" l="1"/>
  <c r="C166" i="13"/>
  <c r="J62" i="5"/>
  <c r="J42" i="5"/>
  <c r="D68" i="13"/>
  <c r="E165" i="12"/>
  <c r="D165" i="12"/>
  <c r="C165" i="12"/>
  <c r="B166" i="12"/>
  <c r="H165" i="12"/>
  <c r="G165" i="12"/>
  <c r="F165" i="12"/>
  <c r="C165" i="11"/>
  <c r="B166" i="11"/>
  <c r="G66" i="11"/>
  <c r="H66" i="11"/>
  <c r="J48" i="5" l="1"/>
  <c r="J45" i="5"/>
  <c r="F25" i="8" s="1"/>
  <c r="D67" i="11"/>
  <c r="C167" i="13"/>
  <c r="B168" i="13"/>
  <c r="F68" i="13"/>
  <c r="E68" i="13"/>
  <c r="H166" i="12"/>
  <c r="G166" i="12"/>
  <c r="F166" i="12"/>
  <c r="B167" i="12"/>
  <c r="E166" i="12"/>
  <c r="D166" i="12"/>
  <c r="C166" i="12"/>
  <c r="C166" i="11"/>
  <c r="B167" i="11"/>
  <c r="F67" i="11" l="1"/>
  <c r="E67" i="11"/>
  <c r="G68" i="13"/>
  <c r="H68" i="13"/>
  <c r="F38" i="8"/>
  <c r="F44" i="8"/>
  <c r="F68" i="8"/>
  <c r="F74" i="8"/>
  <c r="F50" i="8"/>
  <c r="F56" i="8"/>
  <c r="F32" i="8"/>
  <c r="F62" i="8"/>
  <c r="J49" i="5"/>
  <c r="J51" i="5" s="1"/>
  <c r="J50" i="5"/>
  <c r="C168" i="13"/>
  <c r="B169" i="13"/>
  <c r="B168" i="11"/>
  <c r="C167" i="11"/>
  <c r="B168" i="12"/>
  <c r="D167" i="12"/>
  <c r="C167" i="12"/>
  <c r="H167" i="12"/>
  <c r="G167" i="12"/>
  <c r="F167" i="12"/>
  <c r="E167" i="12"/>
  <c r="D69" i="13" l="1"/>
  <c r="D168" i="12"/>
  <c r="C168" i="12"/>
  <c r="B169" i="12"/>
  <c r="H168" i="12"/>
  <c r="G168" i="12"/>
  <c r="F168" i="12"/>
  <c r="E168" i="12"/>
  <c r="C169" i="13"/>
  <c r="B170" i="13"/>
  <c r="G67" i="11"/>
  <c r="H67" i="11"/>
  <c r="F22" i="9"/>
  <c r="F79" i="9"/>
  <c r="F23" i="8"/>
  <c r="F6" i="8"/>
  <c r="B169" i="11"/>
  <c r="C168" i="11"/>
  <c r="J22" i="9" l="1"/>
  <c r="G23" i="9"/>
  <c r="G80" i="9"/>
  <c r="J79" i="9"/>
  <c r="G169" i="12"/>
  <c r="F169" i="12"/>
  <c r="E169" i="12"/>
  <c r="C169" i="12"/>
  <c r="B170" i="12"/>
  <c r="H169" i="12"/>
  <c r="D169" i="12"/>
  <c r="B171" i="13"/>
  <c r="C170" i="13"/>
  <c r="C169" i="11"/>
  <c r="B170" i="11"/>
  <c r="D68" i="11"/>
  <c r="F79" i="8"/>
  <c r="F15" i="8"/>
  <c r="F94" i="8"/>
  <c r="F11" i="8"/>
  <c r="F98" i="8" s="1"/>
  <c r="F60" i="8"/>
  <c r="F59" i="8" s="1"/>
  <c r="F66" i="8"/>
  <c r="F65" i="8" s="1"/>
  <c r="F42" i="8"/>
  <c r="F41" i="8" s="1"/>
  <c r="F54" i="8"/>
  <c r="F53" i="8" s="1"/>
  <c r="F30" i="8"/>
  <c r="F29" i="8" s="1"/>
  <c r="F28" i="8"/>
  <c r="F36" i="8"/>
  <c r="F35" i="8" s="1"/>
  <c r="F72" i="8"/>
  <c r="F71" i="8" s="1"/>
  <c r="F48" i="8"/>
  <c r="F47" i="8" s="1"/>
  <c r="F69" i="13"/>
  <c r="E69" i="13"/>
  <c r="F68" i="11" l="1"/>
  <c r="E68" i="11"/>
  <c r="G69" i="13"/>
  <c r="H69" i="13"/>
  <c r="C170" i="11"/>
  <c r="B171" i="11"/>
  <c r="B171" i="12"/>
  <c r="H170" i="12"/>
  <c r="G170" i="12"/>
  <c r="F170" i="12"/>
  <c r="E170" i="12"/>
  <c r="D170" i="12"/>
  <c r="C170" i="12"/>
  <c r="B172" i="13"/>
  <c r="C171" i="13"/>
  <c r="J80" i="9"/>
  <c r="G81" i="9"/>
  <c r="F101" i="8"/>
  <c r="G24" i="9"/>
  <c r="J23" i="9"/>
  <c r="F85" i="8"/>
  <c r="J81" i="9" l="1"/>
  <c r="G82" i="9"/>
  <c r="C171" i="12"/>
  <c r="E171" i="12"/>
  <c r="D171" i="12"/>
  <c r="B172" i="12"/>
  <c r="H171" i="12"/>
  <c r="G171" i="12"/>
  <c r="F171" i="12"/>
  <c r="G25" i="9"/>
  <c r="J24" i="9"/>
  <c r="B172" i="11"/>
  <c r="C171" i="11"/>
  <c r="F83" i="8"/>
  <c r="D70" i="13"/>
  <c r="B173" i="13"/>
  <c r="C172" i="13"/>
  <c r="G68" i="11"/>
  <c r="H68" i="11"/>
  <c r="G26" i="9" l="1"/>
  <c r="J26" i="9" s="1"/>
  <c r="J25" i="9"/>
  <c r="F70" i="13"/>
  <c r="E70" i="13"/>
  <c r="D172" i="12"/>
  <c r="C172" i="12"/>
  <c r="H172" i="12"/>
  <c r="G172" i="12"/>
  <c r="F172" i="12"/>
  <c r="B173" i="12"/>
  <c r="E172" i="12"/>
  <c r="C172" i="11"/>
  <c r="B173" i="11"/>
  <c r="G83" i="9"/>
  <c r="J83" i="9" s="1"/>
  <c r="J82" i="9"/>
  <c r="C173" i="13"/>
  <c r="B174" i="13"/>
  <c r="D69" i="11"/>
  <c r="C173" i="11" l="1"/>
  <c r="B174" i="11"/>
  <c r="G70" i="13"/>
  <c r="H70" i="13"/>
  <c r="G173" i="12"/>
  <c r="F173" i="12"/>
  <c r="H173" i="12"/>
  <c r="E173" i="12"/>
  <c r="D173" i="12"/>
  <c r="C173" i="12"/>
  <c r="B174" i="12"/>
  <c r="B175" i="13"/>
  <c r="C174" i="13"/>
  <c r="F69" i="11"/>
  <c r="E69" i="11"/>
  <c r="D71" i="13" l="1"/>
  <c r="B175" i="11"/>
  <c r="C174" i="11"/>
  <c r="G69" i="11"/>
  <c r="H69" i="11"/>
  <c r="B175" i="12"/>
  <c r="F174" i="12"/>
  <c r="E174" i="12"/>
  <c r="D174" i="12"/>
  <c r="H174" i="12"/>
  <c r="G174" i="12"/>
  <c r="C174" i="12"/>
  <c r="B176" i="13"/>
  <c r="C175" i="13"/>
  <c r="D70" i="11" l="1"/>
  <c r="C175" i="12"/>
  <c r="B176" i="12"/>
  <c r="H175" i="12"/>
  <c r="G175" i="12"/>
  <c r="F175" i="12"/>
  <c r="E175" i="12"/>
  <c r="D175" i="12"/>
  <c r="C175" i="11"/>
  <c r="B176" i="11"/>
  <c r="F71" i="13"/>
  <c r="E71" i="13"/>
  <c r="C176" i="13"/>
  <c r="B177" i="13"/>
  <c r="F70" i="11" l="1"/>
  <c r="E70" i="11"/>
  <c r="F176" i="12"/>
  <c r="E176" i="12"/>
  <c r="D176" i="12"/>
  <c r="C176" i="12"/>
  <c r="G176" i="12"/>
  <c r="B177" i="12"/>
  <c r="H176" i="12"/>
  <c r="C177" i="13"/>
  <c r="B178" i="13"/>
  <c r="C176" i="11"/>
  <c r="B177" i="11"/>
  <c r="G71" i="13"/>
  <c r="H71" i="13"/>
  <c r="B178" i="12" l="1"/>
  <c r="H177" i="12"/>
  <c r="G177" i="12"/>
  <c r="F177" i="12"/>
  <c r="E177" i="12"/>
  <c r="D177" i="12"/>
  <c r="C177" i="12"/>
  <c r="D72" i="13"/>
  <c r="B178" i="11"/>
  <c r="C177" i="11"/>
  <c r="G70" i="11"/>
  <c r="H70" i="11"/>
  <c r="B179" i="13"/>
  <c r="C178" i="13"/>
  <c r="F72" i="13" l="1"/>
  <c r="E72" i="13"/>
  <c r="D178" i="12"/>
  <c r="C178" i="12"/>
  <c r="H178" i="12"/>
  <c r="G178" i="12"/>
  <c r="F178" i="12"/>
  <c r="E178" i="12"/>
  <c r="B179" i="12"/>
  <c r="C179" i="13"/>
  <c r="B180" i="13"/>
  <c r="D71" i="11"/>
  <c r="B179" i="11"/>
  <c r="C178" i="11"/>
  <c r="B181" i="13" l="1"/>
  <c r="C180" i="13"/>
  <c r="C179" i="11"/>
  <c r="B180" i="11"/>
  <c r="F71" i="11"/>
  <c r="E71" i="11"/>
  <c r="E179" i="12"/>
  <c r="D179" i="12"/>
  <c r="B180" i="12"/>
  <c r="H179" i="12"/>
  <c r="G179" i="12"/>
  <c r="F179" i="12"/>
  <c r="C179" i="12"/>
  <c r="G72" i="13"/>
  <c r="H72" i="13"/>
  <c r="D73" i="13" l="1"/>
  <c r="G71" i="11"/>
  <c r="H71" i="11"/>
  <c r="B182" i="13"/>
  <c r="C181" i="13"/>
  <c r="C180" i="11"/>
  <c r="B181" i="11"/>
  <c r="H180" i="12"/>
  <c r="G180" i="12"/>
  <c r="B181" i="12"/>
  <c r="F180" i="12"/>
  <c r="E180" i="12"/>
  <c r="D180" i="12"/>
  <c r="C180" i="12"/>
  <c r="B183" i="13" l="1"/>
  <c r="C182" i="13"/>
  <c r="D72" i="11"/>
  <c r="G181" i="12"/>
  <c r="F181" i="12"/>
  <c r="E181" i="12"/>
  <c r="D181" i="12"/>
  <c r="C181" i="12"/>
  <c r="B182" i="12"/>
  <c r="H181" i="12"/>
  <c r="F73" i="13"/>
  <c r="E73" i="13"/>
  <c r="B182" i="11"/>
  <c r="C181" i="11"/>
  <c r="G73" i="13" l="1"/>
  <c r="H73" i="13"/>
  <c r="D182" i="12"/>
  <c r="C182" i="12"/>
  <c r="B183" i="12"/>
  <c r="H182" i="12"/>
  <c r="G182" i="12"/>
  <c r="F182" i="12"/>
  <c r="E182" i="12"/>
  <c r="B184" i="13"/>
  <c r="C183" i="13"/>
  <c r="C182" i="11"/>
  <c r="B183" i="11"/>
  <c r="F72" i="11"/>
  <c r="E72" i="11"/>
  <c r="G183" i="12" l="1"/>
  <c r="F183" i="12"/>
  <c r="E183" i="12"/>
  <c r="D183" i="12"/>
  <c r="C183" i="12"/>
  <c r="B184" i="12"/>
  <c r="H183" i="12"/>
  <c r="G72" i="11"/>
  <c r="H72" i="11"/>
  <c r="D74" i="13"/>
  <c r="C184" i="13"/>
  <c r="B185" i="13"/>
  <c r="C183" i="11"/>
  <c r="B184" i="11"/>
  <c r="F74" i="13" l="1"/>
  <c r="E74" i="13"/>
  <c r="D73" i="11"/>
  <c r="B185" i="11"/>
  <c r="C184" i="11"/>
  <c r="C185" i="13"/>
  <c r="B186" i="13"/>
  <c r="B185" i="12"/>
  <c r="H184" i="12"/>
  <c r="C184" i="12"/>
  <c r="G184" i="12"/>
  <c r="F184" i="12"/>
  <c r="E184" i="12"/>
  <c r="D184" i="12"/>
  <c r="B187" i="13" l="1"/>
  <c r="C186" i="13"/>
  <c r="C185" i="11"/>
  <c r="B186" i="11"/>
  <c r="F73" i="11"/>
  <c r="E73" i="11"/>
  <c r="C185" i="12"/>
  <c r="E185" i="12"/>
  <c r="D185" i="12"/>
  <c r="B186" i="12"/>
  <c r="H185" i="12"/>
  <c r="G185" i="12"/>
  <c r="F185" i="12"/>
  <c r="G74" i="13"/>
  <c r="H74" i="13"/>
  <c r="F186" i="12" l="1"/>
  <c r="E186" i="12"/>
  <c r="B187" i="12"/>
  <c r="H186" i="12"/>
  <c r="D186" i="12"/>
  <c r="C186" i="12"/>
  <c r="G186" i="12"/>
  <c r="C187" i="13"/>
  <c r="B188" i="13"/>
  <c r="D75" i="13"/>
  <c r="G73" i="11"/>
  <c r="H73" i="11"/>
  <c r="C186" i="11"/>
  <c r="B187" i="11"/>
  <c r="D74" i="11" l="1"/>
  <c r="F75" i="13"/>
  <c r="E75" i="13"/>
  <c r="B188" i="11"/>
  <c r="C187" i="11"/>
  <c r="B188" i="12"/>
  <c r="H187" i="12"/>
  <c r="C187" i="12"/>
  <c r="G187" i="12"/>
  <c r="F187" i="12"/>
  <c r="E187" i="12"/>
  <c r="D187" i="12"/>
  <c r="B189" i="13"/>
  <c r="C188" i="13"/>
  <c r="B189" i="11" l="1"/>
  <c r="C188" i="11"/>
  <c r="H188" i="12"/>
  <c r="G188" i="12"/>
  <c r="F188" i="12"/>
  <c r="B189" i="12"/>
  <c r="E188" i="12"/>
  <c r="D188" i="12"/>
  <c r="C188" i="12"/>
  <c r="C189" i="13"/>
  <c r="B190" i="13"/>
  <c r="G75" i="13"/>
  <c r="H75" i="13"/>
  <c r="F74" i="11"/>
  <c r="E74" i="11"/>
  <c r="G74" i="11" l="1"/>
  <c r="H74" i="11"/>
  <c r="D76" i="13"/>
  <c r="B191" i="13"/>
  <c r="C190" i="13"/>
  <c r="E189" i="12"/>
  <c r="D189" i="12"/>
  <c r="C189" i="12"/>
  <c r="B190" i="12"/>
  <c r="H189" i="12"/>
  <c r="F189" i="12"/>
  <c r="G189" i="12"/>
  <c r="C189" i="11"/>
  <c r="B190" i="11"/>
  <c r="F76" i="13" l="1"/>
  <c r="E76" i="13"/>
  <c r="C190" i="11"/>
  <c r="B191" i="11"/>
  <c r="D75" i="11"/>
  <c r="H190" i="12"/>
  <c r="G190" i="12"/>
  <c r="F190" i="12"/>
  <c r="E190" i="12"/>
  <c r="D190" i="12"/>
  <c r="B191" i="12"/>
  <c r="C190" i="12"/>
  <c r="B192" i="13"/>
  <c r="C191" i="13"/>
  <c r="F75" i="11" l="1"/>
  <c r="E75" i="11"/>
  <c r="G76" i="13"/>
  <c r="H76" i="13"/>
  <c r="C192" i="13"/>
  <c r="B193" i="13"/>
  <c r="B192" i="11"/>
  <c r="C191" i="11"/>
  <c r="B192" i="12"/>
  <c r="F191" i="12"/>
  <c r="E191" i="12"/>
  <c r="D191" i="12"/>
  <c r="C191" i="12"/>
  <c r="H191" i="12"/>
  <c r="G191" i="12"/>
  <c r="D77" i="13" l="1"/>
  <c r="C192" i="11"/>
  <c r="B193" i="11"/>
  <c r="G75" i="11"/>
  <c r="H75" i="11"/>
  <c r="D192" i="12"/>
  <c r="C192" i="12"/>
  <c r="F192" i="12"/>
  <c r="E192" i="12"/>
  <c r="B193" i="12"/>
  <c r="H192" i="12"/>
  <c r="G192" i="12"/>
  <c r="B194" i="13"/>
  <c r="C193" i="13"/>
  <c r="B194" i="11" l="1"/>
  <c r="C193" i="11"/>
  <c r="B195" i="13"/>
  <c r="C194" i="13"/>
  <c r="D76" i="11"/>
  <c r="F77" i="13"/>
  <c r="E77" i="13"/>
  <c r="G13" i="13" s="1"/>
  <c r="G193" i="12"/>
  <c r="F193" i="12"/>
  <c r="B194" i="12"/>
  <c r="H193" i="12"/>
  <c r="E193" i="12"/>
  <c r="D193" i="12"/>
  <c r="C193" i="12"/>
  <c r="B195" i="12" l="1"/>
  <c r="D194" i="12"/>
  <c r="C194" i="12"/>
  <c r="E194" i="12"/>
  <c r="H194" i="12"/>
  <c r="G194" i="12"/>
  <c r="F194" i="12"/>
  <c r="C195" i="13"/>
  <c r="B196" i="13"/>
  <c r="G77" i="13"/>
  <c r="G12" i="13" s="1"/>
  <c r="H77" i="13"/>
  <c r="F76" i="11"/>
  <c r="E76" i="11"/>
  <c r="B195" i="11"/>
  <c r="C194" i="11"/>
  <c r="G76" i="11" l="1"/>
  <c r="H76" i="11"/>
  <c r="G14" i="13"/>
  <c r="D78" i="13"/>
  <c r="B197" i="13"/>
  <c r="C196" i="13"/>
  <c r="C195" i="11"/>
  <c r="B196" i="11"/>
  <c r="C195" i="12"/>
  <c r="B196" i="12"/>
  <c r="H195" i="12"/>
  <c r="G195" i="12"/>
  <c r="F195" i="12"/>
  <c r="E195" i="12"/>
  <c r="D195" i="12"/>
  <c r="B197" i="11" l="1"/>
  <c r="C196" i="11"/>
  <c r="F78" i="13"/>
  <c r="E78" i="13"/>
  <c r="F196" i="12"/>
  <c r="E196" i="12"/>
  <c r="H196" i="12"/>
  <c r="G196" i="12"/>
  <c r="D196" i="12"/>
  <c r="C196" i="12"/>
  <c r="B197" i="12"/>
  <c r="D77" i="11"/>
  <c r="C197" i="13"/>
  <c r="B198" i="13"/>
  <c r="G78" i="13" l="1"/>
  <c r="H78" i="13"/>
  <c r="B198" i="12"/>
  <c r="H197" i="12"/>
  <c r="G197" i="12"/>
  <c r="F197" i="12"/>
  <c r="E197" i="12"/>
  <c r="D197" i="12"/>
  <c r="C197" i="12"/>
  <c r="B198" i="11"/>
  <c r="C197" i="11"/>
  <c r="B199" i="13"/>
  <c r="C198" i="13"/>
  <c r="F77" i="11"/>
  <c r="E77" i="11"/>
  <c r="G13" i="11" s="1"/>
  <c r="L10" i="10" s="1"/>
  <c r="L30" i="10" s="1"/>
  <c r="L31" i="10" l="1"/>
  <c r="L39" i="5"/>
  <c r="G77" i="11"/>
  <c r="G12" i="11" s="1"/>
  <c r="L9" i="10" s="1"/>
  <c r="H77" i="11"/>
  <c r="B199" i="12"/>
  <c r="H198" i="12"/>
  <c r="G198" i="12"/>
  <c r="F198" i="12"/>
  <c r="E198" i="12"/>
  <c r="D198" i="12"/>
  <c r="C198" i="12"/>
  <c r="D79" i="13"/>
  <c r="C198" i="11"/>
  <c r="B199" i="11"/>
  <c r="C199" i="13"/>
  <c r="B200" i="13"/>
  <c r="E199" i="12" l="1"/>
  <c r="D199" i="12"/>
  <c r="G199" i="12"/>
  <c r="F199" i="12"/>
  <c r="C199" i="12"/>
  <c r="B200" i="12"/>
  <c r="H199" i="12"/>
  <c r="F79" i="13"/>
  <c r="E79" i="13"/>
  <c r="C199" i="11"/>
  <c r="B200" i="11"/>
  <c r="G14" i="11"/>
  <c r="L12" i="10" s="1"/>
  <c r="D78" i="11"/>
  <c r="B201" i="13"/>
  <c r="C200" i="13"/>
  <c r="L32" i="10"/>
  <c r="L11" i="10"/>
  <c r="L34" i="10" s="1"/>
  <c r="B202" i="13" l="1"/>
  <c r="C201" i="13"/>
  <c r="L33" i="10"/>
  <c r="H21" i="7" s="1"/>
  <c r="L38" i="5"/>
  <c r="L40" i="5" s="1"/>
  <c r="L35" i="10"/>
  <c r="H14" i="7" s="1"/>
  <c r="M8" i="10"/>
  <c r="M29" i="10" s="1"/>
  <c r="G79" i="13"/>
  <c r="H79" i="13"/>
  <c r="H200" i="12"/>
  <c r="G200" i="12"/>
  <c r="B201" i="12"/>
  <c r="F200" i="12"/>
  <c r="E200" i="12"/>
  <c r="D200" i="12"/>
  <c r="C200" i="12"/>
  <c r="C200" i="11"/>
  <c r="B201" i="11"/>
  <c r="F78" i="11"/>
  <c r="E78" i="11"/>
  <c r="E201" i="12" l="1"/>
  <c r="D201" i="12"/>
  <c r="C201" i="12"/>
  <c r="H201" i="12"/>
  <c r="G201" i="12"/>
  <c r="F201" i="12"/>
  <c r="B202" i="12"/>
  <c r="G78" i="11"/>
  <c r="H78" i="11"/>
  <c r="L62" i="5"/>
  <c r="L14" i="21" s="1"/>
  <c r="L12" i="21"/>
  <c r="L42" i="5"/>
  <c r="B202" i="11"/>
  <c r="C201" i="11"/>
  <c r="D80" i="13"/>
  <c r="B203" i="13"/>
  <c r="C202" i="13"/>
  <c r="H15" i="7"/>
  <c r="H17" i="7" s="1"/>
  <c r="H18" i="7" l="1"/>
  <c r="G13" i="8" s="1"/>
  <c r="D79" i="11"/>
  <c r="F80" i="13"/>
  <c r="E80" i="13"/>
  <c r="D202" i="12"/>
  <c r="C202" i="12"/>
  <c r="B203" i="12"/>
  <c r="H202" i="12"/>
  <c r="G202" i="12"/>
  <c r="F202" i="12"/>
  <c r="E202" i="12"/>
  <c r="C203" i="13"/>
  <c r="B204" i="13"/>
  <c r="C202" i="11"/>
  <c r="B203" i="11"/>
  <c r="L48" i="5"/>
  <c r="L45" i="5"/>
  <c r="G25" i="8" s="1"/>
  <c r="L50" i="5" l="1"/>
  <c r="B204" i="11"/>
  <c r="C203" i="11"/>
  <c r="G80" i="13"/>
  <c r="H80" i="13"/>
  <c r="G44" i="8"/>
  <c r="G32" i="8"/>
  <c r="G50" i="8"/>
  <c r="G74" i="8"/>
  <c r="G56" i="8"/>
  <c r="G68" i="8"/>
  <c r="G62" i="8"/>
  <c r="G38" i="8"/>
  <c r="M25" i="8"/>
  <c r="F79" i="11"/>
  <c r="E79" i="11"/>
  <c r="L49" i="5"/>
  <c r="L51" i="5" s="1"/>
  <c r="G203" i="12"/>
  <c r="F203" i="12"/>
  <c r="C203" i="12"/>
  <c r="B204" i="12"/>
  <c r="H203" i="12"/>
  <c r="E203" i="12"/>
  <c r="D203" i="12"/>
  <c r="G84" i="8"/>
  <c r="G99" i="8" s="1"/>
  <c r="G100" i="8" s="1"/>
  <c r="G14" i="8"/>
  <c r="H5" i="8" s="1"/>
  <c r="H14" i="8" s="1"/>
  <c r="I5" i="8" s="1"/>
  <c r="I14" i="8" s="1"/>
  <c r="J5" i="8" s="1"/>
  <c r="J14" i="8" s="1"/>
  <c r="K5" i="8" s="1"/>
  <c r="K14" i="8" s="1"/>
  <c r="L5" i="8" s="1"/>
  <c r="L14" i="8" s="1"/>
  <c r="B205" i="13"/>
  <c r="C204" i="13"/>
  <c r="H19" i="7"/>
  <c r="G9" i="8" s="1"/>
  <c r="M9" i="8" s="1"/>
  <c r="H20" i="7" l="1"/>
  <c r="H22" i="7" s="1"/>
  <c r="C205" i="13"/>
  <c r="B206" i="13"/>
  <c r="B205" i="12"/>
  <c r="H204" i="12"/>
  <c r="G204" i="12"/>
  <c r="F204" i="12"/>
  <c r="E204" i="12"/>
  <c r="D204" i="12"/>
  <c r="C204" i="12"/>
  <c r="B205" i="11"/>
  <c r="C204" i="11"/>
  <c r="F27" i="9"/>
  <c r="F84" i="9"/>
  <c r="G23" i="8"/>
  <c r="G6" i="8"/>
  <c r="G79" i="11"/>
  <c r="H79" i="11"/>
  <c r="M62" i="8"/>
  <c r="M56" i="8"/>
  <c r="M68" i="8"/>
  <c r="M38" i="8"/>
  <c r="M44" i="8"/>
  <c r="M74" i="8"/>
  <c r="M50" i="8"/>
  <c r="M32" i="8"/>
  <c r="D81" i="13"/>
  <c r="L34" i="21" l="1"/>
  <c r="H24" i="7"/>
  <c r="G27" i="8" s="1"/>
  <c r="G76" i="8" s="1"/>
  <c r="H23" i="7"/>
  <c r="G10" i="8" s="1"/>
  <c r="G15" i="8" s="1"/>
  <c r="G79" i="8"/>
  <c r="G94" i="8"/>
  <c r="M6" i="8"/>
  <c r="G66" i="8"/>
  <c r="G72" i="8"/>
  <c r="G54" i="8"/>
  <c r="G60" i="8"/>
  <c r="G30" i="8"/>
  <c r="G36" i="8"/>
  <c r="G48" i="8"/>
  <c r="G42" i="8"/>
  <c r="M23" i="8"/>
  <c r="C205" i="12"/>
  <c r="B206" i="12"/>
  <c r="H205" i="12"/>
  <c r="G205" i="12"/>
  <c r="F205" i="12"/>
  <c r="E205" i="12"/>
  <c r="D205" i="12"/>
  <c r="G85" i="9"/>
  <c r="F114" i="9"/>
  <c r="G28" i="9"/>
  <c r="F57" i="9"/>
  <c r="C205" i="11"/>
  <c r="B206" i="11"/>
  <c r="F81" i="13"/>
  <c r="E81" i="13"/>
  <c r="D80" i="11"/>
  <c r="C206" i="13"/>
  <c r="B207" i="13"/>
  <c r="G64" i="8" l="1"/>
  <c r="G59" i="8" s="1"/>
  <c r="G70" i="8"/>
  <c r="G65" i="8" s="1"/>
  <c r="H25" i="7"/>
  <c r="H29" i="7" s="1"/>
  <c r="M27" i="8"/>
  <c r="M40" i="8" s="1"/>
  <c r="H28" i="7"/>
  <c r="G58" i="8"/>
  <c r="G53" i="8" s="1"/>
  <c r="G28" i="8"/>
  <c r="G40" i="8"/>
  <c r="G35" i="8" s="1"/>
  <c r="G52" i="8"/>
  <c r="G47" i="8" s="1"/>
  <c r="G97" i="8"/>
  <c r="M97" i="8" s="1"/>
  <c r="G46" i="8"/>
  <c r="G41" i="8" s="1"/>
  <c r="G34" i="8"/>
  <c r="G29" i="8" s="1"/>
  <c r="G71" i="8"/>
  <c r="G11" i="8"/>
  <c r="N16" i="8" s="1"/>
  <c r="B208" i="13"/>
  <c r="C207" i="13"/>
  <c r="F206" i="12"/>
  <c r="E206" i="12"/>
  <c r="H206" i="12"/>
  <c r="G206" i="12"/>
  <c r="D206" i="12"/>
  <c r="C206" i="12"/>
  <c r="B207" i="12"/>
  <c r="C206" i="11"/>
  <c r="B207" i="11"/>
  <c r="G86" i="9"/>
  <c r="J85" i="9"/>
  <c r="M42" i="8"/>
  <c r="M30" i="8"/>
  <c r="M60" i="8"/>
  <c r="M66" i="8"/>
  <c r="M72" i="8"/>
  <c r="M36" i="8"/>
  <c r="M48" i="8"/>
  <c r="M54" i="8"/>
  <c r="F80" i="11"/>
  <c r="E80" i="11"/>
  <c r="M94" i="8"/>
  <c r="G29" i="9"/>
  <c r="J28" i="9"/>
  <c r="G81" i="13"/>
  <c r="H81" i="13"/>
  <c r="G82" i="8"/>
  <c r="G85" i="8" s="1"/>
  <c r="M10" i="8"/>
  <c r="M15" i="8" s="1"/>
  <c r="M79" i="8"/>
  <c r="M52" i="8" l="1"/>
  <c r="M47" i="8" s="1"/>
  <c r="H174" i="8" s="1"/>
  <c r="M46" i="8"/>
  <c r="M41" i="8" s="1"/>
  <c r="H173" i="8" s="1"/>
  <c r="M64" i="8"/>
  <c r="M59" i="8" s="1"/>
  <c r="H176" i="8" s="1"/>
  <c r="M58" i="8"/>
  <c r="M53" i="8" s="1"/>
  <c r="H175" i="8" s="1"/>
  <c r="M76" i="8"/>
  <c r="M71" i="8" s="1"/>
  <c r="H178" i="8" s="1"/>
  <c r="M34" i="8"/>
  <c r="M29" i="8" s="1"/>
  <c r="H171" i="8" s="1"/>
  <c r="M28" i="8"/>
  <c r="M70" i="8"/>
  <c r="M65" i="8" s="1"/>
  <c r="H177" i="8" s="1"/>
  <c r="H27" i="9"/>
  <c r="H57" i="9" s="1"/>
  <c r="J57" i="9" s="1"/>
  <c r="G101" i="8"/>
  <c r="M101" i="8" s="1"/>
  <c r="N101" i="8" s="1"/>
  <c r="M35" i="8"/>
  <c r="H172" i="8" s="1"/>
  <c r="G98" i="8"/>
  <c r="N102" i="8" s="1"/>
  <c r="D82" i="13"/>
  <c r="G80" i="11"/>
  <c r="H80" i="11"/>
  <c r="B208" i="12"/>
  <c r="H207" i="12"/>
  <c r="G207" i="12"/>
  <c r="E207" i="12"/>
  <c r="D207" i="12"/>
  <c r="C207" i="12"/>
  <c r="F207" i="12"/>
  <c r="G87" i="9"/>
  <c r="J86" i="9"/>
  <c r="M85" i="8"/>
  <c r="G83" i="8"/>
  <c r="N86" i="8" s="1"/>
  <c r="F20" i="21" s="1"/>
  <c r="B209" i="13"/>
  <c r="C208" i="13"/>
  <c r="G30" i="9"/>
  <c r="J29" i="9"/>
  <c r="D48" i="4"/>
  <c r="D6" i="2" s="1"/>
  <c r="E6" i="2" s="1"/>
  <c r="F14" i="21"/>
  <c r="B208" i="11"/>
  <c r="C207" i="11"/>
  <c r="H84" i="9"/>
  <c r="M82" i="8"/>
  <c r="J27" i="9" l="1"/>
  <c r="H179" i="8"/>
  <c r="G31" i="9"/>
  <c r="J31" i="9" s="1"/>
  <c r="J30" i="9"/>
  <c r="H114" i="9"/>
  <c r="J114" i="9" s="1"/>
  <c r="J84" i="9"/>
  <c r="G88" i="9"/>
  <c r="J88" i="9" s="1"/>
  <c r="J87" i="9"/>
  <c r="D81" i="11"/>
  <c r="C209" i="13"/>
  <c r="B210" i="13"/>
  <c r="F208" i="12"/>
  <c r="E208" i="12"/>
  <c r="D208" i="12"/>
  <c r="C208" i="12"/>
  <c r="B209" i="12"/>
  <c r="H208" i="12"/>
  <c r="G208" i="12"/>
  <c r="O16" i="8"/>
  <c r="F48" i="4"/>
  <c r="C208" i="11"/>
  <c r="B209" i="11"/>
  <c r="F82" i="13"/>
  <c r="E82" i="13"/>
  <c r="F81" i="11" l="1"/>
  <c r="E81" i="11"/>
  <c r="B211" i="13"/>
  <c r="C210" i="13"/>
  <c r="G82" i="13"/>
  <c r="H82" i="13"/>
  <c r="E209" i="12"/>
  <c r="D209" i="12"/>
  <c r="B210" i="12"/>
  <c r="H209" i="12"/>
  <c r="G209" i="12"/>
  <c r="F209" i="12"/>
  <c r="C209" i="12"/>
  <c r="C209" i="11"/>
  <c r="B210" i="11"/>
  <c r="H210" i="12" l="1"/>
  <c r="G210" i="12"/>
  <c r="D210" i="12"/>
  <c r="C210" i="12"/>
  <c r="B211" i="12"/>
  <c r="F210" i="12"/>
  <c r="E210" i="12"/>
  <c r="G81" i="11"/>
  <c r="H81" i="11"/>
  <c r="B212" i="13"/>
  <c r="C211" i="13"/>
  <c r="C210" i="11"/>
  <c r="B211" i="11"/>
  <c r="D83" i="13"/>
  <c r="D82" i="11" l="1"/>
  <c r="B212" i="12"/>
  <c r="H211" i="12"/>
  <c r="G211" i="12"/>
  <c r="F211" i="12"/>
  <c r="E211" i="12"/>
  <c r="C211" i="12"/>
  <c r="D211" i="12"/>
  <c r="F83" i="13"/>
  <c r="E83" i="13"/>
  <c r="B212" i="11"/>
  <c r="C211" i="11"/>
  <c r="B213" i="13"/>
  <c r="C212" i="13"/>
  <c r="G83" i="13" l="1"/>
  <c r="H83" i="13"/>
  <c r="B214" i="13"/>
  <c r="C213" i="13"/>
  <c r="C212" i="11"/>
  <c r="B213" i="11"/>
  <c r="F82" i="11"/>
  <c r="E82" i="11"/>
  <c r="D212" i="12"/>
  <c r="C212" i="12"/>
  <c r="B213" i="12"/>
  <c r="H212" i="12"/>
  <c r="G212" i="12"/>
  <c r="F212" i="12"/>
  <c r="E212" i="12"/>
  <c r="G82" i="11" l="1"/>
  <c r="H82" i="11"/>
  <c r="G213" i="12"/>
  <c r="F213" i="12"/>
  <c r="B214" i="12"/>
  <c r="H213" i="12"/>
  <c r="E213" i="12"/>
  <c r="D213" i="12"/>
  <c r="C213" i="12"/>
  <c r="B214" i="11"/>
  <c r="C213" i="11"/>
  <c r="C214" i="13"/>
  <c r="B215" i="13"/>
  <c r="D84" i="13"/>
  <c r="B215" i="12" l="1"/>
  <c r="H214" i="12"/>
  <c r="F214" i="12"/>
  <c r="E214" i="12"/>
  <c r="D214" i="12"/>
  <c r="C214" i="12"/>
  <c r="G214" i="12"/>
  <c r="F84" i="13"/>
  <c r="E84" i="13"/>
  <c r="B215" i="11"/>
  <c r="C214" i="11"/>
  <c r="D83" i="11"/>
  <c r="B216" i="13"/>
  <c r="C215" i="13"/>
  <c r="C215" i="11" l="1"/>
  <c r="B216" i="11"/>
  <c r="C215" i="12"/>
  <c r="G215" i="12"/>
  <c r="F215" i="12"/>
  <c r="E215" i="12"/>
  <c r="D215" i="12"/>
  <c r="B216" i="12"/>
  <c r="H215" i="12"/>
  <c r="F83" i="11"/>
  <c r="E83" i="11"/>
  <c r="G84" i="13"/>
  <c r="H84" i="13"/>
  <c r="C216" i="13"/>
  <c r="B217" i="13"/>
  <c r="F216" i="12" l="1"/>
  <c r="E216" i="12"/>
  <c r="B217" i="12"/>
  <c r="H216" i="12"/>
  <c r="G216" i="12"/>
  <c r="D216" i="12"/>
  <c r="C216" i="12"/>
  <c r="C216" i="11"/>
  <c r="B217" i="11"/>
  <c r="D85" i="13"/>
  <c r="C217" i="13"/>
  <c r="B218" i="13"/>
  <c r="G83" i="11"/>
  <c r="H83" i="11"/>
  <c r="D84" i="11" l="1"/>
  <c r="F85" i="13"/>
  <c r="E85" i="13"/>
  <c r="B218" i="11"/>
  <c r="C217" i="11"/>
  <c r="B218" i="12"/>
  <c r="H217" i="12"/>
  <c r="E217" i="12"/>
  <c r="D217" i="12"/>
  <c r="C217" i="12"/>
  <c r="G217" i="12"/>
  <c r="F217" i="12"/>
  <c r="B219" i="13"/>
  <c r="C218" i="13"/>
  <c r="F84" i="11" l="1"/>
  <c r="E84" i="11"/>
  <c r="B219" i="12"/>
  <c r="H218" i="12"/>
  <c r="G218" i="12"/>
  <c r="F218" i="12"/>
  <c r="D218" i="12"/>
  <c r="C218" i="12"/>
  <c r="E218" i="12"/>
  <c r="C219" i="13"/>
  <c r="B220" i="13"/>
  <c r="G85" i="13"/>
  <c r="H85" i="13"/>
  <c r="C218" i="11"/>
  <c r="B219" i="11"/>
  <c r="C219" i="11" l="1"/>
  <c r="B220" i="11"/>
  <c r="E219" i="12"/>
  <c r="D219" i="12"/>
  <c r="C219" i="12"/>
  <c r="B220" i="12"/>
  <c r="H219" i="12"/>
  <c r="G219" i="12"/>
  <c r="F219" i="12"/>
  <c r="D86" i="13"/>
  <c r="G84" i="11"/>
  <c r="H84" i="11"/>
  <c r="B221" i="13"/>
  <c r="C220" i="13"/>
  <c r="F86" i="13" l="1"/>
  <c r="E86" i="13"/>
  <c r="C220" i="11"/>
  <c r="B221" i="11"/>
  <c r="B222" i="13"/>
  <c r="C221" i="13"/>
  <c r="D85" i="11"/>
  <c r="H220" i="12"/>
  <c r="G220" i="12"/>
  <c r="B221" i="12"/>
  <c r="F220" i="12"/>
  <c r="E220" i="12"/>
  <c r="D220" i="12"/>
  <c r="C220" i="12"/>
  <c r="B222" i="11" l="1"/>
  <c r="C221" i="11"/>
  <c r="F85" i="11"/>
  <c r="E85" i="11"/>
  <c r="C221" i="12"/>
  <c r="B222" i="12"/>
  <c r="H221" i="12"/>
  <c r="G221" i="12"/>
  <c r="F221" i="12"/>
  <c r="E221" i="12"/>
  <c r="D221" i="12"/>
  <c r="B223" i="13"/>
  <c r="C222" i="13"/>
  <c r="G86" i="13"/>
  <c r="H86" i="13"/>
  <c r="C222" i="11" l="1"/>
  <c r="B223" i="11"/>
  <c r="D222" i="12"/>
  <c r="C222" i="12"/>
  <c r="H222" i="12"/>
  <c r="G222" i="12"/>
  <c r="F222" i="12"/>
  <c r="E222" i="12"/>
  <c r="B223" i="12"/>
  <c r="D87" i="13"/>
  <c r="G85" i="11"/>
  <c r="H85" i="11"/>
  <c r="B224" i="13"/>
  <c r="C223" i="13"/>
  <c r="C224" i="13" l="1"/>
  <c r="B225" i="13"/>
  <c r="D86" i="11"/>
  <c r="B224" i="11"/>
  <c r="C223" i="11"/>
  <c r="F87" i="13"/>
  <c r="E87" i="13"/>
  <c r="G223" i="12"/>
  <c r="F223" i="12"/>
  <c r="B224" i="12"/>
  <c r="H223" i="12"/>
  <c r="E223" i="12"/>
  <c r="D223" i="12"/>
  <c r="C223" i="12"/>
  <c r="F86" i="11" l="1"/>
  <c r="E86" i="11"/>
  <c r="G87" i="13"/>
  <c r="H87" i="13"/>
  <c r="B226" i="13"/>
  <c r="C225" i="13"/>
  <c r="B225" i="11"/>
  <c r="C224" i="11"/>
  <c r="B225" i="12"/>
  <c r="F224" i="12"/>
  <c r="E224" i="12"/>
  <c r="D224" i="12"/>
  <c r="C224" i="12"/>
  <c r="H224" i="12"/>
  <c r="G224" i="12"/>
  <c r="C226" i="13" l="1"/>
  <c r="B227" i="13"/>
  <c r="D88" i="13"/>
  <c r="C225" i="11"/>
  <c r="B226" i="11"/>
  <c r="C225" i="12"/>
  <c r="B226" i="12"/>
  <c r="H225" i="12"/>
  <c r="G225" i="12"/>
  <c r="F225" i="12"/>
  <c r="E225" i="12"/>
  <c r="D225" i="12"/>
  <c r="G86" i="11"/>
  <c r="H86" i="11"/>
  <c r="F226" i="12" l="1"/>
  <c r="E226" i="12"/>
  <c r="D226" i="12"/>
  <c r="C226" i="12"/>
  <c r="H226" i="12"/>
  <c r="G226" i="12"/>
  <c r="B227" i="12"/>
  <c r="F88" i="13"/>
  <c r="E88" i="13"/>
  <c r="D87" i="11"/>
  <c r="B228" i="13"/>
  <c r="C227" i="13"/>
  <c r="C226" i="11"/>
  <c r="B227" i="11"/>
  <c r="F87" i="11" l="1"/>
  <c r="E87" i="11"/>
  <c r="G88" i="13"/>
  <c r="H88" i="13"/>
  <c r="B228" i="12"/>
  <c r="H227" i="12"/>
  <c r="G227" i="12"/>
  <c r="F227" i="12"/>
  <c r="E227" i="12"/>
  <c r="D227" i="12"/>
  <c r="C227" i="12"/>
  <c r="B228" i="11"/>
  <c r="C227" i="11"/>
  <c r="B229" i="13"/>
  <c r="C228" i="13"/>
  <c r="D228" i="12" l="1"/>
  <c r="C228" i="12"/>
  <c r="B229" i="12"/>
  <c r="H228" i="12"/>
  <c r="G228" i="12"/>
  <c r="F228" i="12"/>
  <c r="E228" i="12"/>
  <c r="D89" i="13"/>
  <c r="C228" i="11"/>
  <c r="B229" i="11"/>
  <c r="C229" i="13"/>
  <c r="B230" i="13"/>
  <c r="G87" i="11"/>
  <c r="H87" i="11"/>
  <c r="F89" i="13" l="1"/>
  <c r="E89" i="13"/>
  <c r="H13" i="13" s="1"/>
  <c r="E229" i="12"/>
  <c r="D229" i="12"/>
  <c r="B230" i="12"/>
  <c r="H229" i="12"/>
  <c r="G229" i="12"/>
  <c r="F229" i="12"/>
  <c r="C229" i="12"/>
  <c r="C230" i="13"/>
  <c r="B231" i="13"/>
  <c r="C229" i="11"/>
  <c r="B230" i="11"/>
  <c r="D88" i="11"/>
  <c r="H230" i="12" l="1"/>
  <c r="G230" i="12"/>
  <c r="B231" i="12"/>
  <c r="F230" i="12"/>
  <c r="E230" i="12"/>
  <c r="D230" i="12"/>
  <c r="C230" i="12"/>
  <c r="B232" i="13"/>
  <c r="C231" i="13"/>
  <c r="F88" i="11"/>
  <c r="E88" i="11"/>
  <c r="B231" i="11"/>
  <c r="C230" i="11"/>
  <c r="G89" i="13"/>
  <c r="H12" i="13" s="1"/>
  <c r="H89" i="13"/>
  <c r="C232" i="13" l="1"/>
  <c r="B233" i="13"/>
  <c r="H14" i="13"/>
  <c r="D90" i="13"/>
  <c r="G231" i="12"/>
  <c r="F231" i="12"/>
  <c r="E231" i="12"/>
  <c r="D231" i="12"/>
  <c r="C231" i="12"/>
  <c r="B232" i="12"/>
  <c r="H231" i="12"/>
  <c r="G88" i="11"/>
  <c r="H88" i="11"/>
  <c r="B232" i="11"/>
  <c r="C231" i="11"/>
  <c r="C232" i="11" l="1"/>
  <c r="B233" i="11"/>
  <c r="F90" i="13"/>
  <c r="E90" i="13"/>
  <c r="D232" i="12"/>
  <c r="C232" i="12"/>
  <c r="B233" i="12"/>
  <c r="H232" i="12"/>
  <c r="G232" i="12"/>
  <c r="F232" i="12"/>
  <c r="E232" i="12"/>
  <c r="D89" i="11"/>
  <c r="C233" i="13"/>
  <c r="B234" i="13"/>
  <c r="F89" i="11" l="1"/>
  <c r="E89" i="11"/>
  <c r="H13" i="11" s="1"/>
  <c r="M10" i="10" s="1"/>
  <c r="M30" i="10" s="1"/>
  <c r="G90" i="13"/>
  <c r="H90" i="13"/>
  <c r="B235" i="13"/>
  <c r="C234" i="13"/>
  <c r="B234" i="11"/>
  <c r="C233" i="11"/>
  <c r="G233" i="12"/>
  <c r="F233" i="12"/>
  <c r="E233" i="12"/>
  <c r="D233" i="12"/>
  <c r="C233" i="12"/>
  <c r="B234" i="12"/>
  <c r="H233" i="12"/>
  <c r="D91" i="13" l="1"/>
  <c r="B235" i="12"/>
  <c r="H234" i="12"/>
  <c r="G234" i="12"/>
  <c r="F234" i="12"/>
  <c r="E234" i="12"/>
  <c r="D234" i="12"/>
  <c r="C234" i="12"/>
  <c r="B235" i="11"/>
  <c r="C234" i="11"/>
  <c r="M31" i="10"/>
  <c r="N39" i="5"/>
  <c r="G89" i="11"/>
  <c r="H12" i="11" s="1"/>
  <c r="M9" i="10" s="1"/>
  <c r="H89" i="11"/>
  <c r="C235" i="13"/>
  <c r="B236" i="13"/>
  <c r="M11" i="10" l="1"/>
  <c r="M34" i="10" s="1"/>
  <c r="M32" i="10"/>
  <c r="C236" i="13"/>
  <c r="B237" i="13"/>
  <c r="C235" i="12"/>
  <c r="E235" i="12"/>
  <c r="D235" i="12"/>
  <c r="G235" i="12"/>
  <c r="F235" i="12"/>
  <c r="B236" i="12"/>
  <c r="H235" i="12"/>
  <c r="H14" i="11"/>
  <c r="M12" i="10" s="1"/>
  <c r="D90" i="11"/>
  <c r="F91" i="13"/>
  <c r="E91" i="13"/>
  <c r="C235" i="11"/>
  <c r="B236" i="11"/>
  <c r="F90" i="11" l="1"/>
  <c r="E90" i="11"/>
  <c r="C237" i="13"/>
  <c r="B238" i="13"/>
  <c r="M35" i="10"/>
  <c r="N8" i="10"/>
  <c r="N29" i="10" s="1"/>
  <c r="B237" i="11"/>
  <c r="C236" i="11"/>
  <c r="F236" i="12"/>
  <c r="E236" i="12"/>
  <c r="B237" i="12"/>
  <c r="H236" i="12"/>
  <c r="G236" i="12"/>
  <c r="D236" i="12"/>
  <c r="C236" i="12"/>
  <c r="M33" i="10"/>
  <c r="N38" i="5"/>
  <c r="N40" i="5" s="1"/>
  <c r="G91" i="13"/>
  <c r="H91" i="13"/>
  <c r="B239" i="13" l="1"/>
  <c r="C238" i="13"/>
  <c r="B238" i="11"/>
  <c r="C237" i="11"/>
  <c r="N62" i="5"/>
  <c r="N42" i="5"/>
  <c r="N48" i="5" s="1"/>
  <c r="B238" i="12"/>
  <c r="H237" i="12"/>
  <c r="C237" i="12"/>
  <c r="G237" i="12"/>
  <c r="F237" i="12"/>
  <c r="E237" i="12"/>
  <c r="D237" i="12"/>
  <c r="D92" i="13"/>
  <c r="G90" i="11"/>
  <c r="H90" i="11"/>
  <c r="H238" i="12" l="1"/>
  <c r="G238" i="12"/>
  <c r="F238" i="12"/>
  <c r="E238" i="12"/>
  <c r="D238" i="12"/>
  <c r="C238" i="12"/>
  <c r="B239" i="12"/>
  <c r="D91" i="11"/>
  <c r="C238" i="11"/>
  <c r="B239" i="11"/>
  <c r="F92" i="13"/>
  <c r="E92" i="13"/>
  <c r="B240" i="13"/>
  <c r="C239" i="13"/>
  <c r="E239" i="12" l="1"/>
  <c r="D239" i="12"/>
  <c r="B240" i="12"/>
  <c r="H239" i="12"/>
  <c r="G239" i="12"/>
  <c r="F239" i="12"/>
  <c r="C239" i="12"/>
  <c r="C239" i="11"/>
  <c r="B240" i="11"/>
  <c r="F91" i="11"/>
  <c r="E91" i="11"/>
  <c r="G92" i="13"/>
  <c r="H92" i="13"/>
  <c r="C240" i="13"/>
  <c r="B241" i="13"/>
  <c r="H240" i="12" l="1"/>
  <c r="G240" i="12"/>
  <c r="F240" i="12"/>
  <c r="E240" i="12"/>
  <c r="D240" i="12"/>
  <c r="C240" i="12"/>
  <c r="B241" i="12"/>
  <c r="G91" i="11"/>
  <c r="H91" i="11"/>
  <c r="C241" i="13"/>
  <c r="B242" i="13"/>
  <c r="D93" i="13"/>
  <c r="B241" i="11"/>
  <c r="C240" i="11"/>
  <c r="F93" i="13" l="1"/>
  <c r="E93" i="13"/>
  <c r="D92" i="11"/>
  <c r="B243" i="13"/>
  <c r="C242" i="13"/>
  <c r="B242" i="12"/>
  <c r="H241" i="12"/>
  <c r="G241" i="12"/>
  <c r="F241" i="12"/>
  <c r="E241" i="12"/>
  <c r="D241" i="12"/>
  <c r="C241" i="12"/>
  <c r="B242" i="11"/>
  <c r="C241" i="11"/>
  <c r="F92" i="11" l="1"/>
  <c r="E92" i="11"/>
  <c r="C243" i="13"/>
  <c r="B244" i="13"/>
  <c r="D242" i="12"/>
  <c r="C242" i="12"/>
  <c r="F242" i="12"/>
  <c r="E242" i="12"/>
  <c r="B243" i="12"/>
  <c r="H242" i="12"/>
  <c r="G242" i="12"/>
  <c r="C242" i="11"/>
  <c r="B243" i="11"/>
  <c r="G93" i="13"/>
  <c r="H93" i="13"/>
  <c r="D94" i="13" l="1"/>
  <c r="B245" i="13"/>
  <c r="C244" i="13"/>
  <c r="G243" i="12"/>
  <c r="F243" i="12"/>
  <c r="B244" i="12"/>
  <c r="H243" i="12"/>
  <c r="E243" i="12"/>
  <c r="D243" i="12"/>
  <c r="C243" i="12"/>
  <c r="B244" i="11"/>
  <c r="C243" i="11"/>
  <c r="G92" i="11"/>
  <c r="H92" i="11"/>
  <c r="C245" i="13" l="1"/>
  <c r="B246" i="13"/>
  <c r="D93" i="11"/>
  <c r="F94" i="13"/>
  <c r="E94" i="13"/>
  <c r="B245" i="12"/>
  <c r="D244" i="12"/>
  <c r="C244" i="12"/>
  <c r="F244" i="12"/>
  <c r="E244" i="12"/>
  <c r="H244" i="12"/>
  <c r="G244" i="12"/>
  <c r="B245" i="11"/>
  <c r="C244" i="11"/>
  <c r="C245" i="11" l="1"/>
  <c r="B246" i="11"/>
  <c r="F93" i="11"/>
  <c r="E93" i="11"/>
  <c r="G94" i="13"/>
  <c r="H94" i="13"/>
  <c r="B247" i="13"/>
  <c r="C246" i="13"/>
  <c r="C245" i="12"/>
  <c r="B246" i="12"/>
  <c r="H245" i="12"/>
  <c r="G245" i="12"/>
  <c r="F245" i="12"/>
  <c r="E245" i="12"/>
  <c r="D245" i="12"/>
  <c r="G93" i="11" l="1"/>
  <c r="H93" i="11"/>
  <c r="F246" i="12"/>
  <c r="E246" i="12"/>
  <c r="B247" i="12"/>
  <c r="H246" i="12"/>
  <c r="G246" i="12"/>
  <c r="D246" i="12"/>
  <c r="C246" i="12"/>
  <c r="C247" i="13"/>
  <c r="B248" i="13"/>
  <c r="D95" i="13"/>
  <c r="B247" i="11"/>
  <c r="C246" i="11"/>
  <c r="F95" i="13" l="1"/>
  <c r="E95" i="13"/>
  <c r="B248" i="12"/>
  <c r="H247" i="12"/>
  <c r="G247" i="12"/>
  <c r="F247" i="12"/>
  <c r="E247" i="12"/>
  <c r="D247" i="12"/>
  <c r="C247" i="12"/>
  <c r="B248" i="11"/>
  <c r="C247" i="11"/>
  <c r="D94" i="11"/>
  <c r="B249" i="13"/>
  <c r="C248" i="13"/>
  <c r="B249" i="12" l="1"/>
  <c r="H248" i="12"/>
  <c r="G248" i="12"/>
  <c r="F248" i="12"/>
  <c r="E248" i="12"/>
  <c r="D248" i="12"/>
  <c r="C248" i="12"/>
  <c r="B249" i="11"/>
  <c r="C248" i="11"/>
  <c r="B250" i="13"/>
  <c r="C249" i="13"/>
  <c r="F94" i="11"/>
  <c r="E94" i="11"/>
  <c r="G95" i="13"/>
  <c r="H95" i="13"/>
  <c r="C249" i="11" l="1"/>
  <c r="B250" i="11"/>
  <c r="D96" i="13"/>
  <c r="B251" i="13"/>
  <c r="C250" i="13"/>
  <c r="E249" i="12"/>
  <c r="D249" i="12"/>
  <c r="G249" i="12"/>
  <c r="F249" i="12"/>
  <c r="C249" i="12"/>
  <c r="H249" i="12"/>
  <c r="B250" i="12"/>
  <c r="G94" i="11"/>
  <c r="H94" i="11"/>
  <c r="D95" i="11" l="1"/>
  <c r="F96" i="13"/>
  <c r="E96" i="13"/>
  <c r="B251" i="11"/>
  <c r="C250" i="11"/>
  <c r="H250" i="12"/>
  <c r="G250" i="12"/>
  <c r="B251" i="12"/>
  <c r="F250" i="12"/>
  <c r="E250" i="12"/>
  <c r="D250" i="12"/>
  <c r="C250" i="12"/>
  <c r="C251" i="13"/>
  <c r="B252" i="13"/>
  <c r="B253" i="13" l="1"/>
  <c r="C252" i="13"/>
  <c r="E251" i="12"/>
  <c r="D251" i="12"/>
  <c r="C251" i="12"/>
  <c r="B252" i="12"/>
  <c r="H251" i="12"/>
  <c r="G251" i="12"/>
  <c r="F251" i="12"/>
  <c r="B252" i="11"/>
  <c r="C251" i="11"/>
  <c r="G96" i="13"/>
  <c r="H96" i="13"/>
  <c r="F95" i="11"/>
  <c r="E95" i="11"/>
  <c r="G95" i="11" l="1"/>
  <c r="H95" i="11"/>
  <c r="D97" i="13"/>
  <c r="C253" i="13"/>
  <c r="B254" i="13"/>
  <c r="C252" i="11"/>
  <c r="B253" i="11"/>
  <c r="D252" i="12"/>
  <c r="C252" i="12"/>
  <c r="B253" i="12"/>
  <c r="H252" i="12"/>
  <c r="G252" i="12"/>
  <c r="F252" i="12"/>
  <c r="E252" i="12"/>
  <c r="F97" i="13" l="1"/>
  <c r="E97" i="13"/>
  <c r="G253" i="12"/>
  <c r="F253" i="12"/>
  <c r="C253" i="12"/>
  <c r="B254" i="12"/>
  <c r="H253" i="12"/>
  <c r="E253" i="12"/>
  <c r="D253" i="12"/>
  <c r="C254" i="13"/>
  <c r="B255" i="13"/>
  <c r="D96" i="11"/>
  <c r="C253" i="11"/>
  <c r="B254" i="11"/>
  <c r="B255" i="12" l="1"/>
  <c r="H254" i="12"/>
  <c r="G254" i="12"/>
  <c r="F254" i="12"/>
  <c r="E254" i="12"/>
  <c r="D254" i="12"/>
  <c r="C254" i="12"/>
  <c r="F96" i="11"/>
  <c r="E96" i="11"/>
  <c r="B255" i="11"/>
  <c r="C254" i="11"/>
  <c r="B256" i="13"/>
  <c r="C255" i="13"/>
  <c r="G97" i="13"/>
  <c r="H97" i="13"/>
  <c r="C255" i="11" l="1"/>
  <c r="B256" i="11"/>
  <c r="G96" i="11"/>
  <c r="H96" i="11"/>
  <c r="C255" i="12"/>
  <c r="B256" i="12"/>
  <c r="H255" i="12"/>
  <c r="G255" i="12"/>
  <c r="E255" i="12"/>
  <c r="D255" i="12"/>
  <c r="F255" i="12"/>
  <c r="D98" i="13"/>
  <c r="B257" i="13"/>
  <c r="C256" i="13"/>
  <c r="B257" i="11" l="1"/>
  <c r="C256" i="11"/>
  <c r="F256" i="12"/>
  <c r="E256" i="12"/>
  <c r="H256" i="12"/>
  <c r="G256" i="12"/>
  <c r="D256" i="12"/>
  <c r="C256" i="12"/>
  <c r="B257" i="12"/>
  <c r="C257" i="13"/>
  <c r="B258" i="13"/>
  <c r="D97" i="11"/>
  <c r="F98" i="13"/>
  <c r="E98" i="13"/>
  <c r="F97" i="11" l="1"/>
  <c r="E97" i="11"/>
  <c r="B259" i="13"/>
  <c r="C258" i="13"/>
  <c r="G98" i="13"/>
  <c r="H98" i="13"/>
  <c r="B258" i="12"/>
  <c r="H257" i="12"/>
  <c r="G257" i="12"/>
  <c r="F257" i="12"/>
  <c r="E257" i="12"/>
  <c r="D257" i="12"/>
  <c r="C257" i="12"/>
  <c r="B258" i="11"/>
  <c r="C257" i="11"/>
  <c r="F258" i="12" l="1"/>
  <c r="E258" i="12"/>
  <c r="D258" i="12"/>
  <c r="C258" i="12"/>
  <c r="B259" i="12"/>
  <c r="H258" i="12"/>
  <c r="G258" i="12"/>
  <c r="B260" i="13"/>
  <c r="C259" i="13"/>
  <c r="D99" i="13"/>
  <c r="B259" i="11"/>
  <c r="C258" i="11"/>
  <c r="G97" i="11"/>
  <c r="H97" i="11"/>
  <c r="C259" i="11" l="1"/>
  <c r="B260" i="11"/>
  <c r="D98" i="11"/>
  <c r="B261" i="13"/>
  <c r="C260" i="13"/>
  <c r="F99" i="13"/>
  <c r="E99" i="13"/>
  <c r="E259" i="12"/>
  <c r="D259" i="12"/>
  <c r="B260" i="12"/>
  <c r="H259" i="12"/>
  <c r="G259" i="12"/>
  <c r="F259" i="12"/>
  <c r="C259" i="12"/>
  <c r="G99" i="13" l="1"/>
  <c r="H99" i="13"/>
  <c r="B261" i="11"/>
  <c r="C260" i="11"/>
  <c r="H260" i="12"/>
  <c r="G260" i="12"/>
  <c r="D260" i="12"/>
  <c r="C260" i="12"/>
  <c r="B261" i="12"/>
  <c r="F260" i="12"/>
  <c r="E260" i="12"/>
  <c r="C261" i="13"/>
  <c r="B262" i="13"/>
  <c r="F98" i="11"/>
  <c r="E98" i="11"/>
  <c r="G98" i="11" l="1"/>
  <c r="H98" i="11"/>
  <c r="B262" i="12"/>
  <c r="H261" i="12"/>
  <c r="G261" i="12"/>
  <c r="F261" i="12"/>
  <c r="E261" i="12"/>
  <c r="D261" i="12"/>
  <c r="C261" i="12"/>
  <c r="B262" i="11"/>
  <c r="C261" i="11"/>
  <c r="B263" i="13"/>
  <c r="C262" i="13"/>
  <c r="D100" i="13"/>
  <c r="B264" i="13" l="1"/>
  <c r="C263" i="13"/>
  <c r="D99" i="11"/>
  <c r="C262" i="11"/>
  <c r="B263" i="11"/>
  <c r="F100" i="13"/>
  <c r="E100" i="13"/>
  <c r="D262" i="12"/>
  <c r="C262" i="12"/>
  <c r="B263" i="12"/>
  <c r="H262" i="12"/>
  <c r="G262" i="12"/>
  <c r="F262" i="12"/>
  <c r="E262" i="12"/>
  <c r="G100" i="13" l="1"/>
  <c r="H100" i="13"/>
  <c r="F99" i="11"/>
  <c r="E99" i="11"/>
  <c r="G263" i="12"/>
  <c r="F263" i="12"/>
  <c r="B264" i="12"/>
  <c r="H263" i="12"/>
  <c r="E263" i="12"/>
  <c r="D263" i="12"/>
  <c r="C263" i="12"/>
  <c r="C263" i="11"/>
  <c r="B264" i="11"/>
  <c r="B265" i="13"/>
  <c r="C264" i="13"/>
  <c r="D101" i="13" l="1"/>
  <c r="B266" i="13"/>
  <c r="C265" i="13"/>
  <c r="G99" i="11"/>
  <c r="H99" i="11"/>
  <c r="B265" i="11"/>
  <c r="C264" i="11"/>
  <c r="B265" i="12"/>
  <c r="H264" i="12"/>
  <c r="G264" i="12"/>
  <c r="F264" i="12"/>
  <c r="E264" i="12"/>
  <c r="D264" i="12"/>
  <c r="C264" i="12"/>
  <c r="D100" i="11" l="1"/>
  <c r="C266" i="13"/>
  <c r="B267" i="13"/>
  <c r="C265" i="12"/>
  <c r="G265" i="12"/>
  <c r="F265" i="12"/>
  <c r="E265" i="12"/>
  <c r="D265" i="12"/>
  <c r="B266" i="12"/>
  <c r="H265" i="12"/>
  <c r="C265" i="11"/>
  <c r="B266" i="11"/>
  <c r="F101" i="13"/>
  <c r="E101" i="13"/>
  <c r="I13" i="13" s="1"/>
  <c r="F100" i="11" l="1"/>
  <c r="E100" i="11"/>
  <c r="F266" i="12"/>
  <c r="E266" i="12"/>
  <c r="B267" i="12"/>
  <c r="H266" i="12"/>
  <c r="G266" i="12"/>
  <c r="D266" i="12"/>
  <c r="C266" i="12"/>
  <c r="G101" i="13"/>
  <c r="I12" i="13" s="1"/>
  <c r="H101" i="13"/>
  <c r="C267" i="13"/>
  <c r="B268" i="13"/>
  <c r="B267" i="11"/>
  <c r="C266" i="11"/>
  <c r="C268" i="13" l="1"/>
  <c r="B269" i="13"/>
  <c r="B268" i="12"/>
  <c r="H267" i="12"/>
  <c r="E267" i="12"/>
  <c r="D267" i="12"/>
  <c r="C267" i="12"/>
  <c r="F267" i="12"/>
  <c r="G267" i="12"/>
  <c r="B268" i="11"/>
  <c r="C267" i="11"/>
  <c r="I14" i="13"/>
  <c r="D102" i="13"/>
  <c r="G100" i="11"/>
  <c r="H100" i="11"/>
  <c r="B269" i="12" l="1"/>
  <c r="H268" i="12"/>
  <c r="G268" i="12"/>
  <c r="F268" i="12"/>
  <c r="E268" i="12"/>
  <c r="D268" i="12"/>
  <c r="C268" i="12"/>
  <c r="D101" i="11"/>
  <c r="B269" i="11"/>
  <c r="C268" i="11"/>
  <c r="F102" i="13"/>
  <c r="E102" i="13"/>
  <c r="B270" i="13"/>
  <c r="C269" i="13"/>
  <c r="B271" i="13" l="1"/>
  <c r="C270" i="13"/>
  <c r="E269" i="12"/>
  <c r="D269" i="12"/>
  <c r="C269" i="12"/>
  <c r="B270" i="12"/>
  <c r="H269" i="12"/>
  <c r="G269" i="12"/>
  <c r="F269" i="12"/>
  <c r="C269" i="11"/>
  <c r="B270" i="11"/>
  <c r="F101" i="11"/>
  <c r="E101" i="11"/>
  <c r="I13" i="11" s="1"/>
  <c r="N10" i="10" s="1"/>
  <c r="N30" i="10" s="1"/>
  <c r="G102" i="13"/>
  <c r="H102" i="13"/>
  <c r="B271" i="11" l="1"/>
  <c r="C270" i="11"/>
  <c r="D103" i="13"/>
  <c r="N31" i="10"/>
  <c r="P39" i="5"/>
  <c r="G101" i="11"/>
  <c r="I12" i="11" s="1"/>
  <c r="N9" i="10" s="1"/>
  <c r="H101" i="11"/>
  <c r="C271" i="13"/>
  <c r="B272" i="13"/>
  <c r="H270" i="12"/>
  <c r="G270" i="12"/>
  <c r="B271" i="12"/>
  <c r="F270" i="12"/>
  <c r="E270" i="12"/>
  <c r="D270" i="12"/>
  <c r="C270" i="12"/>
  <c r="F103" i="13" l="1"/>
  <c r="E103" i="13"/>
  <c r="B273" i="13"/>
  <c r="C272" i="13"/>
  <c r="C271" i="12"/>
  <c r="B272" i="12"/>
  <c r="H271" i="12"/>
  <c r="G271" i="12"/>
  <c r="F271" i="12"/>
  <c r="E271" i="12"/>
  <c r="D271" i="12"/>
  <c r="I14" i="11"/>
  <c r="N12" i="10" s="1"/>
  <c r="D102" i="11"/>
  <c r="B272" i="11"/>
  <c r="C271" i="11"/>
  <c r="N11" i="10"/>
  <c r="N34" i="10" s="1"/>
  <c r="N32" i="10"/>
  <c r="B274" i="13" l="1"/>
  <c r="C273" i="13"/>
  <c r="D272" i="12"/>
  <c r="C272" i="12"/>
  <c r="H272" i="12"/>
  <c r="G272" i="12"/>
  <c r="F272" i="12"/>
  <c r="E272" i="12"/>
  <c r="B273" i="12"/>
  <c r="C272" i="11"/>
  <c r="B273" i="11"/>
  <c r="G103" i="13"/>
  <c r="H103" i="13"/>
  <c r="N33" i="10"/>
  <c r="P38" i="5"/>
  <c r="P40" i="5" s="1"/>
  <c r="F102" i="11"/>
  <c r="E102" i="11"/>
  <c r="N35" i="10"/>
  <c r="O8" i="10"/>
  <c r="O29" i="10" s="1"/>
  <c r="G102" i="11" l="1"/>
  <c r="H102" i="11"/>
  <c r="C273" i="11"/>
  <c r="B274" i="11"/>
  <c r="P62" i="5"/>
  <c r="P42" i="5"/>
  <c r="P48" i="5" s="1"/>
  <c r="G273" i="12"/>
  <c r="F273" i="12"/>
  <c r="B274" i="12"/>
  <c r="H273" i="12"/>
  <c r="E273" i="12"/>
  <c r="D273" i="12"/>
  <c r="C273" i="12"/>
  <c r="D104" i="13"/>
  <c r="C274" i="13"/>
  <c r="B275" i="13"/>
  <c r="B275" i="12" l="1"/>
  <c r="F274" i="12"/>
  <c r="E274" i="12"/>
  <c r="D274" i="12"/>
  <c r="C274" i="12"/>
  <c r="H274" i="12"/>
  <c r="G274" i="12"/>
  <c r="B276" i="13"/>
  <c r="C275" i="13"/>
  <c r="D103" i="11"/>
  <c r="F104" i="13"/>
  <c r="E104" i="13"/>
  <c r="B275" i="11"/>
  <c r="C274" i="11"/>
  <c r="G104" i="13" l="1"/>
  <c r="H104" i="13"/>
  <c r="F103" i="11"/>
  <c r="E103" i="11"/>
  <c r="C275" i="11"/>
  <c r="B276" i="11"/>
  <c r="C275" i="12"/>
  <c r="B276" i="12"/>
  <c r="H275" i="12"/>
  <c r="G275" i="12"/>
  <c r="F275" i="12"/>
  <c r="E275" i="12"/>
  <c r="D275" i="12"/>
  <c r="C276" i="13"/>
  <c r="B277" i="13"/>
  <c r="G103" i="11" l="1"/>
  <c r="H103" i="11"/>
  <c r="C277" i="13"/>
  <c r="B278" i="13"/>
  <c r="B277" i="11"/>
  <c r="C276" i="11"/>
  <c r="D105" i="13"/>
  <c r="F276" i="12"/>
  <c r="E276" i="12"/>
  <c r="D276" i="12"/>
  <c r="C276" i="12"/>
  <c r="B277" i="12"/>
  <c r="G276" i="12"/>
  <c r="H276" i="12"/>
  <c r="B278" i="11" l="1"/>
  <c r="C277" i="11"/>
  <c r="D104" i="11"/>
  <c r="C278" i="13"/>
  <c r="B279" i="13"/>
  <c r="B278" i="12"/>
  <c r="H277" i="12"/>
  <c r="G277" i="12"/>
  <c r="F277" i="12"/>
  <c r="E277" i="12"/>
  <c r="D277" i="12"/>
  <c r="C277" i="12"/>
  <c r="F105" i="13"/>
  <c r="E105" i="13"/>
  <c r="D278" i="12" l="1"/>
  <c r="C278" i="12"/>
  <c r="B279" i="12"/>
  <c r="H278" i="12"/>
  <c r="G278" i="12"/>
  <c r="F278" i="12"/>
  <c r="E278" i="12"/>
  <c r="B280" i="13"/>
  <c r="C279" i="13"/>
  <c r="B279" i="11"/>
  <c r="C278" i="11"/>
  <c r="G105" i="13"/>
  <c r="H105" i="13"/>
  <c r="F104" i="11"/>
  <c r="E104" i="11"/>
  <c r="B281" i="13" l="1"/>
  <c r="C280" i="13"/>
  <c r="G104" i="11"/>
  <c r="H104" i="11"/>
  <c r="D106" i="13"/>
  <c r="E279" i="12"/>
  <c r="D279" i="12"/>
  <c r="B280" i="12"/>
  <c r="H279" i="12"/>
  <c r="G279" i="12"/>
  <c r="F279" i="12"/>
  <c r="C279" i="12"/>
  <c r="C279" i="11"/>
  <c r="B280" i="11"/>
  <c r="B281" i="11" l="1"/>
  <c r="C280" i="11"/>
  <c r="H280" i="12"/>
  <c r="G280" i="12"/>
  <c r="B281" i="12"/>
  <c r="F280" i="12"/>
  <c r="E280" i="12"/>
  <c r="D280" i="12"/>
  <c r="C280" i="12"/>
  <c r="F106" i="13"/>
  <c r="E106" i="13"/>
  <c r="B282" i="13"/>
  <c r="C281" i="13"/>
  <c r="D105" i="11"/>
  <c r="F105" i="11" l="1"/>
  <c r="E105" i="11"/>
  <c r="G106" i="13"/>
  <c r="H106" i="13"/>
  <c r="B282" i="11"/>
  <c r="C281" i="11"/>
  <c r="B283" i="13"/>
  <c r="C282" i="13"/>
  <c r="G281" i="12"/>
  <c r="F281" i="12"/>
  <c r="E281" i="12"/>
  <c r="D281" i="12"/>
  <c r="C281" i="12"/>
  <c r="B282" i="12"/>
  <c r="H281" i="12"/>
  <c r="D282" i="12" l="1"/>
  <c r="C282" i="12"/>
  <c r="B283" i="12"/>
  <c r="H282" i="12"/>
  <c r="G282" i="12"/>
  <c r="F282" i="12"/>
  <c r="E282" i="12"/>
  <c r="C282" i="11"/>
  <c r="B283" i="11"/>
  <c r="D107" i="13"/>
  <c r="C283" i="13"/>
  <c r="B284" i="13"/>
  <c r="G105" i="11"/>
  <c r="H105" i="11"/>
  <c r="D106" i="11" l="1"/>
  <c r="F107" i="13"/>
  <c r="E107" i="13"/>
  <c r="G283" i="12"/>
  <c r="F283" i="12"/>
  <c r="E283" i="12"/>
  <c r="D283" i="12"/>
  <c r="C283" i="12"/>
  <c r="B284" i="12"/>
  <c r="H283" i="12"/>
  <c r="B285" i="13"/>
  <c r="C284" i="13"/>
  <c r="B284" i="11"/>
  <c r="C283" i="11"/>
  <c r="C285" i="13" l="1"/>
  <c r="B286" i="13"/>
  <c r="G107" i="13"/>
  <c r="H107" i="13"/>
  <c r="B285" i="11"/>
  <c r="C284" i="11"/>
  <c r="B285" i="12"/>
  <c r="H284" i="12"/>
  <c r="G284" i="12"/>
  <c r="F284" i="12"/>
  <c r="E284" i="12"/>
  <c r="D284" i="12"/>
  <c r="C284" i="12"/>
  <c r="F106" i="11"/>
  <c r="E106" i="11"/>
  <c r="D108" i="13" l="1"/>
  <c r="C285" i="11"/>
  <c r="B286" i="11"/>
  <c r="C285" i="12"/>
  <c r="E285" i="12"/>
  <c r="D285" i="12"/>
  <c r="B286" i="12"/>
  <c r="H285" i="12"/>
  <c r="F285" i="12"/>
  <c r="G285" i="12"/>
  <c r="B287" i="13"/>
  <c r="C286" i="13"/>
  <c r="G106" i="11"/>
  <c r="H106" i="11"/>
  <c r="B287" i="11" l="1"/>
  <c r="C286" i="11"/>
  <c r="C287" i="13"/>
  <c r="B288" i="13"/>
  <c r="D107" i="11"/>
  <c r="F286" i="12"/>
  <c r="E286" i="12"/>
  <c r="B287" i="12"/>
  <c r="H286" i="12"/>
  <c r="G286" i="12"/>
  <c r="D286" i="12"/>
  <c r="C286" i="12"/>
  <c r="F108" i="13"/>
  <c r="E108" i="13"/>
  <c r="B289" i="13" l="1"/>
  <c r="C288" i="13"/>
  <c r="B288" i="12"/>
  <c r="H287" i="12"/>
  <c r="C287" i="12"/>
  <c r="G287" i="12"/>
  <c r="F287" i="12"/>
  <c r="E287" i="12"/>
  <c r="D287" i="12"/>
  <c r="F107" i="11"/>
  <c r="E107" i="11"/>
  <c r="G108" i="13"/>
  <c r="H108" i="13"/>
  <c r="B288" i="11"/>
  <c r="C287" i="11"/>
  <c r="D109" i="13" l="1"/>
  <c r="H288" i="12"/>
  <c r="G288" i="12"/>
  <c r="F288" i="12"/>
  <c r="E288" i="12"/>
  <c r="D288" i="12"/>
  <c r="C288" i="12"/>
  <c r="B289" i="12"/>
  <c r="G107" i="11"/>
  <c r="H107" i="11"/>
  <c r="C289" i="13"/>
  <c r="B290" i="13"/>
  <c r="C288" i="11"/>
  <c r="B289" i="11"/>
  <c r="F109" i="13" l="1"/>
  <c r="E109" i="13"/>
  <c r="B291" i="13"/>
  <c r="C290" i="13"/>
  <c r="C289" i="11"/>
  <c r="B290" i="11"/>
  <c r="D108" i="11"/>
  <c r="E289" i="12"/>
  <c r="D289" i="12"/>
  <c r="B290" i="12"/>
  <c r="H289" i="12"/>
  <c r="G289" i="12"/>
  <c r="F289" i="12"/>
  <c r="C289" i="12"/>
  <c r="F108" i="11" l="1"/>
  <c r="E108" i="11"/>
  <c r="B292" i="13"/>
  <c r="C291" i="13"/>
  <c r="H290" i="12"/>
  <c r="G290" i="12"/>
  <c r="F290" i="12"/>
  <c r="E290" i="12"/>
  <c r="D290" i="12"/>
  <c r="C290" i="12"/>
  <c r="B291" i="12"/>
  <c r="B291" i="11"/>
  <c r="C290" i="11"/>
  <c r="G109" i="13"/>
  <c r="H109" i="13"/>
  <c r="D110" i="13" l="1"/>
  <c r="B292" i="12"/>
  <c r="H291" i="12"/>
  <c r="G291" i="12"/>
  <c r="F291" i="12"/>
  <c r="E291" i="12"/>
  <c r="D291" i="12"/>
  <c r="C291" i="12"/>
  <c r="C292" i="13"/>
  <c r="B293" i="13"/>
  <c r="G108" i="11"/>
  <c r="H108" i="11"/>
  <c r="B292" i="11"/>
  <c r="C291" i="11"/>
  <c r="C293" i="13" l="1"/>
  <c r="B294" i="13"/>
  <c r="F110" i="13"/>
  <c r="E110" i="13"/>
  <c r="D292" i="12"/>
  <c r="C292" i="12"/>
  <c r="F292" i="12"/>
  <c r="E292" i="12"/>
  <c r="B293" i="12"/>
  <c r="H292" i="12"/>
  <c r="G292" i="12"/>
  <c r="C292" i="11"/>
  <c r="B293" i="11"/>
  <c r="D109" i="11"/>
  <c r="G110" i="13" l="1"/>
  <c r="H110" i="13"/>
  <c r="F109" i="11"/>
  <c r="E109" i="11"/>
  <c r="G293" i="12"/>
  <c r="F293" i="12"/>
  <c r="B294" i="12"/>
  <c r="H293" i="12"/>
  <c r="E293" i="12"/>
  <c r="D293" i="12"/>
  <c r="C293" i="12"/>
  <c r="B295" i="13"/>
  <c r="C294" i="13"/>
  <c r="B294" i="11"/>
  <c r="C293" i="11"/>
  <c r="B295" i="12" l="1"/>
  <c r="D294" i="12"/>
  <c r="C294" i="12"/>
  <c r="H294" i="12"/>
  <c r="G294" i="12"/>
  <c r="E294" i="12"/>
  <c r="F294" i="12"/>
  <c r="C295" i="13"/>
  <c r="B296" i="13"/>
  <c r="B295" i="11"/>
  <c r="C294" i="11"/>
  <c r="G109" i="11"/>
  <c r="H109" i="11"/>
  <c r="D111" i="13"/>
  <c r="F111" i="13" l="1"/>
  <c r="E111" i="13"/>
  <c r="C295" i="11"/>
  <c r="B296" i="11"/>
  <c r="D110" i="11"/>
  <c r="B297" i="13"/>
  <c r="C296" i="13"/>
  <c r="C295" i="12"/>
  <c r="B296" i="12"/>
  <c r="H295" i="12"/>
  <c r="G295" i="12"/>
  <c r="F295" i="12"/>
  <c r="E295" i="12"/>
  <c r="D295" i="12"/>
  <c r="C297" i="13" l="1"/>
  <c r="B298" i="13"/>
  <c r="B297" i="11"/>
  <c r="C296" i="11"/>
  <c r="F110" i="11"/>
  <c r="E110" i="11"/>
  <c r="F296" i="12"/>
  <c r="E296" i="12"/>
  <c r="B297" i="12"/>
  <c r="H296" i="12"/>
  <c r="G296" i="12"/>
  <c r="D296" i="12"/>
  <c r="C296" i="12"/>
  <c r="G111" i="13"/>
  <c r="H111" i="13"/>
  <c r="D112" i="13" l="1"/>
  <c r="G110" i="11"/>
  <c r="H110" i="11"/>
  <c r="B299" i="13"/>
  <c r="C298" i="13"/>
  <c r="B298" i="12"/>
  <c r="H297" i="12"/>
  <c r="G297" i="12"/>
  <c r="F297" i="12"/>
  <c r="E297" i="12"/>
  <c r="D297" i="12"/>
  <c r="C297" i="12"/>
  <c r="B298" i="11"/>
  <c r="C297" i="11"/>
  <c r="F112" i="13" l="1"/>
  <c r="E112" i="13"/>
  <c r="B299" i="12"/>
  <c r="H298" i="12"/>
  <c r="G298" i="12"/>
  <c r="F298" i="12"/>
  <c r="E298" i="12"/>
  <c r="D298" i="12"/>
  <c r="C298" i="12"/>
  <c r="D111" i="11"/>
  <c r="B299" i="11"/>
  <c r="C298" i="11"/>
  <c r="C299" i="13"/>
  <c r="B300" i="13"/>
  <c r="B301" i="13" l="1"/>
  <c r="C300" i="13"/>
  <c r="E299" i="12"/>
  <c r="D299" i="12"/>
  <c r="G299" i="12"/>
  <c r="F299" i="12"/>
  <c r="C299" i="12"/>
  <c r="B300" i="12"/>
  <c r="H299" i="12"/>
  <c r="C299" i="11"/>
  <c r="B300" i="11"/>
  <c r="F111" i="11"/>
  <c r="E111" i="11"/>
  <c r="G112" i="13"/>
  <c r="H112" i="13"/>
  <c r="D113" i="13" l="1"/>
  <c r="C300" i="11"/>
  <c r="B301" i="11"/>
  <c r="H300" i="12"/>
  <c r="G300" i="12"/>
  <c r="B301" i="12"/>
  <c r="F300" i="12"/>
  <c r="E300" i="12"/>
  <c r="D300" i="12"/>
  <c r="C300" i="12"/>
  <c r="G111" i="11"/>
  <c r="H111" i="11"/>
  <c r="B302" i="13"/>
  <c r="C301" i="13"/>
  <c r="E301" i="12" l="1"/>
  <c r="D301" i="12"/>
  <c r="C301" i="12"/>
  <c r="B302" i="12"/>
  <c r="H301" i="12"/>
  <c r="G301" i="12"/>
  <c r="F301" i="12"/>
  <c r="D112" i="11"/>
  <c r="F113" i="13"/>
  <c r="E113" i="13"/>
  <c r="J13" i="13" s="1"/>
  <c r="B303" i="13"/>
  <c r="C302" i="13"/>
  <c r="B302" i="11"/>
  <c r="C301" i="11"/>
  <c r="F112" i="11" l="1"/>
  <c r="E112" i="11"/>
  <c r="C303" i="13"/>
  <c r="B304" i="13"/>
  <c r="D302" i="12"/>
  <c r="C302" i="12"/>
  <c r="B303" i="12"/>
  <c r="H302" i="12"/>
  <c r="G302" i="12"/>
  <c r="F302" i="12"/>
  <c r="E302" i="12"/>
  <c r="G113" i="13"/>
  <c r="J12" i="13" s="1"/>
  <c r="H113" i="13"/>
  <c r="C302" i="11"/>
  <c r="B303" i="11"/>
  <c r="C304" i="13" l="1"/>
  <c r="B305" i="13"/>
  <c r="C303" i="11"/>
  <c r="B304" i="11"/>
  <c r="G303" i="12"/>
  <c r="F303" i="12"/>
  <c r="C303" i="12"/>
  <c r="B304" i="12"/>
  <c r="H303" i="12"/>
  <c r="D303" i="12"/>
  <c r="E303" i="12"/>
  <c r="J14" i="13"/>
  <c r="D114" i="13"/>
  <c r="G112" i="11"/>
  <c r="H112" i="11"/>
  <c r="B305" i="11" l="1"/>
  <c r="C304" i="11"/>
  <c r="D113" i="11"/>
  <c r="B305" i="12"/>
  <c r="H304" i="12"/>
  <c r="G304" i="12"/>
  <c r="F304" i="12"/>
  <c r="E304" i="12"/>
  <c r="D304" i="12"/>
  <c r="C304" i="12"/>
  <c r="C305" i="13"/>
  <c r="B306" i="13"/>
  <c r="F114" i="13"/>
  <c r="E114" i="13"/>
  <c r="C305" i="12" l="1"/>
  <c r="B306" i="12"/>
  <c r="H305" i="12"/>
  <c r="G305" i="12"/>
  <c r="F305" i="12"/>
  <c r="E305" i="12"/>
  <c r="D305" i="12"/>
  <c r="F113" i="11"/>
  <c r="E113" i="11"/>
  <c r="J13" i="11" s="1"/>
  <c r="O10" i="10" s="1"/>
  <c r="O30" i="10" s="1"/>
  <c r="G114" i="13"/>
  <c r="H114" i="13"/>
  <c r="B307" i="13"/>
  <c r="C306" i="13"/>
  <c r="C305" i="11"/>
  <c r="B306" i="11"/>
  <c r="C307" i="13" l="1"/>
  <c r="B308" i="13"/>
  <c r="C306" i="11"/>
  <c r="B307" i="11"/>
  <c r="D115" i="13"/>
  <c r="F306" i="12"/>
  <c r="E306" i="12"/>
  <c r="H306" i="12"/>
  <c r="G306" i="12"/>
  <c r="D306" i="12"/>
  <c r="C306" i="12"/>
  <c r="B307" i="12"/>
  <c r="O31" i="10"/>
  <c r="R39" i="5"/>
  <c r="G113" i="11"/>
  <c r="J12" i="11" s="1"/>
  <c r="O9" i="10" s="1"/>
  <c r="H113" i="11"/>
  <c r="J14" i="11" l="1"/>
  <c r="O12" i="10" s="1"/>
  <c r="D114" i="11"/>
  <c r="C308" i="13"/>
  <c r="B309" i="13"/>
  <c r="O32" i="10"/>
  <c r="O11" i="10"/>
  <c r="O34" i="10" s="1"/>
  <c r="F115" i="13"/>
  <c r="E115" i="13"/>
  <c r="B308" i="12"/>
  <c r="H307" i="12"/>
  <c r="G307" i="12"/>
  <c r="F307" i="12"/>
  <c r="E307" i="12"/>
  <c r="D307" i="12"/>
  <c r="C307" i="12"/>
  <c r="B308" i="11"/>
  <c r="C307" i="11"/>
  <c r="C308" i="12" l="1"/>
  <c r="D308" i="12"/>
  <c r="H308" i="12"/>
  <c r="G308" i="12"/>
  <c r="F308" i="12"/>
  <c r="E308" i="12"/>
  <c r="B309" i="12"/>
  <c r="B309" i="11"/>
  <c r="C308" i="11"/>
  <c r="G115" i="13"/>
  <c r="H115" i="13"/>
  <c r="F114" i="11"/>
  <c r="E114" i="11"/>
  <c r="O33" i="10"/>
  <c r="R38" i="5"/>
  <c r="R40" i="5" s="1"/>
  <c r="O35" i="10"/>
  <c r="P8" i="10"/>
  <c r="P29" i="10" s="1"/>
  <c r="C309" i="13"/>
  <c r="B310" i="13"/>
  <c r="C309" i="11" l="1"/>
  <c r="B310" i="11"/>
  <c r="C310" i="13"/>
  <c r="B311" i="13"/>
  <c r="D116" i="13"/>
  <c r="G309" i="12"/>
  <c r="F309" i="12"/>
  <c r="E309" i="12"/>
  <c r="B310" i="12"/>
  <c r="H309" i="12"/>
  <c r="D309" i="12"/>
  <c r="C309" i="12"/>
  <c r="R62" i="5"/>
  <c r="R42" i="5"/>
  <c r="R48" i="5" s="1"/>
  <c r="G114" i="11"/>
  <c r="H114" i="11"/>
  <c r="D115" i="11" l="1"/>
  <c r="F116" i="13"/>
  <c r="E116" i="13"/>
  <c r="C310" i="11"/>
  <c r="B311" i="11"/>
  <c r="B311" i="12"/>
  <c r="H310" i="12"/>
  <c r="C310" i="12"/>
  <c r="G310" i="12"/>
  <c r="F310" i="12"/>
  <c r="E310" i="12"/>
  <c r="D310" i="12"/>
  <c r="B312" i="13"/>
  <c r="C311" i="13"/>
  <c r="C311" i="12" l="1"/>
  <c r="B312" i="12"/>
  <c r="H311" i="12"/>
  <c r="E311" i="12"/>
  <c r="D311" i="12"/>
  <c r="G311" i="12"/>
  <c r="F311" i="12"/>
  <c r="B312" i="11"/>
  <c r="C311" i="11"/>
  <c r="G116" i="13"/>
  <c r="H116" i="13"/>
  <c r="C312" i="13"/>
  <c r="B313" i="13"/>
  <c r="F115" i="11"/>
  <c r="E115" i="11"/>
  <c r="C312" i="11" l="1"/>
  <c r="B313" i="11"/>
  <c r="B314" i="13"/>
  <c r="C313" i="13"/>
  <c r="D117" i="13"/>
  <c r="G115" i="11"/>
  <c r="H115" i="11"/>
  <c r="F312" i="12"/>
  <c r="E312" i="12"/>
  <c r="D312" i="12"/>
  <c r="B313" i="12"/>
  <c r="H312" i="12"/>
  <c r="G312" i="12"/>
  <c r="C312" i="12"/>
  <c r="D116" i="11" l="1"/>
  <c r="C314" i="13"/>
  <c r="B315" i="13"/>
  <c r="F117" i="13"/>
  <c r="E117" i="13"/>
  <c r="B314" i="12"/>
  <c r="H313" i="12"/>
  <c r="G313" i="12"/>
  <c r="F313" i="12"/>
  <c r="E313" i="12"/>
  <c r="D313" i="12"/>
  <c r="C313" i="12"/>
  <c r="C313" i="11"/>
  <c r="B314" i="11"/>
  <c r="B315" i="11" l="1"/>
  <c r="C314" i="11"/>
  <c r="G117" i="13"/>
  <c r="H117" i="13"/>
  <c r="B316" i="13"/>
  <c r="C315" i="13"/>
  <c r="D314" i="12"/>
  <c r="C314" i="12"/>
  <c r="B315" i="12"/>
  <c r="H314" i="12"/>
  <c r="G314" i="12"/>
  <c r="E314" i="12"/>
  <c r="F314" i="12"/>
  <c r="F116" i="11"/>
  <c r="E116" i="11"/>
  <c r="G116" i="11" l="1"/>
  <c r="H116" i="11"/>
  <c r="B317" i="13"/>
  <c r="C316" i="13"/>
  <c r="C315" i="11"/>
  <c r="B316" i="11"/>
  <c r="E315" i="12"/>
  <c r="D315" i="12"/>
  <c r="C315" i="12"/>
  <c r="B316" i="12"/>
  <c r="H315" i="12"/>
  <c r="G315" i="12"/>
  <c r="F315" i="12"/>
  <c r="D118" i="13"/>
  <c r="F118" i="13" l="1"/>
  <c r="E118" i="13"/>
  <c r="C317" i="13"/>
  <c r="B318" i="13"/>
  <c r="C316" i="11"/>
  <c r="B317" i="11"/>
  <c r="H316" i="12"/>
  <c r="G316" i="12"/>
  <c r="F316" i="12"/>
  <c r="C316" i="12"/>
  <c r="E316" i="12"/>
  <c r="D316" i="12"/>
  <c r="B317" i="12"/>
  <c r="D117" i="11"/>
  <c r="F318" i="13" l="1"/>
  <c r="E318" i="13"/>
  <c r="B319" i="13"/>
  <c r="H318" i="13"/>
  <c r="G318" i="13"/>
  <c r="D318" i="13"/>
  <c r="C318" i="13"/>
  <c r="F117" i="11"/>
  <c r="E117" i="11"/>
  <c r="B318" i="11"/>
  <c r="C317" i="11"/>
  <c r="B318" i="12"/>
  <c r="H317" i="12"/>
  <c r="G317" i="12"/>
  <c r="F317" i="12"/>
  <c r="E317" i="12"/>
  <c r="D317" i="12"/>
  <c r="C317" i="12"/>
  <c r="G118" i="13"/>
  <c r="H118" i="13"/>
  <c r="G117" i="11" l="1"/>
  <c r="H117" i="11"/>
  <c r="D119" i="13"/>
  <c r="D318" i="12"/>
  <c r="C318" i="12"/>
  <c r="E318" i="12"/>
  <c r="B319" i="12"/>
  <c r="H318" i="12"/>
  <c r="G318" i="12"/>
  <c r="F318" i="12"/>
  <c r="C319" i="13"/>
  <c r="B320" i="13"/>
  <c r="H319" i="13"/>
  <c r="E319" i="13"/>
  <c r="G319" i="13"/>
  <c r="F319" i="13"/>
  <c r="D319" i="13"/>
  <c r="B319" i="11"/>
  <c r="C318" i="11"/>
  <c r="F320" i="13" l="1"/>
  <c r="B321" i="13"/>
  <c r="D320" i="13"/>
  <c r="C320" i="13"/>
  <c r="G320" i="13"/>
  <c r="E320" i="13"/>
  <c r="H320" i="13"/>
  <c r="F119" i="13"/>
  <c r="E119" i="13"/>
  <c r="D118" i="11"/>
  <c r="C319" i="11"/>
  <c r="B320" i="11"/>
  <c r="G319" i="12"/>
  <c r="F319" i="12"/>
  <c r="E319" i="12"/>
  <c r="B320" i="12"/>
  <c r="H319" i="12"/>
  <c r="D319" i="12"/>
  <c r="C319" i="12"/>
  <c r="G119" i="13" l="1"/>
  <c r="H119" i="13"/>
  <c r="C320" i="11"/>
  <c r="B321" i="11"/>
  <c r="B321" i="12"/>
  <c r="H320" i="12"/>
  <c r="D320" i="12"/>
  <c r="C320" i="12"/>
  <c r="G320" i="12"/>
  <c r="F320" i="12"/>
  <c r="E320" i="12"/>
  <c r="B322" i="13"/>
  <c r="E321" i="13"/>
  <c r="D321" i="13"/>
  <c r="F321" i="13"/>
  <c r="C321" i="13"/>
  <c r="H321" i="13"/>
  <c r="G321" i="13"/>
  <c r="F118" i="11"/>
  <c r="E118" i="11"/>
  <c r="B322" i="11" l="1"/>
  <c r="C321" i="11"/>
  <c r="H322" i="13"/>
  <c r="G322" i="13"/>
  <c r="B323" i="13"/>
  <c r="F322" i="13"/>
  <c r="E322" i="13"/>
  <c r="D322" i="13"/>
  <c r="C322" i="13"/>
  <c r="C321" i="12"/>
  <c r="B322" i="12"/>
  <c r="F321" i="12"/>
  <c r="E321" i="12"/>
  <c r="D321" i="12"/>
  <c r="H321" i="12"/>
  <c r="G321" i="12"/>
  <c r="G118" i="11"/>
  <c r="H118" i="11"/>
  <c r="D120" i="13"/>
  <c r="C322" i="11" l="1"/>
  <c r="B323" i="11"/>
  <c r="E323" i="13"/>
  <c r="F323" i="13"/>
  <c r="G323" i="13"/>
  <c r="D323" i="13"/>
  <c r="B324" i="13"/>
  <c r="H323" i="13"/>
  <c r="C323" i="13"/>
  <c r="F120" i="13"/>
  <c r="E120" i="13"/>
  <c r="F322" i="12"/>
  <c r="E322" i="12"/>
  <c r="D322" i="12"/>
  <c r="C322" i="12"/>
  <c r="B323" i="12"/>
  <c r="H322" i="12"/>
  <c r="G322" i="12"/>
  <c r="D119" i="11"/>
  <c r="B324" i="12" l="1"/>
  <c r="H323" i="12"/>
  <c r="G323" i="12"/>
  <c r="F323" i="12"/>
  <c r="E323" i="12"/>
  <c r="D323" i="12"/>
  <c r="C323" i="12"/>
  <c r="G120" i="13"/>
  <c r="H120" i="13"/>
  <c r="C323" i="11"/>
  <c r="B324" i="11"/>
  <c r="H324" i="13"/>
  <c r="D324" i="13"/>
  <c r="C324" i="13"/>
  <c r="B325" i="13"/>
  <c r="G324" i="13"/>
  <c r="F324" i="13"/>
  <c r="E324" i="13"/>
  <c r="F119" i="11"/>
  <c r="E119" i="11"/>
  <c r="G119" i="11" l="1"/>
  <c r="H119" i="11"/>
  <c r="G325" i="13"/>
  <c r="F325" i="13"/>
  <c r="E325" i="13"/>
  <c r="B326" i="13"/>
  <c r="H325" i="13"/>
  <c r="D325" i="13"/>
  <c r="C325" i="13"/>
  <c r="D121" i="13"/>
  <c r="B325" i="11"/>
  <c r="C324" i="11"/>
  <c r="E324" i="12"/>
  <c r="D324" i="12"/>
  <c r="C324" i="12"/>
  <c r="B325" i="12"/>
  <c r="H324" i="12"/>
  <c r="G324" i="12"/>
  <c r="F324" i="12"/>
  <c r="E325" i="12" l="1"/>
  <c r="D325" i="12"/>
  <c r="C325" i="12"/>
  <c r="B326" i="12"/>
  <c r="H325" i="12"/>
  <c r="G325" i="12"/>
  <c r="F325" i="12"/>
  <c r="C325" i="11"/>
  <c r="B326" i="11"/>
  <c r="F121" i="13"/>
  <c r="E121" i="13"/>
  <c r="D120" i="11"/>
  <c r="D326" i="13"/>
  <c r="B327" i="13"/>
  <c r="C326" i="13"/>
  <c r="H326" i="13"/>
  <c r="G326" i="13"/>
  <c r="F326" i="13"/>
  <c r="E326" i="13"/>
  <c r="H326" i="12" l="1"/>
  <c r="G326" i="12"/>
  <c r="F326" i="12"/>
  <c r="D326" i="12"/>
  <c r="C326" i="12"/>
  <c r="B327" i="12"/>
  <c r="E326" i="12"/>
  <c r="F120" i="11"/>
  <c r="E120" i="11"/>
  <c r="C326" i="11"/>
  <c r="B327" i="11"/>
  <c r="G327" i="13"/>
  <c r="C327" i="13"/>
  <c r="F327" i="13"/>
  <c r="B328" i="13"/>
  <c r="H327" i="13"/>
  <c r="E327" i="13"/>
  <c r="D327" i="13"/>
  <c r="G121" i="13"/>
  <c r="H121" i="13"/>
  <c r="D122" i="13" l="1"/>
  <c r="B328" i="12"/>
  <c r="H327" i="12"/>
  <c r="G327" i="12"/>
  <c r="F327" i="12"/>
  <c r="E327" i="12"/>
  <c r="C327" i="12"/>
  <c r="D327" i="12"/>
  <c r="G120" i="11"/>
  <c r="H120" i="11"/>
  <c r="B328" i="11"/>
  <c r="C327" i="11"/>
  <c r="F328" i="13"/>
  <c r="E328" i="13"/>
  <c r="C328" i="13"/>
  <c r="H328" i="13"/>
  <c r="G328" i="13"/>
  <c r="D328" i="13"/>
  <c r="B329" i="13"/>
  <c r="C329" i="13" l="1"/>
  <c r="B330" i="13"/>
  <c r="H329" i="13"/>
  <c r="F329" i="13"/>
  <c r="G329" i="13"/>
  <c r="E329" i="13"/>
  <c r="D329" i="13"/>
  <c r="D328" i="12"/>
  <c r="C328" i="12"/>
  <c r="F328" i="12"/>
  <c r="E328" i="12"/>
  <c r="B329" i="12"/>
  <c r="H328" i="12"/>
  <c r="G328" i="12"/>
  <c r="B329" i="11"/>
  <c r="C328" i="11"/>
  <c r="D121" i="11"/>
  <c r="F122" i="13"/>
  <c r="E122" i="13"/>
  <c r="G122" i="13" l="1"/>
  <c r="H122" i="13"/>
  <c r="F330" i="13"/>
  <c r="E330" i="13"/>
  <c r="D330" i="13"/>
  <c r="B331" i="13"/>
  <c r="H330" i="13"/>
  <c r="G330" i="13"/>
  <c r="C330" i="13"/>
  <c r="C329" i="11"/>
  <c r="B330" i="11"/>
  <c r="F121" i="11"/>
  <c r="E121" i="11"/>
  <c r="G329" i="12"/>
  <c r="F329" i="12"/>
  <c r="E329" i="12"/>
  <c r="C329" i="12"/>
  <c r="B330" i="12"/>
  <c r="H329" i="12"/>
  <c r="D329" i="12"/>
  <c r="B332" i="13" l="1"/>
  <c r="E331" i="13"/>
  <c r="D331" i="13"/>
  <c r="G331" i="13"/>
  <c r="F331" i="13"/>
  <c r="C331" i="13"/>
  <c r="H331" i="13"/>
  <c r="D123" i="13"/>
  <c r="G121" i="11"/>
  <c r="H121" i="11"/>
  <c r="B331" i="12"/>
  <c r="H330" i="12"/>
  <c r="E330" i="12"/>
  <c r="D330" i="12"/>
  <c r="G330" i="12"/>
  <c r="F330" i="12"/>
  <c r="C330" i="12"/>
  <c r="C330" i="11"/>
  <c r="B331" i="11"/>
  <c r="F123" i="13" l="1"/>
  <c r="E123" i="13"/>
  <c r="B332" i="11"/>
  <c r="C331" i="11"/>
  <c r="C331" i="12"/>
  <c r="G331" i="12"/>
  <c r="F331" i="12"/>
  <c r="E331" i="12"/>
  <c r="D331" i="12"/>
  <c r="B332" i="12"/>
  <c r="H331" i="12"/>
  <c r="D122" i="11"/>
  <c r="H332" i="13"/>
  <c r="G332" i="13"/>
  <c r="F332" i="13"/>
  <c r="E332" i="13"/>
  <c r="B333" i="13"/>
  <c r="D332" i="13"/>
  <c r="C332" i="13"/>
  <c r="F122" i="11" l="1"/>
  <c r="E122" i="11"/>
  <c r="F332" i="12"/>
  <c r="E332" i="12"/>
  <c r="D332" i="12"/>
  <c r="G332" i="12"/>
  <c r="C332" i="12"/>
  <c r="B333" i="12"/>
  <c r="H332" i="12"/>
  <c r="E333" i="13"/>
  <c r="G333" i="13"/>
  <c r="B334" i="13"/>
  <c r="H333" i="13"/>
  <c r="F333" i="13"/>
  <c r="D333" i="13"/>
  <c r="C333" i="13"/>
  <c r="C332" i="11"/>
  <c r="B333" i="11"/>
  <c r="G123" i="13"/>
  <c r="H123" i="13"/>
  <c r="D124" i="13" l="1"/>
  <c r="B334" i="11"/>
  <c r="C333" i="11"/>
  <c r="H334" i="13"/>
  <c r="D334" i="13"/>
  <c r="C334" i="13"/>
  <c r="B335" i="13"/>
  <c r="G334" i="13"/>
  <c r="E334" i="13"/>
  <c r="F334" i="13"/>
  <c r="B334" i="12"/>
  <c r="H333" i="12"/>
  <c r="G333" i="12"/>
  <c r="F333" i="12"/>
  <c r="E333" i="12"/>
  <c r="D333" i="12"/>
  <c r="C333" i="12"/>
  <c r="G122" i="11"/>
  <c r="H122" i="11"/>
  <c r="D123" i="11" l="1"/>
  <c r="G335" i="13"/>
  <c r="F335" i="13"/>
  <c r="H335" i="13"/>
  <c r="B336" i="13"/>
  <c r="E335" i="13"/>
  <c r="D335" i="13"/>
  <c r="C335" i="13"/>
  <c r="C334" i="11"/>
  <c r="B335" i="11"/>
  <c r="F124" i="13"/>
  <c r="E124" i="13"/>
  <c r="F334" i="12"/>
  <c r="E334" i="12"/>
  <c r="C334" i="12"/>
  <c r="G334" i="12"/>
  <c r="D334" i="12"/>
  <c r="B335" i="12"/>
  <c r="H334" i="12"/>
  <c r="C335" i="11" l="1"/>
  <c r="B336" i="11"/>
  <c r="G124" i="13"/>
  <c r="H124" i="13"/>
  <c r="D336" i="13"/>
  <c r="B337" i="13"/>
  <c r="H336" i="13"/>
  <c r="G336" i="13"/>
  <c r="F336" i="13"/>
  <c r="E336" i="13"/>
  <c r="C336" i="13"/>
  <c r="E335" i="12"/>
  <c r="D335" i="12"/>
  <c r="C335" i="12"/>
  <c r="B336" i="12"/>
  <c r="H335" i="12"/>
  <c r="G335" i="12"/>
  <c r="F335" i="12"/>
  <c r="F123" i="11"/>
  <c r="E123" i="11"/>
  <c r="G337" i="13" l="1"/>
  <c r="C337" i="13"/>
  <c r="H337" i="13"/>
  <c r="D337" i="13"/>
  <c r="E337" i="13"/>
  <c r="B338" i="13"/>
  <c r="F337" i="13"/>
  <c r="H336" i="12"/>
  <c r="G336" i="12"/>
  <c r="F336" i="12"/>
  <c r="E336" i="12"/>
  <c r="D336" i="12"/>
  <c r="B337" i="12"/>
  <c r="C336" i="12"/>
  <c r="G123" i="11"/>
  <c r="H123" i="11"/>
  <c r="C336" i="11"/>
  <c r="B337" i="11"/>
  <c r="D125" i="13"/>
  <c r="F125" i="13" l="1"/>
  <c r="E125" i="13"/>
  <c r="K13" i="13" s="1"/>
  <c r="D124" i="11"/>
  <c r="F338" i="13"/>
  <c r="E338" i="13"/>
  <c r="B339" i="13"/>
  <c r="H338" i="13"/>
  <c r="G338" i="13"/>
  <c r="D338" i="13"/>
  <c r="C338" i="13"/>
  <c r="B338" i="11"/>
  <c r="C337" i="11"/>
  <c r="B338" i="12"/>
  <c r="H337" i="12"/>
  <c r="E337" i="12"/>
  <c r="D337" i="12"/>
  <c r="C337" i="12"/>
  <c r="G337" i="12"/>
  <c r="F337" i="12"/>
  <c r="C339" i="13" l="1"/>
  <c r="B340" i="13"/>
  <c r="H339" i="13"/>
  <c r="G339" i="13"/>
  <c r="E339" i="13"/>
  <c r="D339" i="13"/>
  <c r="F339" i="13"/>
  <c r="D338" i="12"/>
  <c r="C338" i="12"/>
  <c r="G338" i="12"/>
  <c r="F338" i="12"/>
  <c r="B339" i="12"/>
  <c r="H338" i="12"/>
  <c r="E338" i="12"/>
  <c r="F124" i="11"/>
  <c r="E124" i="11"/>
  <c r="C338" i="11"/>
  <c r="B339" i="11"/>
  <c r="G125" i="13"/>
  <c r="K12" i="13" s="1"/>
  <c r="H125" i="13"/>
  <c r="K14" i="13" l="1"/>
  <c r="D126" i="13"/>
  <c r="G124" i="11"/>
  <c r="H124" i="11"/>
  <c r="B340" i="11"/>
  <c r="C339" i="11"/>
  <c r="G339" i="12"/>
  <c r="F339" i="12"/>
  <c r="E339" i="12"/>
  <c r="B340" i="12"/>
  <c r="H339" i="12"/>
  <c r="D339" i="12"/>
  <c r="C339" i="12"/>
  <c r="F340" i="13"/>
  <c r="E340" i="13"/>
  <c r="D340" i="13"/>
  <c r="C340" i="13"/>
  <c r="G340" i="13"/>
  <c r="B341" i="13"/>
  <c r="H340" i="13"/>
  <c r="B341" i="12" l="1"/>
  <c r="H340" i="12"/>
  <c r="F340" i="12"/>
  <c r="E340" i="12"/>
  <c r="C340" i="12"/>
  <c r="D340" i="12"/>
  <c r="G340" i="12"/>
  <c r="B342" i="13"/>
  <c r="E341" i="13"/>
  <c r="D341" i="13"/>
  <c r="H341" i="13"/>
  <c r="G341" i="13"/>
  <c r="F341" i="13"/>
  <c r="C341" i="13"/>
  <c r="D125" i="11"/>
  <c r="F126" i="13"/>
  <c r="E126" i="13"/>
  <c r="B341" i="11"/>
  <c r="C340" i="11"/>
  <c r="H342" i="13" l="1"/>
  <c r="G342" i="13"/>
  <c r="B343" i="13"/>
  <c r="F342" i="13"/>
  <c r="E342" i="13"/>
  <c r="D342" i="13"/>
  <c r="C342" i="13"/>
  <c r="C341" i="12"/>
  <c r="B342" i="12"/>
  <c r="H341" i="12"/>
  <c r="G341" i="12"/>
  <c r="F341" i="12"/>
  <c r="E341" i="12"/>
  <c r="D341" i="12"/>
  <c r="C341" i="11"/>
  <c r="B342" i="11"/>
  <c r="G126" i="13"/>
  <c r="H126" i="13"/>
  <c r="F125" i="11"/>
  <c r="E125" i="11"/>
  <c r="K13" i="11" s="1"/>
  <c r="P10" i="10" s="1"/>
  <c r="P30" i="10" s="1"/>
  <c r="F342" i="12" l="1"/>
  <c r="E342" i="12"/>
  <c r="D342" i="12"/>
  <c r="H342" i="12"/>
  <c r="G342" i="12"/>
  <c r="B343" i="12"/>
  <c r="C342" i="12"/>
  <c r="C342" i="11"/>
  <c r="B343" i="11"/>
  <c r="P31" i="10"/>
  <c r="T39" i="5"/>
  <c r="G125" i="11"/>
  <c r="K12" i="11" s="1"/>
  <c r="P9" i="10" s="1"/>
  <c r="H125" i="11"/>
  <c r="D127" i="13"/>
  <c r="E343" i="13"/>
  <c r="H343" i="13"/>
  <c r="B344" i="13"/>
  <c r="G343" i="13"/>
  <c r="F343" i="13"/>
  <c r="D343" i="13"/>
  <c r="C343" i="13"/>
  <c r="K14" i="11" l="1"/>
  <c r="P12" i="10" s="1"/>
  <c r="D126" i="11"/>
  <c r="P32" i="10"/>
  <c r="P11" i="10"/>
  <c r="P34" i="10" s="1"/>
  <c r="B344" i="12"/>
  <c r="H343" i="12"/>
  <c r="G343" i="12"/>
  <c r="D343" i="12"/>
  <c r="C343" i="12"/>
  <c r="F343" i="12"/>
  <c r="E343" i="12"/>
  <c r="F127" i="13"/>
  <c r="E127" i="13"/>
  <c r="B344" i="11"/>
  <c r="C343" i="11"/>
  <c r="H344" i="13"/>
  <c r="D344" i="13"/>
  <c r="C344" i="13"/>
  <c r="B345" i="13"/>
  <c r="G344" i="13"/>
  <c r="F344" i="13"/>
  <c r="E344" i="13"/>
  <c r="C344" i="11" l="1"/>
  <c r="B345" i="11"/>
  <c r="G344" i="12"/>
  <c r="F344" i="12"/>
  <c r="D344" i="12"/>
  <c r="B345" i="12"/>
  <c r="H344" i="12"/>
  <c r="E344" i="12"/>
  <c r="C344" i="12"/>
  <c r="P33" i="10"/>
  <c r="T38" i="5"/>
  <c r="T40" i="5" s="1"/>
  <c r="G127" i="13"/>
  <c r="H127" i="13"/>
  <c r="G345" i="13"/>
  <c r="F345" i="13"/>
  <c r="B346" i="13"/>
  <c r="H345" i="13"/>
  <c r="E345" i="13"/>
  <c r="D345" i="13"/>
  <c r="C345" i="13"/>
  <c r="F126" i="11"/>
  <c r="E126" i="11"/>
  <c r="Q8" i="10"/>
  <c r="Q29" i="10" s="1"/>
  <c r="P35" i="10"/>
  <c r="E345" i="12" l="1"/>
  <c r="D345" i="12"/>
  <c r="C345" i="12"/>
  <c r="B346" i="12"/>
  <c r="H345" i="12"/>
  <c r="G345" i="12"/>
  <c r="F345" i="12"/>
  <c r="D346" i="13"/>
  <c r="B347" i="13"/>
  <c r="E346" i="13"/>
  <c r="C346" i="13"/>
  <c r="H346" i="13"/>
  <c r="G346" i="13"/>
  <c r="F346" i="13"/>
  <c r="D128" i="13"/>
  <c r="G126" i="11"/>
  <c r="H126" i="11"/>
  <c r="T62" i="5"/>
  <c r="T42" i="5"/>
  <c r="T48" i="5" s="1"/>
  <c r="C345" i="11"/>
  <c r="B346" i="11"/>
  <c r="D127" i="11" l="1"/>
  <c r="G347" i="13"/>
  <c r="C347" i="13"/>
  <c r="B348" i="13"/>
  <c r="H347" i="13"/>
  <c r="F347" i="13"/>
  <c r="E347" i="13"/>
  <c r="D347" i="13"/>
  <c r="B347" i="11"/>
  <c r="C346" i="11"/>
  <c r="F128" i="13"/>
  <c r="E128" i="13"/>
  <c r="H346" i="12"/>
  <c r="G346" i="12"/>
  <c r="F346" i="12"/>
  <c r="B347" i="12"/>
  <c r="E346" i="12"/>
  <c r="C346" i="12"/>
  <c r="D346" i="12"/>
  <c r="G128" i="13" l="1"/>
  <c r="H128" i="13"/>
  <c r="F348" i="13"/>
  <c r="E348" i="13"/>
  <c r="G348" i="13"/>
  <c r="D348" i="13"/>
  <c r="C348" i="13"/>
  <c r="B349" i="13"/>
  <c r="H348" i="13"/>
  <c r="B348" i="11"/>
  <c r="C347" i="11"/>
  <c r="B348" i="12"/>
  <c r="H347" i="12"/>
  <c r="G347" i="12"/>
  <c r="F347" i="12"/>
  <c r="E347" i="12"/>
  <c r="D347" i="12"/>
  <c r="C347" i="12"/>
  <c r="F127" i="11"/>
  <c r="E127" i="11"/>
  <c r="C349" i="13" l="1"/>
  <c r="B350" i="13"/>
  <c r="H349" i="13"/>
  <c r="G349" i="13"/>
  <c r="F349" i="13"/>
  <c r="E349" i="13"/>
  <c r="D349" i="13"/>
  <c r="D348" i="12"/>
  <c r="C348" i="12"/>
  <c r="H348" i="12"/>
  <c r="G348" i="12"/>
  <c r="E348" i="12"/>
  <c r="B349" i="12"/>
  <c r="F348" i="12"/>
  <c r="G127" i="11"/>
  <c r="H127" i="11"/>
  <c r="D129" i="13"/>
  <c r="C348" i="11"/>
  <c r="B349" i="11"/>
  <c r="D128" i="11" l="1"/>
  <c r="G349" i="12"/>
  <c r="F349" i="12"/>
  <c r="E349" i="12"/>
  <c r="C349" i="12"/>
  <c r="B350" i="12"/>
  <c r="H349" i="12"/>
  <c r="D349" i="12"/>
  <c r="F129" i="13"/>
  <c r="E129" i="13"/>
  <c r="B350" i="11"/>
  <c r="C349" i="11"/>
  <c r="F350" i="13"/>
  <c r="C350" i="13"/>
  <c r="H350" i="13"/>
  <c r="G350" i="13"/>
  <c r="E350" i="13"/>
  <c r="B351" i="13"/>
  <c r="D350" i="13"/>
  <c r="B351" i="11" l="1"/>
  <c r="C350" i="11"/>
  <c r="B351" i="12"/>
  <c r="H350" i="12"/>
  <c r="G350" i="12"/>
  <c r="F350" i="12"/>
  <c r="D350" i="12"/>
  <c r="E350" i="12"/>
  <c r="C350" i="12"/>
  <c r="B352" i="13"/>
  <c r="E351" i="13"/>
  <c r="D351" i="13"/>
  <c r="H351" i="13"/>
  <c r="G351" i="13"/>
  <c r="F351" i="13"/>
  <c r="C351" i="13"/>
  <c r="G129" i="13"/>
  <c r="H129" i="13"/>
  <c r="F128" i="11"/>
  <c r="E128" i="11"/>
  <c r="C351" i="12" l="1"/>
  <c r="H351" i="12"/>
  <c r="G351" i="12"/>
  <c r="F351" i="12"/>
  <c r="E351" i="12"/>
  <c r="D351" i="12"/>
  <c r="B352" i="12"/>
  <c r="H352" i="13"/>
  <c r="G352" i="13"/>
  <c r="C352" i="13"/>
  <c r="B353" i="13"/>
  <c r="F352" i="13"/>
  <c r="E352" i="13"/>
  <c r="D352" i="13"/>
  <c r="G128" i="11"/>
  <c r="H128" i="11"/>
  <c r="D130" i="13"/>
  <c r="C351" i="11"/>
  <c r="B352" i="11"/>
  <c r="B353" i="11" l="1"/>
  <c r="C352" i="11"/>
  <c r="F130" i="13"/>
  <c r="E130" i="13"/>
  <c r="F352" i="12"/>
  <c r="E352" i="12"/>
  <c r="D352" i="12"/>
  <c r="B353" i="12"/>
  <c r="H352" i="12"/>
  <c r="C352" i="12"/>
  <c r="G352" i="12"/>
  <c r="D129" i="11"/>
  <c r="E353" i="13"/>
  <c r="B354" i="13"/>
  <c r="C353" i="13"/>
  <c r="F353" i="13"/>
  <c r="D353" i="13"/>
  <c r="H353" i="13"/>
  <c r="G353" i="13"/>
  <c r="B354" i="11" l="1"/>
  <c r="C353" i="11"/>
  <c r="B354" i="12"/>
  <c r="H353" i="12"/>
  <c r="G353" i="12"/>
  <c r="F353" i="12"/>
  <c r="E353" i="12"/>
  <c r="D353" i="12"/>
  <c r="C353" i="12"/>
  <c r="H354" i="13"/>
  <c r="D354" i="13"/>
  <c r="C354" i="13"/>
  <c r="B355" i="13"/>
  <c r="G354" i="13"/>
  <c r="F354" i="13"/>
  <c r="E354" i="13"/>
  <c r="G130" i="13"/>
  <c r="H130" i="13"/>
  <c r="F129" i="11"/>
  <c r="E129" i="11"/>
  <c r="G355" i="13" l="1"/>
  <c r="F355" i="13"/>
  <c r="D355" i="13"/>
  <c r="C355" i="13"/>
  <c r="B356" i="13"/>
  <c r="H355" i="13"/>
  <c r="E355" i="13"/>
  <c r="H354" i="12"/>
  <c r="G354" i="12"/>
  <c r="E354" i="12"/>
  <c r="B355" i="12"/>
  <c r="F354" i="12"/>
  <c r="D354" i="12"/>
  <c r="C354" i="12"/>
  <c r="G129" i="11"/>
  <c r="H129" i="11"/>
  <c r="D131" i="13"/>
  <c r="C354" i="11"/>
  <c r="B355" i="11"/>
  <c r="D356" i="13" l="1"/>
  <c r="B357" i="13"/>
  <c r="C356" i="13"/>
  <c r="F356" i="13"/>
  <c r="E356" i="13"/>
  <c r="H356" i="13"/>
  <c r="G356" i="13"/>
  <c r="C355" i="11"/>
  <c r="B356" i="11"/>
  <c r="D130" i="11"/>
  <c r="E355" i="12"/>
  <c r="D355" i="12"/>
  <c r="C355" i="12"/>
  <c r="B356" i="12"/>
  <c r="H355" i="12"/>
  <c r="F355" i="12"/>
  <c r="G355" i="12"/>
  <c r="F131" i="13"/>
  <c r="E131" i="13"/>
  <c r="F130" i="11" l="1"/>
  <c r="E130" i="11"/>
  <c r="G131" i="13"/>
  <c r="H131" i="13"/>
  <c r="G357" i="13"/>
  <c r="C357" i="13"/>
  <c r="F357" i="13"/>
  <c r="E357" i="13"/>
  <c r="D357" i="13"/>
  <c r="B358" i="13"/>
  <c r="H357" i="13"/>
  <c r="B357" i="11"/>
  <c r="C356" i="11"/>
  <c r="H356" i="12"/>
  <c r="G356" i="12"/>
  <c r="F356" i="12"/>
  <c r="B357" i="12"/>
  <c r="D356" i="12"/>
  <c r="E356" i="12"/>
  <c r="C356" i="12"/>
  <c r="B358" i="12" l="1"/>
  <c r="C357" i="12"/>
  <c r="G357" i="12"/>
  <c r="F357" i="12"/>
  <c r="E357" i="12"/>
  <c r="D357" i="12"/>
  <c r="H357" i="12"/>
  <c r="F358" i="13"/>
  <c r="E358" i="13"/>
  <c r="C358" i="13"/>
  <c r="B359" i="13"/>
  <c r="H358" i="13"/>
  <c r="G358" i="13"/>
  <c r="D358" i="13"/>
  <c r="G130" i="11"/>
  <c r="H130" i="11"/>
  <c r="B358" i="11"/>
  <c r="C357" i="11"/>
  <c r="D132" i="13"/>
  <c r="C358" i="11" l="1"/>
  <c r="B359" i="11"/>
  <c r="D131" i="11"/>
  <c r="F132" i="13"/>
  <c r="E132" i="13"/>
  <c r="C359" i="13"/>
  <c r="B360" i="13"/>
  <c r="H359" i="13"/>
  <c r="G359" i="13"/>
  <c r="F359" i="13"/>
  <c r="E359" i="13"/>
  <c r="D359" i="13"/>
  <c r="D358" i="12"/>
  <c r="C358" i="12"/>
  <c r="B359" i="12"/>
  <c r="H358" i="12"/>
  <c r="F358" i="12"/>
  <c r="G358" i="12"/>
  <c r="E358" i="12"/>
  <c r="B360" i="11" l="1"/>
  <c r="C359" i="11"/>
  <c r="G359" i="12"/>
  <c r="F359" i="12"/>
  <c r="E359" i="12"/>
  <c r="B360" i="12"/>
  <c r="H359" i="12"/>
  <c r="D359" i="12"/>
  <c r="C359" i="12"/>
  <c r="G132" i="13"/>
  <c r="H132" i="13"/>
  <c r="F131" i="11"/>
  <c r="E131" i="11"/>
  <c r="F360" i="13"/>
  <c r="D360" i="13"/>
  <c r="C360" i="13"/>
  <c r="B361" i="13"/>
  <c r="H360" i="13"/>
  <c r="G360" i="13"/>
  <c r="E360" i="13"/>
  <c r="B362" i="13" l="1"/>
  <c r="E361" i="13"/>
  <c r="D361" i="13"/>
  <c r="H361" i="13"/>
  <c r="G361" i="13"/>
  <c r="F361" i="13"/>
  <c r="C361" i="13"/>
  <c r="G131" i="11"/>
  <c r="H131" i="11"/>
  <c r="D133" i="13"/>
  <c r="B361" i="11"/>
  <c r="C360" i="11"/>
  <c r="B361" i="12"/>
  <c r="H360" i="12"/>
  <c r="G360" i="12"/>
  <c r="E360" i="12"/>
  <c r="F360" i="12"/>
  <c r="D360" i="12"/>
  <c r="C360" i="12"/>
  <c r="F133" i="13" l="1"/>
  <c r="E133" i="13"/>
  <c r="C361" i="12"/>
  <c r="D361" i="12"/>
  <c r="B362" i="12"/>
  <c r="H361" i="12"/>
  <c r="G361" i="12"/>
  <c r="F361" i="12"/>
  <c r="E361" i="12"/>
  <c r="D132" i="11"/>
  <c r="C361" i="11"/>
  <c r="B362" i="11"/>
  <c r="H362" i="13"/>
  <c r="G362" i="13"/>
  <c r="D362" i="13"/>
  <c r="C362" i="13"/>
  <c r="B363" i="13"/>
  <c r="F362" i="13"/>
  <c r="E362" i="13"/>
  <c r="B363" i="11" l="1"/>
  <c r="C362" i="11"/>
  <c r="G133" i="13"/>
  <c r="H133" i="13"/>
  <c r="F362" i="12"/>
  <c r="E362" i="12"/>
  <c r="D362" i="12"/>
  <c r="B363" i="12"/>
  <c r="G362" i="12"/>
  <c r="H362" i="12"/>
  <c r="C362" i="12"/>
  <c r="E363" i="13"/>
  <c r="B364" i="13"/>
  <c r="H363" i="13"/>
  <c r="C363" i="13"/>
  <c r="D363" i="13"/>
  <c r="G363" i="13"/>
  <c r="F363" i="13"/>
  <c r="F132" i="11"/>
  <c r="E132" i="11"/>
  <c r="D134" i="13" l="1"/>
  <c r="H364" i="13"/>
  <c r="D364" i="13"/>
  <c r="C364" i="13"/>
  <c r="E364" i="13"/>
  <c r="F364" i="13"/>
  <c r="B365" i="13"/>
  <c r="G364" i="13"/>
  <c r="B364" i="11"/>
  <c r="C363" i="11"/>
  <c r="B364" i="12"/>
  <c r="H363" i="12"/>
  <c r="G363" i="12"/>
  <c r="C363" i="12"/>
  <c r="F363" i="12"/>
  <c r="E363" i="12"/>
  <c r="D363" i="12"/>
  <c r="G132" i="11"/>
  <c r="H132" i="11"/>
  <c r="D133" i="11" l="1"/>
  <c r="G365" i="13"/>
  <c r="F365" i="13"/>
  <c r="B366" i="13"/>
  <c r="H365" i="13"/>
  <c r="E365" i="13"/>
  <c r="D365" i="13"/>
  <c r="C365" i="13"/>
  <c r="B365" i="12"/>
  <c r="H364" i="12"/>
  <c r="F364" i="12"/>
  <c r="G364" i="12"/>
  <c r="E364" i="12"/>
  <c r="D364" i="12"/>
  <c r="C364" i="12"/>
  <c r="F134" i="13"/>
  <c r="E134" i="13"/>
  <c r="B365" i="11"/>
  <c r="C364" i="11"/>
  <c r="E365" i="12" l="1"/>
  <c r="D365" i="12"/>
  <c r="C365" i="12"/>
  <c r="B366" i="12"/>
  <c r="H365" i="12"/>
  <c r="G365" i="12"/>
  <c r="F365" i="12"/>
  <c r="G134" i="13"/>
  <c r="H134" i="13"/>
  <c r="D366" i="13"/>
  <c r="B367" i="13"/>
  <c r="E366" i="13"/>
  <c r="G366" i="13"/>
  <c r="F366" i="13"/>
  <c r="C366" i="13"/>
  <c r="H366" i="13"/>
  <c r="C365" i="11"/>
  <c r="B366" i="11"/>
  <c r="F133" i="11"/>
  <c r="E133" i="11"/>
  <c r="D135" i="13" l="1"/>
  <c r="G133" i="11"/>
  <c r="H133" i="11"/>
  <c r="H366" i="12"/>
  <c r="G366" i="12"/>
  <c r="F366" i="12"/>
  <c r="E366" i="12"/>
  <c r="D366" i="12"/>
  <c r="C366" i="12"/>
  <c r="B367" i="12"/>
  <c r="G367" i="13"/>
  <c r="C367" i="13"/>
  <c r="B368" i="13"/>
  <c r="H367" i="13"/>
  <c r="F367" i="13"/>
  <c r="E367" i="13"/>
  <c r="D367" i="13"/>
  <c r="B367" i="11"/>
  <c r="C366" i="11"/>
  <c r="F368" i="13" l="1"/>
  <c r="E368" i="13"/>
  <c r="D368" i="13"/>
  <c r="B369" i="13"/>
  <c r="H368" i="13"/>
  <c r="G368" i="13"/>
  <c r="C368" i="13"/>
  <c r="B368" i="11"/>
  <c r="C367" i="11"/>
  <c r="D134" i="11"/>
  <c r="B368" i="12"/>
  <c r="D367" i="12"/>
  <c r="C367" i="12"/>
  <c r="H367" i="12"/>
  <c r="G367" i="12"/>
  <c r="F367" i="12"/>
  <c r="E367" i="12"/>
  <c r="F135" i="13"/>
  <c r="E135" i="13"/>
  <c r="C368" i="11" l="1"/>
  <c r="B369" i="11"/>
  <c r="D368" i="12"/>
  <c r="C368" i="12"/>
  <c r="B369" i="12"/>
  <c r="G368" i="12"/>
  <c r="H368" i="12"/>
  <c r="F368" i="12"/>
  <c r="E368" i="12"/>
  <c r="C369" i="13"/>
  <c r="B370" i="13"/>
  <c r="H369" i="13"/>
  <c r="F369" i="13"/>
  <c r="E369" i="13"/>
  <c r="D369" i="13"/>
  <c r="G369" i="13"/>
  <c r="F134" i="11"/>
  <c r="E134" i="11"/>
  <c r="G135" i="13"/>
  <c r="H135" i="13"/>
  <c r="D136" i="13" l="1"/>
  <c r="F370" i="13"/>
  <c r="E370" i="13"/>
  <c r="B371" i="13"/>
  <c r="H370" i="13"/>
  <c r="G370" i="13"/>
  <c r="D370" i="13"/>
  <c r="C370" i="13"/>
  <c r="G369" i="12"/>
  <c r="F369" i="12"/>
  <c r="E369" i="12"/>
  <c r="C369" i="12"/>
  <c r="H369" i="12"/>
  <c r="D369" i="12"/>
  <c r="B370" i="12"/>
  <c r="C369" i="11"/>
  <c r="B370" i="11"/>
  <c r="G134" i="11"/>
  <c r="H134" i="11"/>
  <c r="B372" i="13" l="1"/>
  <c r="E371" i="13"/>
  <c r="D371" i="13"/>
  <c r="C371" i="13"/>
  <c r="H371" i="13"/>
  <c r="G371" i="13"/>
  <c r="F371" i="13"/>
  <c r="D135" i="11"/>
  <c r="B371" i="12"/>
  <c r="H370" i="12"/>
  <c r="F370" i="12"/>
  <c r="G370" i="12"/>
  <c r="E370" i="12"/>
  <c r="D370" i="12"/>
  <c r="C370" i="12"/>
  <c r="B371" i="11"/>
  <c r="C370" i="11"/>
  <c r="F136" i="13"/>
  <c r="E136" i="13"/>
  <c r="C371" i="11" l="1"/>
  <c r="B372" i="11"/>
  <c r="C371" i="12"/>
  <c r="E371" i="12"/>
  <c r="D371" i="12"/>
  <c r="B372" i="12"/>
  <c r="H371" i="12"/>
  <c r="G371" i="12"/>
  <c r="F371" i="12"/>
  <c r="F135" i="11"/>
  <c r="E135" i="11"/>
  <c r="G136" i="13"/>
  <c r="H136" i="13"/>
  <c r="H372" i="13"/>
  <c r="G372" i="13"/>
  <c r="E372" i="13"/>
  <c r="F372" i="13"/>
  <c r="D372" i="13"/>
  <c r="C372" i="13"/>
  <c r="B373" i="13"/>
  <c r="D137" i="13" l="1"/>
  <c r="E373" i="13"/>
  <c r="F373" i="13"/>
  <c r="D373" i="13"/>
  <c r="C373" i="13"/>
  <c r="B374" i="13"/>
  <c r="H373" i="13"/>
  <c r="G373" i="13"/>
  <c r="G135" i="11"/>
  <c r="H135" i="11"/>
  <c r="B373" i="11"/>
  <c r="C372" i="11"/>
  <c r="F372" i="12"/>
  <c r="E372" i="12"/>
  <c r="D372" i="12"/>
  <c r="H372" i="12"/>
  <c r="C372" i="12"/>
  <c r="B373" i="12"/>
  <c r="G372" i="12"/>
  <c r="H374" i="13" l="1"/>
  <c r="D374" i="13"/>
  <c r="C374" i="13"/>
  <c r="F374" i="13"/>
  <c r="B375" i="13"/>
  <c r="G374" i="13"/>
  <c r="E374" i="13"/>
  <c r="B374" i="11"/>
  <c r="C373" i="11"/>
  <c r="B374" i="12"/>
  <c r="H373" i="12"/>
  <c r="G373" i="12"/>
  <c r="D373" i="12"/>
  <c r="C373" i="12"/>
  <c r="F373" i="12"/>
  <c r="E373" i="12"/>
  <c r="D136" i="11"/>
  <c r="F137" i="13"/>
  <c r="E137" i="13"/>
  <c r="L13" i="13" s="1"/>
  <c r="B375" i="11" l="1"/>
  <c r="C374" i="11"/>
  <c r="B375" i="12"/>
  <c r="G374" i="12"/>
  <c r="H374" i="12"/>
  <c r="F374" i="12"/>
  <c r="E374" i="12"/>
  <c r="D374" i="12"/>
  <c r="C374" i="12"/>
  <c r="G375" i="13"/>
  <c r="F375" i="13"/>
  <c r="H375" i="13"/>
  <c r="E375" i="13"/>
  <c r="D375" i="13"/>
  <c r="B376" i="13"/>
  <c r="C375" i="13"/>
  <c r="G137" i="13"/>
  <c r="L12" i="13" s="1"/>
  <c r="H137" i="13"/>
  <c r="F136" i="11"/>
  <c r="E136" i="11"/>
  <c r="E375" i="12" l="1"/>
  <c r="D375" i="12"/>
  <c r="C375" i="12"/>
  <c r="F375" i="12"/>
  <c r="G375" i="12"/>
  <c r="B376" i="12"/>
  <c r="H375" i="12"/>
  <c r="G136" i="11"/>
  <c r="H136" i="11"/>
  <c r="L14" i="13"/>
  <c r="D138" i="13"/>
  <c r="C375" i="11"/>
  <c r="B376" i="11"/>
  <c r="D376" i="13"/>
  <c r="B377" i="13"/>
  <c r="F376" i="13"/>
  <c r="H376" i="13"/>
  <c r="C376" i="13"/>
  <c r="G376" i="13"/>
  <c r="E376" i="13"/>
  <c r="H376" i="12" l="1"/>
  <c r="G376" i="12"/>
  <c r="F376" i="12"/>
  <c r="B377" i="12"/>
  <c r="E376" i="12"/>
  <c r="D376" i="12"/>
  <c r="C376" i="12"/>
  <c r="G377" i="13"/>
  <c r="C377" i="13"/>
  <c r="B378" i="13"/>
  <c r="H377" i="13"/>
  <c r="F377" i="13"/>
  <c r="E377" i="13"/>
  <c r="D377" i="13"/>
  <c r="F138" i="13"/>
  <c r="E138" i="13"/>
  <c r="D137" i="11"/>
  <c r="B377" i="11"/>
  <c r="C376" i="11"/>
  <c r="F378" i="13" l="1"/>
  <c r="E378" i="13"/>
  <c r="G378" i="13"/>
  <c r="D378" i="13"/>
  <c r="H378" i="13"/>
  <c r="C378" i="13"/>
  <c r="F137" i="11"/>
  <c r="E137" i="11"/>
  <c r="L13" i="11" s="1"/>
  <c r="Q10" i="10" s="1"/>
  <c r="Q30" i="10" s="1"/>
  <c r="G138" i="13"/>
  <c r="H138" i="13"/>
  <c r="B378" i="12"/>
  <c r="E377" i="12"/>
  <c r="D377" i="12"/>
  <c r="H377" i="12"/>
  <c r="G377" i="12"/>
  <c r="F377" i="12"/>
  <c r="C377" i="12"/>
  <c r="B378" i="11"/>
  <c r="C377" i="11"/>
  <c r="D139" i="13" l="1"/>
  <c r="D378" i="11"/>
  <c r="C378" i="11"/>
  <c r="H378" i="11"/>
  <c r="G378" i="11"/>
  <c r="F378" i="11"/>
  <c r="E378" i="11"/>
  <c r="Q31" i="10"/>
  <c r="V39" i="5"/>
  <c r="D378" i="12"/>
  <c r="D8" i="12" s="1"/>
  <c r="C378" i="12"/>
  <c r="H378" i="12"/>
  <c r="G378" i="12"/>
  <c r="E378" i="12"/>
  <c r="F378" i="12"/>
  <c r="G137" i="11"/>
  <c r="L12" i="11" s="1"/>
  <c r="Q9" i="10" s="1"/>
  <c r="H137" i="11"/>
  <c r="L14" i="11" l="1"/>
  <c r="Q12" i="10" s="1"/>
  <c r="Q35" i="10" s="1"/>
  <c r="D138" i="11"/>
  <c r="Q11" i="10"/>
  <c r="Q34" i="10" s="1"/>
  <c r="Q32" i="10"/>
  <c r="F139" i="13"/>
  <c r="E139" i="13"/>
  <c r="G139" i="13" l="1"/>
  <c r="H139" i="13"/>
  <c r="F138" i="11"/>
  <c r="E138" i="11"/>
  <c r="Q33" i="10"/>
  <c r="V38" i="5"/>
  <c r="V40" i="5" s="1"/>
  <c r="G138" i="11" l="1"/>
  <c r="H138" i="11"/>
  <c r="D140" i="13"/>
  <c r="V62" i="5"/>
  <c r="V42" i="5"/>
  <c r="V48" i="5" s="1"/>
  <c r="F140" i="13" l="1"/>
  <c r="E140" i="13"/>
  <c r="D139" i="11"/>
  <c r="F139" i="11" l="1"/>
  <c r="E139" i="11"/>
  <c r="G140" i="13"/>
  <c r="H140" i="13"/>
  <c r="D141" i="13" l="1"/>
  <c r="G139" i="11"/>
  <c r="H139" i="11"/>
  <c r="D140" i="11" l="1"/>
  <c r="F141" i="13"/>
  <c r="E141" i="13"/>
  <c r="G141" i="13" l="1"/>
  <c r="H141" i="13"/>
  <c r="F140" i="11"/>
  <c r="E140" i="11"/>
  <c r="G140" i="11" l="1"/>
  <c r="H140" i="11"/>
  <c r="D142" i="13"/>
  <c r="F142" i="13" l="1"/>
  <c r="E142" i="13"/>
  <c r="D141" i="11"/>
  <c r="G142" i="13" l="1"/>
  <c r="H142" i="13"/>
  <c r="F141" i="11"/>
  <c r="E141" i="11"/>
  <c r="G141" i="11" l="1"/>
  <c r="H141" i="11"/>
  <c r="D143" i="13"/>
  <c r="F143" i="13" l="1"/>
  <c r="E143" i="13"/>
  <c r="D142" i="11"/>
  <c r="F142" i="11" l="1"/>
  <c r="E142" i="11"/>
  <c r="G143" i="13"/>
  <c r="H143" i="13"/>
  <c r="D144" i="13" l="1"/>
  <c r="G142" i="11"/>
  <c r="H142" i="11"/>
  <c r="D143" i="11" l="1"/>
  <c r="F144" i="13"/>
  <c r="E144" i="13"/>
  <c r="G144" i="13" l="1"/>
  <c r="H144" i="13"/>
  <c r="F143" i="11"/>
  <c r="E143" i="11"/>
  <c r="G143" i="11" l="1"/>
  <c r="H143" i="11"/>
  <c r="D145" i="13"/>
  <c r="F145" i="13" l="1"/>
  <c r="E145" i="13"/>
  <c r="D144" i="11"/>
  <c r="F144" i="11" l="1"/>
  <c r="E144" i="11"/>
  <c r="G145" i="13"/>
  <c r="H145" i="13"/>
  <c r="G144" i="11" l="1"/>
  <c r="H144" i="11"/>
  <c r="D146" i="13"/>
  <c r="F146" i="13" l="1"/>
  <c r="E146" i="13"/>
  <c r="D145" i="11"/>
  <c r="F145" i="11" l="1"/>
  <c r="E145" i="11"/>
  <c r="G146" i="13"/>
  <c r="H146" i="13"/>
  <c r="D147" i="13" l="1"/>
  <c r="G145" i="11"/>
  <c r="H145" i="11"/>
  <c r="D146" i="11" l="1"/>
  <c r="F147" i="13"/>
  <c r="E147" i="13"/>
  <c r="G147" i="13" l="1"/>
  <c r="H147" i="13"/>
  <c r="F146" i="11"/>
  <c r="E146" i="11"/>
  <c r="G146" i="11" l="1"/>
  <c r="H146" i="11"/>
  <c r="D148" i="13"/>
  <c r="D147" i="11" l="1"/>
  <c r="F148" i="13"/>
  <c r="E148" i="13"/>
  <c r="G148" i="13" l="1"/>
  <c r="H148" i="13"/>
  <c r="F147" i="11"/>
  <c r="E147" i="11"/>
  <c r="G147" i="11" l="1"/>
  <c r="H147" i="11"/>
  <c r="D149" i="13"/>
  <c r="F149" i="13" l="1"/>
  <c r="E149" i="13"/>
  <c r="D148" i="11"/>
  <c r="F148" i="11" l="1"/>
  <c r="E148" i="11"/>
  <c r="G149" i="13"/>
  <c r="H149" i="13"/>
  <c r="D150" i="13" l="1"/>
  <c r="G148" i="11"/>
  <c r="H148" i="11"/>
  <c r="D149" i="11" l="1"/>
  <c r="F150" i="13"/>
  <c r="E150" i="13"/>
  <c r="G150" i="13" l="1"/>
  <c r="H150" i="13"/>
  <c r="F149" i="11"/>
  <c r="E149" i="11"/>
  <c r="G149" i="11" l="1"/>
  <c r="H149" i="11"/>
  <c r="D151" i="13"/>
  <c r="F151" i="13" l="1"/>
  <c r="E151" i="13"/>
  <c r="D150" i="11"/>
  <c r="F150" i="11" l="1"/>
  <c r="E150" i="11"/>
  <c r="G151" i="13"/>
  <c r="H151" i="13"/>
  <c r="G150" i="11" l="1"/>
  <c r="H150" i="11"/>
  <c r="D152" i="13"/>
  <c r="F152" i="13" l="1"/>
  <c r="E152" i="13"/>
  <c r="D151" i="11"/>
  <c r="F151" i="11" l="1"/>
  <c r="E151" i="11"/>
  <c r="G152" i="13"/>
  <c r="H152" i="13"/>
  <c r="D153" i="13" l="1"/>
  <c r="G151" i="11"/>
  <c r="H151" i="11"/>
  <c r="D152" i="11" l="1"/>
  <c r="F153" i="13"/>
  <c r="E153" i="13"/>
  <c r="F152" i="11" l="1"/>
  <c r="E152" i="11"/>
  <c r="G153" i="13"/>
  <c r="H153" i="13"/>
  <c r="D154" i="13" l="1"/>
  <c r="G152" i="11"/>
  <c r="H152" i="11"/>
  <c r="D153" i="11" l="1"/>
  <c r="F154" i="13"/>
  <c r="E154" i="13"/>
  <c r="G154" i="13" l="1"/>
  <c r="H154" i="13"/>
  <c r="F153" i="11"/>
  <c r="E153" i="11"/>
  <c r="G153" i="11" l="1"/>
  <c r="H153" i="11"/>
  <c r="D155" i="13"/>
  <c r="F155" i="13" l="1"/>
  <c r="E155" i="13"/>
  <c r="D154" i="11"/>
  <c r="F154" i="11" l="1"/>
  <c r="E154" i="11"/>
  <c r="G155" i="13"/>
  <c r="H155" i="13"/>
  <c r="G154" i="11" l="1"/>
  <c r="H154" i="11"/>
  <c r="D156" i="13"/>
  <c r="F156" i="13" l="1"/>
  <c r="E156" i="13"/>
  <c r="D155" i="11"/>
  <c r="F155" i="11" l="1"/>
  <c r="E155" i="11"/>
  <c r="G156" i="13"/>
  <c r="H156" i="13"/>
  <c r="D157" i="13" l="1"/>
  <c r="G155" i="11"/>
  <c r="H155" i="11"/>
  <c r="D156" i="11" l="1"/>
  <c r="F157" i="13"/>
  <c r="E157" i="13"/>
  <c r="G157" i="13" l="1"/>
  <c r="H157" i="13"/>
  <c r="F156" i="11"/>
  <c r="E156" i="11"/>
  <c r="G156" i="11" l="1"/>
  <c r="H156" i="11"/>
  <c r="D158" i="13"/>
  <c r="D157" i="11" l="1"/>
  <c r="F158" i="13"/>
  <c r="E158" i="13"/>
  <c r="G158" i="13" l="1"/>
  <c r="H158" i="13"/>
  <c r="F157" i="11"/>
  <c r="E157" i="11"/>
  <c r="G157" i="11" l="1"/>
  <c r="H157" i="11"/>
  <c r="D159" i="13"/>
  <c r="F159" i="13" l="1"/>
  <c r="E159" i="13"/>
  <c r="D158" i="11"/>
  <c r="F158" i="11" l="1"/>
  <c r="E158" i="11"/>
  <c r="G159" i="13"/>
  <c r="H159" i="13"/>
  <c r="D160" i="13" l="1"/>
  <c r="G158" i="11"/>
  <c r="H158" i="11"/>
  <c r="D159" i="11" l="1"/>
  <c r="F160" i="13"/>
  <c r="E160" i="13"/>
  <c r="G160" i="13" l="1"/>
  <c r="H160" i="13"/>
  <c r="F159" i="11"/>
  <c r="E159" i="11"/>
  <c r="G159" i="11" l="1"/>
  <c r="H159" i="11"/>
  <c r="D161" i="13"/>
  <c r="F161" i="13" l="1"/>
  <c r="E161" i="13"/>
  <c r="D160" i="11"/>
  <c r="G161" i="13" l="1"/>
  <c r="H161" i="13"/>
  <c r="F160" i="11"/>
  <c r="E160" i="11"/>
  <c r="G160" i="11" l="1"/>
  <c r="H160" i="11"/>
  <c r="D162" i="13"/>
  <c r="D161" i="11" l="1"/>
  <c r="F162" i="13"/>
  <c r="E162" i="13"/>
  <c r="G162" i="13" l="1"/>
  <c r="H162" i="13"/>
  <c r="F161" i="11"/>
  <c r="E161" i="11"/>
  <c r="G161" i="11" l="1"/>
  <c r="H161" i="11"/>
  <c r="D163" i="13"/>
  <c r="F163" i="13" l="1"/>
  <c r="E163" i="13"/>
  <c r="D162" i="11"/>
  <c r="G163" i="13" l="1"/>
  <c r="H163" i="13"/>
  <c r="F162" i="11"/>
  <c r="E162" i="11"/>
  <c r="G162" i="11" l="1"/>
  <c r="H162" i="11"/>
  <c r="D164" i="13"/>
  <c r="F164" i="13" l="1"/>
  <c r="E164" i="13"/>
  <c r="D163" i="11"/>
  <c r="F163" i="11" l="1"/>
  <c r="E163" i="11"/>
  <c r="G164" i="13"/>
  <c r="H164" i="13"/>
  <c r="D165" i="13" l="1"/>
  <c r="G163" i="11"/>
  <c r="H163" i="11"/>
  <c r="D164" i="11" l="1"/>
  <c r="F165" i="13"/>
  <c r="E165" i="13"/>
  <c r="G165" i="13" l="1"/>
  <c r="H165" i="13"/>
  <c r="F164" i="11"/>
  <c r="E164" i="11"/>
  <c r="G164" i="11" l="1"/>
  <c r="H164" i="11"/>
  <c r="D166" i="13"/>
  <c r="F166" i="13" l="1"/>
  <c r="E166" i="13"/>
  <c r="D165" i="11"/>
  <c r="F165" i="11" l="1"/>
  <c r="E165" i="11"/>
  <c r="G166" i="13"/>
  <c r="H166" i="13"/>
  <c r="D167" i="13" l="1"/>
  <c r="G165" i="11"/>
  <c r="H165" i="11"/>
  <c r="D166" i="11" l="1"/>
  <c r="F167" i="13"/>
  <c r="E167" i="13"/>
  <c r="G167" i="13" l="1"/>
  <c r="H167" i="13"/>
  <c r="F166" i="11"/>
  <c r="E166" i="11"/>
  <c r="G166" i="11" l="1"/>
  <c r="H166" i="11"/>
  <c r="D168" i="13"/>
  <c r="F168" i="13" l="1"/>
  <c r="E168" i="13"/>
  <c r="D167" i="11"/>
  <c r="F167" i="11" l="1"/>
  <c r="E167" i="11"/>
  <c r="G168" i="13"/>
  <c r="H168" i="13"/>
  <c r="D169" i="13" l="1"/>
  <c r="G167" i="11"/>
  <c r="H167" i="11"/>
  <c r="D168" i="11" l="1"/>
  <c r="F169" i="13"/>
  <c r="E169" i="13"/>
  <c r="G169" i="13" l="1"/>
  <c r="H169" i="13"/>
  <c r="F168" i="11"/>
  <c r="E168" i="11"/>
  <c r="G168" i="11" l="1"/>
  <c r="H168" i="11"/>
  <c r="D170" i="13"/>
  <c r="F170" i="13" l="1"/>
  <c r="E170" i="13"/>
  <c r="D169" i="11"/>
  <c r="F169" i="11" l="1"/>
  <c r="E169" i="11"/>
  <c r="G170" i="13"/>
  <c r="H170" i="13"/>
  <c r="D171" i="13" l="1"/>
  <c r="G169" i="11"/>
  <c r="H169" i="11"/>
  <c r="F171" i="13" l="1"/>
  <c r="E171" i="13"/>
  <c r="D170" i="11"/>
  <c r="F170" i="11" l="1"/>
  <c r="E170" i="11"/>
  <c r="G171" i="13"/>
  <c r="H171" i="13"/>
  <c r="D172" i="13" l="1"/>
  <c r="G170" i="11"/>
  <c r="H170" i="11"/>
  <c r="D171" i="11" l="1"/>
  <c r="F172" i="13"/>
  <c r="E172" i="13"/>
  <c r="G172" i="13" l="1"/>
  <c r="H172" i="13"/>
  <c r="F171" i="11"/>
  <c r="E171" i="11"/>
  <c r="D173" i="13" l="1"/>
  <c r="G171" i="11"/>
  <c r="H171" i="11"/>
  <c r="F173" i="13" l="1"/>
  <c r="E173" i="13"/>
  <c r="D172" i="11"/>
  <c r="F172" i="11" l="1"/>
  <c r="E172" i="11"/>
  <c r="G173" i="13"/>
  <c r="H173" i="13"/>
  <c r="G172" i="11" l="1"/>
  <c r="H172" i="11"/>
  <c r="D174" i="13"/>
  <c r="F174" i="13" l="1"/>
  <c r="E174" i="13"/>
  <c r="D173" i="11"/>
  <c r="F173" i="11" l="1"/>
  <c r="E173" i="11"/>
  <c r="G174" i="13"/>
  <c r="H174" i="13"/>
  <c r="G173" i="11" l="1"/>
  <c r="H173" i="11"/>
  <c r="D175" i="13"/>
  <c r="F175" i="13" l="1"/>
  <c r="E175" i="13"/>
  <c r="D174" i="11"/>
  <c r="F174" i="11" l="1"/>
  <c r="E174" i="11"/>
  <c r="G175" i="13"/>
  <c r="H175" i="13"/>
  <c r="D176" i="13" l="1"/>
  <c r="G174" i="11"/>
  <c r="H174" i="11"/>
  <c r="D175" i="11" l="1"/>
  <c r="F176" i="13"/>
  <c r="E176" i="13"/>
  <c r="G176" i="13" l="1"/>
  <c r="H176" i="13"/>
  <c r="F175" i="11"/>
  <c r="E175" i="11"/>
  <c r="G175" i="11" l="1"/>
  <c r="H175" i="11"/>
  <c r="D177" i="13"/>
  <c r="F177" i="13" l="1"/>
  <c r="E177" i="13"/>
  <c r="D176" i="11"/>
  <c r="F176" i="11" l="1"/>
  <c r="E176" i="11"/>
  <c r="G177" i="13"/>
  <c r="H177" i="13"/>
  <c r="G176" i="11" l="1"/>
  <c r="H176" i="11"/>
  <c r="D178" i="13"/>
  <c r="F178" i="13" l="1"/>
  <c r="E178" i="13"/>
  <c r="D177" i="11"/>
  <c r="F177" i="11" l="1"/>
  <c r="E177" i="11"/>
  <c r="G178" i="13"/>
  <c r="H178" i="13"/>
  <c r="D179" i="13" l="1"/>
  <c r="G177" i="11"/>
  <c r="H177" i="11"/>
  <c r="D178" i="11" l="1"/>
  <c r="F179" i="13"/>
  <c r="E179" i="13"/>
  <c r="G179" i="13" l="1"/>
  <c r="H179" i="13"/>
  <c r="F178" i="11"/>
  <c r="E178" i="11"/>
  <c r="G178" i="11" l="1"/>
  <c r="H178" i="11"/>
  <c r="D180" i="13"/>
  <c r="F180" i="13" l="1"/>
  <c r="E180" i="13"/>
  <c r="D179" i="11"/>
  <c r="F179" i="11" l="1"/>
  <c r="E179" i="11"/>
  <c r="G180" i="13"/>
  <c r="H180" i="13"/>
  <c r="D181" i="13" l="1"/>
  <c r="G179" i="11"/>
  <c r="H179" i="11"/>
  <c r="D180" i="11" l="1"/>
  <c r="F181" i="13"/>
  <c r="E181" i="13"/>
  <c r="F180" i="11" l="1"/>
  <c r="E180" i="11"/>
  <c r="G181" i="13"/>
  <c r="H181" i="13"/>
  <c r="D182" i="13" l="1"/>
  <c r="G180" i="11"/>
  <c r="H180" i="11"/>
  <c r="D181" i="11" l="1"/>
  <c r="F182" i="13"/>
  <c r="E182" i="13"/>
  <c r="G182" i="13" l="1"/>
  <c r="H182" i="13"/>
  <c r="F181" i="11"/>
  <c r="E181" i="11"/>
  <c r="G181" i="11" l="1"/>
  <c r="H181" i="11"/>
  <c r="D183" i="13"/>
  <c r="F183" i="13" l="1"/>
  <c r="E183" i="13"/>
  <c r="D182" i="11"/>
  <c r="F182" i="11" l="1"/>
  <c r="E182" i="11"/>
  <c r="G183" i="13"/>
  <c r="H183" i="13"/>
  <c r="D184" i="13" l="1"/>
  <c r="G182" i="11"/>
  <c r="H182" i="11"/>
  <c r="D183" i="11" l="1"/>
  <c r="F184" i="13"/>
  <c r="E184" i="13"/>
  <c r="F183" i="11" l="1"/>
  <c r="E183" i="11"/>
  <c r="G184" i="13"/>
  <c r="H184" i="13"/>
  <c r="D185" i="13" l="1"/>
  <c r="G183" i="11"/>
  <c r="H183" i="11"/>
  <c r="D184" i="11" l="1"/>
  <c r="F185" i="13"/>
  <c r="E185" i="13"/>
  <c r="G185" i="13" l="1"/>
  <c r="H185" i="13"/>
  <c r="F184" i="11"/>
  <c r="E184" i="11"/>
  <c r="G184" i="11" l="1"/>
  <c r="H184" i="11"/>
  <c r="D186" i="13"/>
  <c r="D185" i="11" l="1"/>
  <c r="F186" i="13"/>
  <c r="E186" i="13"/>
  <c r="G186" i="13" l="1"/>
  <c r="H186" i="13"/>
  <c r="F185" i="11"/>
  <c r="E185" i="11"/>
  <c r="G185" i="11" l="1"/>
  <c r="H185" i="11"/>
  <c r="D187" i="13"/>
  <c r="F187" i="13" l="1"/>
  <c r="E187" i="13"/>
  <c r="D186" i="11"/>
  <c r="F186" i="11" l="1"/>
  <c r="E186" i="11"/>
  <c r="G187" i="13"/>
  <c r="H187" i="13"/>
  <c r="D188" i="13" l="1"/>
  <c r="G186" i="11"/>
  <c r="H186" i="11"/>
  <c r="D187" i="11" l="1"/>
  <c r="F188" i="13"/>
  <c r="E188" i="13"/>
  <c r="G188" i="13" l="1"/>
  <c r="H188" i="13"/>
  <c r="F187" i="11"/>
  <c r="E187" i="11"/>
  <c r="G187" i="11" l="1"/>
  <c r="H187" i="11"/>
  <c r="D189" i="13"/>
  <c r="F189" i="13" l="1"/>
  <c r="E189" i="13"/>
  <c r="D188" i="11"/>
  <c r="F188" i="11" l="1"/>
  <c r="E188" i="11"/>
  <c r="G189" i="13"/>
  <c r="H189" i="13"/>
  <c r="D190" i="13" l="1"/>
  <c r="G188" i="11"/>
  <c r="H188" i="11"/>
  <c r="F190" i="13" l="1"/>
  <c r="E190" i="13"/>
  <c r="D189" i="11"/>
  <c r="F189" i="11" l="1"/>
  <c r="E189" i="11"/>
  <c r="G190" i="13"/>
  <c r="H190" i="13"/>
  <c r="D191" i="13" l="1"/>
  <c r="G189" i="11"/>
  <c r="H189" i="11"/>
  <c r="D190" i="11" l="1"/>
  <c r="F191" i="13"/>
  <c r="E191" i="13"/>
  <c r="G191" i="13" l="1"/>
  <c r="H191" i="13"/>
  <c r="F190" i="11"/>
  <c r="E190" i="11"/>
  <c r="D192" i="13" l="1"/>
  <c r="G190" i="11"/>
  <c r="H190" i="11"/>
  <c r="D191" i="11" l="1"/>
  <c r="F192" i="13"/>
  <c r="E192" i="13"/>
  <c r="G192" i="13" l="1"/>
  <c r="H192" i="13"/>
  <c r="F191" i="11"/>
  <c r="E191" i="11"/>
  <c r="G191" i="11" l="1"/>
  <c r="H191" i="11"/>
  <c r="D193" i="13"/>
  <c r="F193" i="13" l="1"/>
  <c r="E193" i="13"/>
  <c r="D192" i="11"/>
  <c r="G193" i="13" l="1"/>
  <c r="H193" i="13"/>
  <c r="F192" i="11"/>
  <c r="E192" i="11"/>
  <c r="G192" i="11" l="1"/>
  <c r="H192" i="11"/>
  <c r="D194" i="13"/>
  <c r="F194" i="13" l="1"/>
  <c r="E194" i="13"/>
  <c r="D193" i="11"/>
  <c r="F193" i="11" l="1"/>
  <c r="E193" i="11"/>
  <c r="G194" i="13"/>
  <c r="H194" i="13"/>
  <c r="D195" i="13" l="1"/>
  <c r="G193" i="11"/>
  <c r="H193" i="11"/>
  <c r="D194" i="11" l="1"/>
  <c r="F195" i="13"/>
  <c r="E195" i="13"/>
  <c r="G195" i="13" l="1"/>
  <c r="H195" i="13"/>
  <c r="F194" i="11"/>
  <c r="E194" i="11"/>
  <c r="G194" i="11" l="1"/>
  <c r="H194" i="11"/>
  <c r="D196" i="13"/>
  <c r="F196" i="13" l="1"/>
  <c r="E196" i="13"/>
  <c r="D195" i="11"/>
  <c r="F195" i="11" l="1"/>
  <c r="E195" i="11"/>
  <c r="G196" i="13"/>
  <c r="H196" i="13"/>
  <c r="D197" i="13" l="1"/>
  <c r="G195" i="11"/>
  <c r="H195" i="11"/>
  <c r="D196" i="11" l="1"/>
  <c r="F197" i="13"/>
  <c r="E197" i="13"/>
  <c r="G197" i="13" l="1"/>
  <c r="H197" i="13"/>
  <c r="F196" i="11"/>
  <c r="E196" i="11"/>
  <c r="D198" i="13" l="1"/>
  <c r="G196" i="11"/>
  <c r="H196" i="11"/>
  <c r="D197" i="11" l="1"/>
  <c r="F198" i="13"/>
  <c r="E198" i="13"/>
  <c r="F197" i="11" l="1"/>
  <c r="E197" i="11"/>
  <c r="G198" i="13"/>
  <c r="H198" i="13"/>
  <c r="D199" i="13" l="1"/>
  <c r="G197" i="11"/>
  <c r="H197" i="11"/>
  <c r="D198" i="11" l="1"/>
  <c r="F199" i="13"/>
  <c r="E199" i="13"/>
  <c r="G199" i="13" l="1"/>
  <c r="H199" i="13"/>
  <c r="F198" i="11"/>
  <c r="E198" i="11"/>
  <c r="G198" i="11" l="1"/>
  <c r="H198" i="11"/>
  <c r="D200" i="13"/>
  <c r="F200" i="13" l="1"/>
  <c r="E200" i="13"/>
  <c r="D199" i="11"/>
  <c r="F199" i="11" l="1"/>
  <c r="E199" i="11"/>
  <c r="G200" i="13"/>
  <c r="H200" i="13"/>
  <c r="D201" i="13" l="1"/>
  <c r="G199" i="11"/>
  <c r="H199" i="11"/>
  <c r="D200" i="11" l="1"/>
  <c r="F201" i="13"/>
  <c r="E201" i="13"/>
  <c r="G201" i="13" l="1"/>
  <c r="H201" i="13"/>
  <c r="F200" i="11"/>
  <c r="E200" i="11"/>
  <c r="G200" i="11" l="1"/>
  <c r="H200" i="11"/>
  <c r="D202" i="13"/>
  <c r="F202" i="13" l="1"/>
  <c r="E202" i="13"/>
  <c r="D201" i="11"/>
  <c r="F201" i="11" l="1"/>
  <c r="E201" i="11"/>
  <c r="G202" i="13"/>
  <c r="H202" i="13"/>
  <c r="D203" i="13" l="1"/>
  <c r="G201" i="11"/>
  <c r="H201" i="11"/>
  <c r="D202" i="11" l="1"/>
  <c r="F203" i="13"/>
  <c r="E203" i="13"/>
  <c r="G203" i="13" l="1"/>
  <c r="H203" i="13"/>
  <c r="F202" i="11"/>
  <c r="E202" i="11"/>
  <c r="G202" i="11" l="1"/>
  <c r="H202" i="11"/>
  <c r="D204" i="13"/>
  <c r="F204" i="13" l="1"/>
  <c r="E204" i="13"/>
  <c r="D203" i="11"/>
  <c r="F203" i="11" l="1"/>
  <c r="E203" i="11"/>
  <c r="G204" i="13"/>
  <c r="H204" i="13"/>
  <c r="D205" i="13" l="1"/>
  <c r="G203" i="11"/>
  <c r="H203" i="11"/>
  <c r="D204" i="11" l="1"/>
  <c r="F205" i="13"/>
  <c r="E205" i="13"/>
  <c r="G205" i="13" l="1"/>
  <c r="H205" i="13"/>
  <c r="F204" i="11"/>
  <c r="E204" i="11"/>
  <c r="G204" i="11" l="1"/>
  <c r="H204" i="11"/>
  <c r="D206" i="13"/>
  <c r="F206" i="13" l="1"/>
  <c r="E206" i="13"/>
  <c r="D205" i="11"/>
  <c r="F205" i="11" l="1"/>
  <c r="E205" i="11"/>
  <c r="G206" i="13"/>
  <c r="H206" i="13"/>
  <c r="D207" i="13" l="1"/>
  <c r="G205" i="11"/>
  <c r="H205" i="11"/>
  <c r="D206" i="11" l="1"/>
  <c r="F207" i="13"/>
  <c r="E207" i="13"/>
  <c r="G207" i="13" l="1"/>
  <c r="H207" i="13"/>
  <c r="F206" i="11"/>
  <c r="E206" i="11"/>
  <c r="G206" i="11" l="1"/>
  <c r="H206" i="11"/>
  <c r="D208" i="13"/>
  <c r="F208" i="13" l="1"/>
  <c r="E208" i="13"/>
  <c r="D207" i="11"/>
  <c r="F207" i="11" l="1"/>
  <c r="E207" i="11"/>
  <c r="G208" i="13"/>
  <c r="H208" i="13"/>
  <c r="D209" i="13" l="1"/>
  <c r="G207" i="11"/>
  <c r="H207" i="11"/>
  <c r="D208" i="11" l="1"/>
  <c r="F209" i="13"/>
  <c r="E209" i="13"/>
  <c r="G209" i="13" l="1"/>
  <c r="H209" i="13"/>
  <c r="F208" i="11"/>
  <c r="E208" i="11"/>
  <c r="D210" i="13" l="1"/>
  <c r="G208" i="11"/>
  <c r="H208" i="11"/>
  <c r="D209" i="11" l="1"/>
  <c r="F210" i="13"/>
  <c r="E210" i="13"/>
  <c r="G210" i="13" l="1"/>
  <c r="H210" i="13"/>
  <c r="F209" i="11"/>
  <c r="E209" i="11"/>
  <c r="G209" i="11" l="1"/>
  <c r="H209" i="11"/>
  <c r="D211" i="13"/>
  <c r="F211" i="13" l="1"/>
  <c r="E211" i="13"/>
  <c r="D210" i="11"/>
  <c r="F210" i="11" l="1"/>
  <c r="E210" i="11"/>
  <c r="G211" i="13"/>
  <c r="H211" i="13"/>
  <c r="G210" i="11" l="1"/>
  <c r="H210" i="11"/>
  <c r="D212" i="13"/>
  <c r="F212" i="13" l="1"/>
  <c r="E212" i="13"/>
  <c r="D211" i="11"/>
  <c r="F211" i="11" l="1"/>
  <c r="E211" i="11"/>
  <c r="G212" i="13"/>
  <c r="H212" i="13"/>
  <c r="D213" i="13" l="1"/>
  <c r="G211" i="11"/>
  <c r="H211" i="11"/>
  <c r="D212" i="11" l="1"/>
  <c r="F213" i="13"/>
  <c r="E213" i="13"/>
  <c r="G213" i="13" l="1"/>
  <c r="H213" i="13"/>
  <c r="F212" i="11"/>
  <c r="E212" i="11"/>
  <c r="G212" i="11" l="1"/>
  <c r="H212" i="11"/>
  <c r="D214" i="13"/>
  <c r="F214" i="13" l="1"/>
  <c r="E214" i="13"/>
  <c r="D213" i="11"/>
  <c r="F213" i="11" l="1"/>
  <c r="E213" i="11"/>
  <c r="G214" i="13"/>
  <c r="H214" i="13"/>
  <c r="D215" i="13" l="1"/>
  <c r="G213" i="11"/>
  <c r="H213" i="11"/>
  <c r="D214" i="11" l="1"/>
  <c r="F215" i="13"/>
  <c r="E215" i="13"/>
  <c r="G215" i="13" l="1"/>
  <c r="H215" i="13"/>
  <c r="F214" i="11"/>
  <c r="E214" i="11"/>
  <c r="G214" i="11" l="1"/>
  <c r="H214" i="11"/>
  <c r="D216" i="13"/>
  <c r="F216" i="13" l="1"/>
  <c r="E216" i="13"/>
  <c r="D215" i="11"/>
  <c r="F215" i="11" l="1"/>
  <c r="E215" i="11"/>
  <c r="G216" i="13"/>
  <c r="H216" i="13"/>
  <c r="D217" i="13" l="1"/>
  <c r="G215" i="11"/>
  <c r="H215" i="11"/>
  <c r="D216" i="11" l="1"/>
  <c r="F217" i="13"/>
  <c r="E217" i="13"/>
  <c r="G217" i="13" l="1"/>
  <c r="H217" i="13"/>
  <c r="F216" i="11"/>
  <c r="E216" i="11"/>
  <c r="G216" i="11" l="1"/>
  <c r="H216" i="11"/>
  <c r="D218" i="13"/>
  <c r="F218" i="13" l="1"/>
  <c r="E218" i="13"/>
  <c r="D217" i="11"/>
  <c r="F217" i="11" l="1"/>
  <c r="E217" i="11"/>
  <c r="G218" i="13"/>
  <c r="H218" i="13"/>
  <c r="D219" i="13" l="1"/>
  <c r="G217" i="11"/>
  <c r="H217" i="11"/>
  <c r="D218" i="11" l="1"/>
  <c r="F219" i="13"/>
  <c r="E219" i="13"/>
  <c r="F218" i="11" l="1"/>
  <c r="E218" i="11"/>
  <c r="G219" i="13"/>
  <c r="H219" i="13"/>
  <c r="D220" i="13" l="1"/>
  <c r="G218" i="11"/>
  <c r="H218" i="11"/>
  <c r="D219" i="11" l="1"/>
  <c r="F220" i="13"/>
  <c r="E220" i="13"/>
  <c r="G220" i="13" l="1"/>
  <c r="H220" i="13"/>
  <c r="F219" i="11"/>
  <c r="E219" i="11"/>
  <c r="D221" i="13" l="1"/>
  <c r="G219" i="11"/>
  <c r="H219" i="11"/>
  <c r="D220" i="11" l="1"/>
  <c r="F221" i="13"/>
  <c r="E221" i="13"/>
  <c r="F220" i="11" l="1"/>
  <c r="E220" i="11"/>
  <c r="G221" i="13"/>
  <c r="H221" i="13"/>
  <c r="D222" i="13" l="1"/>
  <c r="G220" i="11"/>
  <c r="H220" i="11"/>
  <c r="F222" i="13" l="1"/>
  <c r="E222" i="13"/>
  <c r="D221" i="11"/>
  <c r="F221" i="11" l="1"/>
  <c r="E221" i="11"/>
  <c r="G222" i="13"/>
  <c r="H222" i="13"/>
  <c r="D223" i="13" l="1"/>
  <c r="G221" i="11"/>
  <c r="H221" i="11"/>
  <c r="D222" i="11" l="1"/>
  <c r="F223" i="13"/>
  <c r="E223" i="13"/>
  <c r="G223" i="13" l="1"/>
  <c r="H223" i="13"/>
  <c r="F222" i="11"/>
  <c r="E222" i="11"/>
  <c r="G222" i="11" l="1"/>
  <c r="H222" i="11"/>
  <c r="D224" i="13"/>
  <c r="F224" i="13" l="1"/>
  <c r="E224" i="13"/>
  <c r="D223" i="11"/>
  <c r="F223" i="11" l="1"/>
  <c r="E223" i="11"/>
  <c r="G224" i="13"/>
  <c r="H224" i="13"/>
  <c r="D225" i="13" l="1"/>
  <c r="G223" i="11"/>
  <c r="H223" i="11"/>
  <c r="F225" i="13" l="1"/>
  <c r="E225" i="13"/>
  <c r="D224" i="11"/>
  <c r="F224" i="11" l="1"/>
  <c r="E224" i="11"/>
  <c r="G225" i="13"/>
  <c r="H225" i="13"/>
  <c r="D226" i="13" l="1"/>
  <c r="G224" i="11"/>
  <c r="H224" i="11"/>
  <c r="D225" i="11" l="1"/>
  <c r="F226" i="13"/>
  <c r="E226" i="13"/>
  <c r="G226" i="13" l="1"/>
  <c r="H226" i="13"/>
  <c r="F225" i="11"/>
  <c r="E225" i="11"/>
  <c r="G225" i="11" l="1"/>
  <c r="H225" i="11"/>
  <c r="D227" i="13"/>
  <c r="F227" i="13" l="1"/>
  <c r="E227" i="13"/>
  <c r="D226" i="11"/>
  <c r="G227" i="13" l="1"/>
  <c r="H227" i="13"/>
  <c r="F226" i="11"/>
  <c r="E226" i="11"/>
  <c r="G226" i="11" l="1"/>
  <c r="H226" i="11"/>
  <c r="D228" i="13"/>
  <c r="F228" i="13" l="1"/>
  <c r="E228" i="13"/>
  <c r="D227" i="11"/>
  <c r="F227" i="11" l="1"/>
  <c r="E227" i="11"/>
  <c r="G228" i="13"/>
  <c r="H228" i="13"/>
  <c r="D229" i="13" l="1"/>
  <c r="G227" i="11"/>
  <c r="H227" i="11"/>
  <c r="D228" i="11" l="1"/>
  <c r="F229" i="13"/>
  <c r="E229" i="13"/>
  <c r="F228" i="11" l="1"/>
  <c r="E228" i="11"/>
  <c r="G229" i="13"/>
  <c r="H229" i="13"/>
  <c r="D230" i="13" l="1"/>
  <c r="G228" i="11"/>
  <c r="H228" i="11"/>
  <c r="D229" i="11" l="1"/>
  <c r="F230" i="13"/>
  <c r="E230" i="13"/>
  <c r="G230" i="13" l="1"/>
  <c r="H230" i="13"/>
  <c r="F229" i="11"/>
  <c r="E229" i="11"/>
  <c r="G229" i="11" l="1"/>
  <c r="H229" i="11"/>
  <c r="D231" i="13"/>
  <c r="F231" i="13" l="1"/>
  <c r="E231" i="13"/>
  <c r="D230" i="11"/>
  <c r="F230" i="11" l="1"/>
  <c r="E230" i="11"/>
  <c r="G231" i="13"/>
  <c r="H231" i="13"/>
  <c r="D232" i="13" l="1"/>
  <c r="G230" i="11"/>
  <c r="H230" i="11"/>
  <c r="D231" i="11" l="1"/>
  <c r="F232" i="13"/>
  <c r="E232" i="13"/>
  <c r="F231" i="11" l="1"/>
  <c r="E231" i="11"/>
  <c r="G232" i="13"/>
  <c r="H232" i="13"/>
  <c r="D233" i="13" l="1"/>
  <c r="G231" i="11"/>
  <c r="H231" i="11"/>
  <c r="D232" i="11" l="1"/>
  <c r="F233" i="13"/>
  <c r="E233" i="13"/>
  <c r="G233" i="13" l="1"/>
  <c r="H233" i="13"/>
  <c r="F232" i="11"/>
  <c r="E232" i="11"/>
  <c r="G232" i="11" l="1"/>
  <c r="H232" i="11"/>
  <c r="D234" i="13"/>
  <c r="D233" i="11" l="1"/>
  <c r="F234" i="13"/>
  <c r="E234" i="13"/>
  <c r="G234" i="13" l="1"/>
  <c r="H234" i="13"/>
  <c r="F233" i="11"/>
  <c r="E233" i="11"/>
  <c r="G233" i="11" l="1"/>
  <c r="H233" i="11"/>
  <c r="D235" i="13"/>
  <c r="F235" i="13" l="1"/>
  <c r="E235" i="13"/>
  <c r="D234" i="11"/>
  <c r="F234" i="11" l="1"/>
  <c r="E234" i="11"/>
  <c r="G235" i="13"/>
  <c r="H235" i="13"/>
  <c r="D236" i="13" l="1"/>
  <c r="G234" i="11"/>
  <c r="H234" i="11"/>
  <c r="D235" i="11" l="1"/>
  <c r="F236" i="13"/>
  <c r="E236" i="13"/>
  <c r="G236" i="13" l="1"/>
  <c r="H236" i="13"/>
  <c r="F235" i="11"/>
  <c r="E235" i="11"/>
  <c r="D237" i="13" l="1"/>
  <c r="G235" i="11"/>
  <c r="H235" i="11"/>
  <c r="D236" i="11" l="1"/>
  <c r="F237" i="13"/>
  <c r="E237" i="13"/>
  <c r="G237" i="13" l="1"/>
  <c r="H237" i="13"/>
  <c r="F236" i="11"/>
  <c r="E236" i="11"/>
  <c r="G236" i="11" l="1"/>
  <c r="H236" i="11"/>
  <c r="D238" i="13"/>
  <c r="F238" i="13" l="1"/>
  <c r="E238" i="13"/>
  <c r="D237" i="11"/>
  <c r="F237" i="11" l="1"/>
  <c r="E237" i="11"/>
  <c r="G238" i="13"/>
  <c r="H238" i="13"/>
  <c r="D239" i="13" l="1"/>
  <c r="G237" i="11"/>
  <c r="H237" i="11"/>
  <c r="F239" i="13" l="1"/>
  <c r="E239" i="13"/>
  <c r="D238" i="11"/>
  <c r="F238" i="11" l="1"/>
  <c r="E238" i="11"/>
  <c r="G239" i="13"/>
  <c r="H239" i="13"/>
  <c r="D240" i="13" l="1"/>
  <c r="G238" i="11"/>
  <c r="H238" i="11"/>
  <c r="D239" i="11" l="1"/>
  <c r="F240" i="13"/>
  <c r="E240" i="13"/>
  <c r="G240" i="13" l="1"/>
  <c r="H240" i="13"/>
  <c r="F239" i="11"/>
  <c r="E239" i="11"/>
  <c r="G239" i="11" l="1"/>
  <c r="H239" i="11"/>
  <c r="D241" i="13"/>
  <c r="F241" i="13" l="1"/>
  <c r="E241" i="13"/>
  <c r="D240" i="11"/>
  <c r="F240" i="11" l="1"/>
  <c r="E240" i="11"/>
  <c r="G241" i="13"/>
  <c r="H241" i="13"/>
  <c r="G240" i="11" l="1"/>
  <c r="H240" i="11"/>
  <c r="D242" i="13"/>
  <c r="F242" i="13" l="1"/>
  <c r="E242" i="13"/>
  <c r="D241" i="11"/>
  <c r="F241" i="11" l="1"/>
  <c r="E241" i="11"/>
  <c r="G242" i="13"/>
  <c r="H242" i="13"/>
  <c r="D243" i="13" l="1"/>
  <c r="G241" i="11"/>
  <c r="H241" i="11"/>
  <c r="D242" i="11" l="1"/>
  <c r="F243" i="13"/>
  <c r="E243" i="13"/>
  <c r="F242" i="11" l="1"/>
  <c r="E242" i="11"/>
  <c r="G243" i="13"/>
  <c r="H243" i="13"/>
  <c r="D244" i="13" l="1"/>
  <c r="G242" i="11"/>
  <c r="H242" i="11"/>
  <c r="D243" i="11" l="1"/>
  <c r="F244" i="13"/>
  <c r="E244" i="13"/>
  <c r="G244" i="13" l="1"/>
  <c r="H244" i="13"/>
  <c r="F243" i="11"/>
  <c r="E243" i="11"/>
  <c r="G243" i="11" l="1"/>
  <c r="H243" i="11"/>
  <c r="D245" i="13"/>
  <c r="F245" i="13" l="1"/>
  <c r="E245" i="13"/>
  <c r="D244" i="11"/>
  <c r="F244" i="11" l="1"/>
  <c r="E244" i="11"/>
  <c r="G245" i="13"/>
  <c r="H245" i="13"/>
  <c r="D246" i="13" l="1"/>
  <c r="G244" i="11"/>
  <c r="H244" i="11"/>
  <c r="D245" i="11" l="1"/>
  <c r="F246" i="13"/>
  <c r="E246" i="13"/>
  <c r="G246" i="13" l="1"/>
  <c r="H246" i="13"/>
  <c r="F245" i="11"/>
  <c r="E245" i="11"/>
  <c r="D247" i="13" l="1"/>
  <c r="G245" i="11"/>
  <c r="H245" i="11"/>
  <c r="D246" i="11" l="1"/>
  <c r="F247" i="13"/>
  <c r="E247" i="13"/>
  <c r="G247" i="13" l="1"/>
  <c r="H247" i="13"/>
  <c r="F246" i="11"/>
  <c r="E246" i="11"/>
  <c r="G246" i="11" l="1"/>
  <c r="H246" i="11"/>
  <c r="D248" i="13"/>
  <c r="F248" i="13" l="1"/>
  <c r="E248" i="13"/>
  <c r="D247" i="11"/>
  <c r="F247" i="11" l="1"/>
  <c r="E247" i="11"/>
  <c r="G248" i="13"/>
  <c r="H248" i="13"/>
  <c r="D249" i="13" l="1"/>
  <c r="G247" i="11"/>
  <c r="H247" i="11"/>
  <c r="D248" i="11" l="1"/>
  <c r="F249" i="13"/>
  <c r="E249" i="13"/>
  <c r="G249" i="13" l="1"/>
  <c r="H249" i="13"/>
  <c r="F248" i="11"/>
  <c r="E248" i="11"/>
  <c r="G248" i="11" l="1"/>
  <c r="H248" i="11"/>
  <c r="D250" i="13"/>
  <c r="F250" i="13" l="1"/>
  <c r="E250" i="13"/>
  <c r="D249" i="11"/>
  <c r="F249" i="11" l="1"/>
  <c r="E249" i="11"/>
  <c r="G250" i="13"/>
  <c r="H250" i="13"/>
  <c r="D251" i="13" l="1"/>
  <c r="G249" i="11"/>
  <c r="H249" i="11"/>
  <c r="F251" i="13" l="1"/>
  <c r="E251" i="13"/>
  <c r="D250" i="11"/>
  <c r="F250" i="11" l="1"/>
  <c r="E250" i="11"/>
  <c r="G251" i="13"/>
  <c r="H251" i="13"/>
  <c r="D252" i="13" l="1"/>
  <c r="G250" i="11"/>
  <c r="H250" i="11"/>
  <c r="D251" i="11" l="1"/>
  <c r="F252" i="13"/>
  <c r="E252" i="13"/>
  <c r="G252" i="13" l="1"/>
  <c r="H252" i="13"/>
  <c r="F251" i="11"/>
  <c r="E251" i="11"/>
  <c r="G251" i="11" l="1"/>
  <c r="H251" i="11"/>
  <c r="D253" i="13"/>
  <c r="F253" i="13" l="1"/>
  <c r="E253" i="13"/>
  <c r="D252" i="11"/>
  <c r="F252" i="11" l="1"/>
  <c r="E252" i="11"/>
  <c r="G253" i="13"/>
  <c r="H253" i="13"/>
  <c r="D254" i="13" l="1"/>
  <c r="G252" i="11"/>
  <c r="H252" i="11"/>
  <c r="D253" i="11" l="1"/>
  <c r="F254" i="13"/>
  <c r="E254" i="13"/>
  <c r="G254" i="13" l="1"/>
  <c r="H254" i="13"/>
  <c r="F253" i="11"/>
  <c r="E253" i="11"/>
  <c r="G253" i="11" l="1"/>
  <c r="H253" i="11"/>
  <c r="D255" i="13"/>
  <c r="F255" i="13" l="1"/>
  <c r="E255" i="13"/>
  <c r="D254" i="11"/>
  <c r="F254" i="11" l="1"/>
  <c r="E254" i="11"/>
  <c r="G255" i="13"/>
  <c r="H255" i="13"/>
  <c r="D256" i="13" l="1"/>
  <c r="G254" i="11"/>
  <c r="H254" i="11"/>
  <c r="D255" i="11" l="1"/>
  <c r="F256" i="13"/>
  <c r="E256" i="13"/>
  <c r="G256" i="13" l="1"/>
  <c r="H256" i="13"/>
  <c r="F255" i="11"/>
  <c r="E255" i="11"/>
  <c r="G255" i="11" l="1"/>
  <c r="H255" i="11"/>
  <c r="D257" i="13"/>
  <c r="F257" i="13" l="1"/>
  <c r="E257" i="13"/>
  <c r="D256" i="11"/>
  <c r="F256" i="11" l="1"/>
  <c r="E256" i="11"/>
  <c r="G257" i="13"/>
  <c r="H257" i="13"/>
  <c r="D258" i="13" l="1"/>
  <c r="G256" i="11"/>
  <c r="H256" i="11"/>
  <c r="D257" i="11" l="1"/>
  <c r="F258" i="13"/>
  <c r="E258" i="13"/>
  <c r="G258" i="13" l="1"/>
  <c r="H258" i="13"/>
  <c r="F257" i="11"/>
  <c r="E257" i="11"/>
  <c r="G257" i="11" l="1"/>
  <c r="H257" i="11"/>
  <c r="D259" i="13"/>
  <c r="D258" i="11" l="1"/>
  <c r="F259" i="13"/>
  <c r="E259" i="13"/>
  <c r="G259" i="13" l="1"/>
  <c r="H259" i="13"/>
  <c r="F258" i="11"/>
  <c r="E258" i="11"/>
  <c r="G258" i="11" l="1"/>
  <c r="H258" i="11"/>
  <c r="D260" i="13"/>
  <c r="F260" i="13" l="1"/>
  <c r="E260" i="13"/>
  <c r="D259" i="11"/>
  <c r="F259" i="11" l="1"/>
  <c r="E259" i="11"/>
  <c r="G260" i="13"/>
  <c r="H260" i="13"/>
  <c r="D261" i="13" l="1"/>
  <c r="G259" i="11"/>
  <c r="H259" i="11"/>
  <c r="D260" i="11" l="1"/>
  <c r="F261" i="13"/>
  <c r="E261" i="13"/>
  <c r="G261" i="13" l="1"/>
  <c r="H261" i="13"/>
  <c r="F260" i="11"/>
  <c r="E260" i="11"/>
  <c r="G260" i="11" l="1"/>
  <c r="H260" i="11"/>
  <c r="D262" i="13"/>
  <c r="F262" i="13" l="1"/>
  <c r="E262" i="13"/>
  <c r="D261" i="11"/>
  <c r="F261" i="11" l="1"/>
  <c r="E261" i="11"/>
  <c r="G262" i="13"/>
  <c r="H262" i="13"/>
  <c r="D263" i="13" l="1"/>
  <c r="G261" i="11"/>
  <c r="H261" i="11"/>
  <c r="D262" i="11" l="1"/>
  <c r="F263" i="13"/>
  <c r="E263" i="13"/>
  <c r="G263" i="13" l="1"/>
  <c r="H263" i="13"/>
  <c r="F262" i="11"/>
  <c r="E262" i="11"/>
  <c r="G262" i="11" l="1"/>
  <c r="H262" i="11"/>
  <c r="D264" i="13"/>
  <c r="D263" i="11" l="1"/>
  <c r="F264" i="13"/>
  <c r="E264" i="13"/>
  <c r="G264" i="13" l="1"/>
  <c r="H264" i="13"/>
  <c r="F263" i="11"/>
  <c r="E263" i="11"/>
  <c r="G263" i="11" l="1"/>
  <c r="H263" i="11"/>
  <c r="D265" i="13"/>
  <c r="F265" i="13" l="1"/>
  <c r="E265" i="13"/>
  <c r="D264" i="11"/>
  <c r="F264" i="11" l="1"/>
  <c r="E264" i="11"/>
  <c r="G265" i="13"/>
  <c r="H265" i="13"/>
  <c r="D266" i="13" l="1"/>
  <c r="G264" i="11"/>
  <c r="H264" i="11"/>
  <c r="D265" i="11" l="1"/>
  <c r="F266" i="13"/>
  <c r="E266" i="13"/>
  <c r="G266" i="13" l="1"/>
  <c r="H266" i="13"/>
  <c r="F265" i="11"/>
  <c r="E265" i="11"/>
  <c r="G265" i="11" l="1"/>
  <c r="H265" i="11"/>
  <c r="D267" i="13"/>
  <c r="D266" i="11" l="1"/>
  <c r="F267" i="13"/>
  <c r="E267" i="13"/>
  <c r="G267" i="13" l="1"/>
  <c r="H267" i="13"/>
  <c r="F266" i="11"/>
  <c r="E266" i="11"/>
  <c r="G266" i="11" l="1"/>
  <c r="H266" i="11"/>
  <c r="D268" i="13"/>
  <c r="F268" i="13" l="1"/>
  <c r="E268" i="13"/>
  <c r="D267" i="11"/>
  <c r="F267" i="11" l="1"/>
  <c r="E267" i="11"/>
  <c r="G268" i="13"/>
  <c r="H268" i="13"/>
  <c r="D269" i="13" l="1"/>
  <c r="G267" i="11"/>
  <c r="H267" i="11"/>
  <c r="D268" i="11" l="1"/>
  <c r="F269" i="13"/>
  <c r="E269" i="13"/>
  <c r="G269" i="13" l="1"/>
  <c r="H269" i="13"/>
  <c r="F268" i="11"/>
  <c r="E268" i="11"/>
  <c r="G268" i="11" l="1"/>
  <c r="H268" i="11"/>
  <c r="D270" i="13"/>
  <c r="F270" i="13" l="1"/>
  <c r="E270" i="13"/>
  <c r="D269" i="11"/>
  <c r="F269" i="11" l="1"/>
  <c r="E269" i="11"/>
  <c r="G270" i="13"/>
  <c r="H270" i="13"/>
  <c r="D271" i="13" l="1"/>
  <c r="G269" i="11"/>
  <c r="H269" i="11"/>
  <c r="D270" i="11" l="1"/>
  <c r="F271" i="13"/>
  <c r="E271" i="13"/>
  <c r="G271" i="13" l="1"/>
  <c r="H271" i="13"/>
  <c r="F270" i="11"/>
  <c r="E270" i="11"/>
  <c r="G270" i="11" l="1"/>
  <c r="H270" i="11"/>
  <c r="D272" i="13"/>
  <c r="F272" i="13" l="1"/>
  <c r="E272" i="13"/>
  <c r="D271" i="11"/>
  <c r="F271" i="11" l="1"/>
  <c r="E271" i="11"/>
  <c r="G272" i="13"/>
  <c r="H272" i="13"/>
  <c r="D273" i="13" l="1"/>
  <c r="G271" i="11"/>
  <c r="H271" i="11"/>
  <c r="D272" i="11" l="1"/>
  <c r="F273" i="13"/>
  <c r="E273" i="13"/>
  <c r="G273" i="13" l="1"/>
  <c r="H273" i="13"/>
  <c r="F272" i="11"/>
  <c r="E272" i="11"/>
  <c r="D274" i="13" l="1"/>
  <c r="G272" i="11"/>
  <c r="H272" i="11"/>
  <c r="D273" i="11" l="1"/>
  <c r="F274" i="13"/>
  <c r="E274" i="13"/>
  <c r="G274" i="13" l="1"/>
  <c r="H274" i="13"/>
  <c r="F273" i="11"/>
  <c r="E273" i="11"/>
  <c r="G273" i="11" l="1"/>
  <c r="H273" i="11"/>
  <c r="D275" i="13"/>
  <c r="F275" i="13" l="1"/>
  <c r="E275" i="13"/>
  <c r="D274" i="11"/>
  <c r="F274" i="11" l="1"/>
  <c r="E274" i="11"/>
  <c r="G275" i="13"/>
  <c r="H275" i="13"/>
  <c r="D276" i="13" l="1"/>
  <c r="G274" i="11"/>
  <c r="H274" i="11"/>
  <c r="D275" i="11" l="1"/>
  <c r="F276" i="13"/>
  <c r="E276" i="13"/>
  <c r="G276" i="13" l="1"/>
  <c r="H276" i="13"/>
  <c r="F275" i="11"/>
  <c r="E275" i="11"/>
  <c r="D277" i="13" l="1"/>
  <c r="G275" i="11"/>
  <c r="H275" i="11"/>
  <c r="D276" i="11" l="1"/>
  <c r="F277" i="13"/>
  <c r="E277" i="13"/>
  <c r="G277" i="13" l="1"/>
  <c r="H277" i="13"/>
  <c r="F276" i="11"/>
  <c r="E276" i="11"/>
  <c r="G276" i="11" l="1"/>
  <c r="H276" i="11"/>
  <c r="D278" i="13"/>
  <c r="F278" i="13" l="1"/>
  <c r="E278" i="13"/>
  <c r="D277" i="11"/>
  <c r="F277" i="11" l="1"/>
  <c r="E277" i="11"/>
  <c r="G278" i="13"/>
  <c r="H278" i="13"/>
  <c r="D279" i="13" l="1"/>
  <c r="G277" i="11"/>
  <c r="H277" i="11"/>
  <c r="D278" i="11" l="1"/>
  <c r="F279" i="13"/>
  <c r="E279" i="13"/>
  <c r="G279" i="13" l="1"/>
  <c r="H279" i="13"/>
  <c r="F278" i="11"/>
  <c r="E278" i="11"/>
  <c r="G278" i="11" l="1"/>
  <c r="H278" i="11"/>
  <c r="D280" i="13"/>
  <c r="F280" i="13" l="1"/>
  <c r="E280" i="13"/>
  <c r="D279" i="11"/>
  <c r="F279" i="11" l="1"/>
  <c r="E279" i="11"/>
  <c r="G280" i="13"/>
  <c r="H280" i="13"/>
  <c r="D281" i="13" l="1"/>
  <c r="G279" i="11"/>
  <c r="H279" i="11"/>
  <c r="D280" i="11" l="1"/>
  <c r="F281" i="13"/>
  <c r="E281" i="13"/>
  <c r="G281" i="13" l="1"/>
  <c r="H281" i="13"/>
  <c r="F280" i="11"/>
  <c r="E280" i="11"/>
  <c r="G280" i="11" l="1"/>
  <c r="H280" i="11"/>
  <c r="D282" i="13"/>
  <c r="F282" i="13" l="1"/>
  <c r="E282" i="13"/>
  <c r="D281" i="11"/>
  <c r="F281" i="11" l="1"/>
  <c r="E281" i="11"/>
  <c r="G282" i="13"/>
  <c r="H282" i="13"/>
  <c r="D283" i="13" l="1"/>
  <c r="G281" i="11"/>
  <c r="H281" i="11"/>
  <c r="D282" i="11" l="1"/>
  <c r="F283" i="13"/>
  <c r="E283" i="13"/>
  <c r="G283" i="13" l="1"/>
  <c r="H283" i="13"/>
  <c r="F282" i="11"/>
  <c r="E282" i="11"/>
  <c r="G282" i="11" l="1"/>
  <c r="H282" i="11"/>
  <c r="D284" i="13"/>
  <c r="F284" i="13" l="1"/>
  <c r="E284" i="13"/>
  <c r="D283" i="11"/>
  <c r="G284" i="13" l="1"/>
  <c r="H284" i="13"/>
  <c r="F283" i="11"/>
  <c r="E283" i="11"/>
  <c r="D285" i="13" l="1"/>
  <c r="G283" i="11"/>
  <c r="H283" i="11"/>
  <c r="D284" i="11" l="1"/>
  <c r="F285" i="13"/>
  <c r="E285" i="13"/>
  <c r="G285" i="13" l="1"/>
  <c r="H285" i="13"/>
  <c r="F284" i="11"/>
  <c r="E284" i="11"/>
  <c r="G284" i="11" l="1"/>
  <c r="H284" i="11"/>
  <c r="D286" i="13"/>
  <c r="F286" i="13" l="1"/>
  <c r="E286" i="13"/>
  <c r="D285" i="11"/>
  <c r="F285" i="11" l="1"/>
  <c r="E285" i="11"/>
  <c r="G286" i="13"/>
  <c r="H286" i="13"/>
  <c r="D287" i="13" l="1"/>
  <c r="G285" i="11"/>
  <c r="H285" i="11"/>
  <c r="D286" i="11" l="1"/>
  <c r="F287" i="13"/>
  <c r="E287" i="13"/>
  <c r="G287" i="13" l="1"/>
  <c r="H287" i="13"/>
  <c r="F286" i="11"/>
  <c r="E286" i="11"/>
  <c r="G286" i="11" l="1"/>
  <c r="H286" i="11"/>
  <c r="D288" i="13"/>
  <c r="D287" i="11" l="1"/>
  <c r="F288" i="13"/>
  <c r="E288" i="13"/>
  <c r="G288" i="13" l="1"/>
  <c r="H288" i="13"/>
  <c r="F287" i="11"/>
  <c r="E287" i="11"/>
  <c r="G287" i="11" l="1"/>
  <c r="H287" i="11"/>
  <c r="D289" i="13"/>
  <c r="F289" i="13" l="1"/>
  <c r="E289" i="13"/>
  <c r="D288" i="11"/>
  <c r="F288" i="11" l="1"/>
  <c r="E288" i="11"/>
  <c r="G289" i="13"/>
  <c r="H289" i="13"/>
  <c r="G288" i="11" l="1"/>
  <c r="H288" i="11"/>
  <c r="D290" i="13"/>
  <c r="F290" i="13" l="1"/>
  <c r="E290" i="13"/>
  <c r="D289" i="11"/>
  <c r="F289" i="11" l="1"/>
  <c r="E289" i="11"/>
  <c r="G290" i="13"/>
  <c r="H290" i="13"/>
  <c r="D291" i="13" l="1"/>
  <c r="G289" i="11"/>
  <c r="H289" i="11"/>
  <c r="D290" i="11" l="1"/>
  <c r="F291" i="13"/>
  <c r="E291" i="13"/>
  <c r="G291" i="13" l="1"/>
  <c r="H291" i="13"/>
  <c r="F290" i="11"/>
  <c r="E290" i="11"/>
  <c r="D292" i="13" l="1"/>
  <c r="G290" i="11"/>
  <c r="H290" i="11"/>
  <c r="D291" i="11" l="1"/>
  <c r="F292" i="13"/>
  <c r="E292" i="13"/>
  <c r="G292" i="13" l="1"/>
  <c r="H292" i="13"/>
  <c r="F291" i="11"/>
  <c r="E291" i="11"/>
  <c r="G291" i="11" l="1"/>
  <c r="H291" i="11"/>
  <c r="D293" i="13"/>
  <c r="F293" i="13" l="1"/>
  <c r="E293" i="13"/>
  <c r="D292" i="11"/>
  <c r="F292" i="11" l="1"/>
  <c r="E292" i="11"/>
  <c r="G293" i="13"/>
  <c r="H293" i="13"/>
  <c r="G292" i="11" l="1"/>
  <c r="H292" i="11"/>
  <c r="D294" i="13"/>
  <c r="F294" i="13" l="1"/>
  <c r="E294" i="13"/>
  <c r="D293" i="11"/>
  <c r="F293" i="11" l="1"/>
  <c r="E293" i="11"/>
  <c r="G294" i="13"/>
  <c r="H294" i="13"/>
  <c r="G293" i="11" l="1"/>
  <c r="H293" i="11"/>
  <c r="D295" i="13"/>
  <c r="F295" i="13" l="1"/>
  <c r="E295" i="13"/>
  <c r="D294" i="11"/>
  <c r="F294" i="11" l="1"/>
  <c r="E294" i="11"/>
  <c r="G295" i="13"/>
  <c r="H295" i="13"/>
  <c r="D296" i="13" l="1"/>
  <c r="G294" i="11"/>
  <c r="H294" i="11"/>
  <c r="D295" i="11" l="1"/>
  <c r="F296" i="13"/>
  <c r="E296" i="13"/>
  <c r="G296" i="13" l="1"/>
  <c r="H296" i="13"/>
  <c r="F295" i="11"/>
  <c r="E295" i="11"/>
  <c r="G295" i="11" l="1"/>
  <c r="H295" i="11"/>
  <c r="D297" i="13"/>
  <c r="F297" i="13" l="1"/>
  <c r="E297" i="13"/>
  <c r="D296" i="11"/>
  <c r="F296" i="11" l="1"/>
  <c r="E296" i="11"/>
  <c r="G297" i="13"/>
  <c r="H297" i="13"/>
  <c r="D298" i="13" l="1"/>
  <c r="G296" i="11"/>
  <c r="H296" i="11"/>
  <c r="D297" i="11" l="1"/>
  <c r="F298" i="13"/>
  <c r="E298" i="13"/>
  <c r="G298" i="13" l="1"/>
  <c r="H298" i="13"/>
  <c r="F297" i="11"/>
  <c r="E297" i="11"/>
  <c r="G297" i="11" l="1"/>
  <c r="H297" i="11"/>
  <c r="D299" i="13"/>
  <c r="F299" i="13" l="1"/>
  <c r="E299" i="13"/>
  <c r="D298" i="11"/>
  <c r="F298" i="11" l="1"/>
  <c r="E298" i="11"/>
  <c r="G299" i="13"/>
  <c r="H299" i="13"/>
  <c r="D300" i="13" l="1"/>
  <c r="G298" i="11"/>
  <c r="H298" i="11"/>
  <c r="D299" i="11" l="1"/>
  <c r="F300" i="13"/>
  <c r="E300" i="13"/>
  <c r="G300" i="13" l="1"/>
  <c r="H300" i="13"/>
  <c r="F299" i="11"/>
  <c r="E299" i="11"/>
  <c r="G299" i="11" l="1"/>
  <c r="H299" i="11"/>
  <c r="D301" i="13"/>
  <c r="D300" i="11" l="1"/>
  <c r="F301" i="13"/>
  <c r="E301" i="13"/>
  <c r="G301" i="13" l="1"/>
  <c r="H301" i="13"/>
  <c r="F300" i="11"/>
  <c r="E300" i="11"/>
  <c r="G300" i="11" l="1"/>
  <c r="H300" i="11"/>
  <c r="D302" i="13"/>
  <c r="F302" i="13" l="1"/>
  <c r="E302" i="13"/>
  <c r="D301" i="11"/>
  <c r="F301" i="11" l="1"/>
  <c r="E301" i="11"/>
  <c r="G302" i="13"/>
  <c r="H302" i="13"/>
  <c r="D303" i="13" l="1"/>
  <c r="G301" i="11"/>
  <c r="H301" i="11"/>
  <c r="D302" i="11" l="1"/>
  <c r="F303" i="13"/>
  <c r="E303" i="13"/>
  <c r="G303" i="13" l="1"/>
  <c r="H303" i="13"/>
  <c r="F302" i="11"/>
  <c r="E302" i="11"/>
  <c r="G302" i="11" l="1"/>
  <c r="H302" i="11"/>
  <c r="D304" i="13"/>
  <c r="F304" i="13" l="1"/>
  <c r="E304" i="13"/>
  <c r="D303" i="11"/>
  <c r="F303" i="11" l="1"/>
  <c r="E303" i="11"/>
  <c r="G304" i="13"/>
  <c r="H304" i="13"/>
  <c r="D305" i="13" l="1"/>
  <c r="G303" i="11"/>
  <c r="H303" i="11"/>
  <c r="F305" i="13" l="1"/>
  <c r="E305" i="13"/>
  <c r="D304" i="11"/>
  <c r="F304" i="11" l="1"/>
  <c r="E304" i="11"/>
  <c r="G305" i="13"/>
  <c r="H305" i="13"/>
  <c r="G304" i="11" l="1"/>
  <c r="H304" i="11"/>
  <c r="D306" i="13"/>
  <c r="F306" i="13" l="1"/>
  <c r="E306" i="13"/>
  <c r="D305" i="11"/>
  <c r="F305" i="11" l="1"/>
  <c r="E305" i="11"/>
  <c r="G306" i="13"/>
  <c r="H306" i="13"/>
  <c r="D307" i="13" l="1"/>
  <c r="G305" i="11"/>
  <c r="H305" i="11"/>
  <c r="D306" i="11" l="1"/>
  <c r="F307" i="13"/>
  <c r="E307" i="13"/>
  <c r="G307" i="13" l="1"/>
  <c r="H307" i="13"/>
  <c r="F306" i="11"/>
  <c r="E306" i="11"/>
  <c r="G306" i="11" l="1"/>
  <c r="H306" i="11"/>
  <c r="D308" i="13"/>
  <c r="F308" i="13" l="1"/>
  <c r="E308" i="13"/>
  <c r="D307" i="11"/>
  <c r="G308" i="13" l="1"/>
  <c r="H308" i="13"/>
  <c r="F307" i="11"/>
  <c r="E307" i="11"/>
  <c r="G307" i="11" l="1"/>
  <c r="H307" i="11"/>
  <c r="D309" i="13"/>
  <c r="F309" i="13" l="1"/>
  <c r="E309" i="13"/>
  <c r="D308" i="11"/>
  <c r="F308" i="11" l="1"/>
  <c r="E308" i="11"/>
  <c r="G309" i="13"/>
  <c r="H309" i="13"/>
  <c r="D310" i="13" l="1"/>
  <c r="G308" i="11"/>
  <c r="H308" i="11"/>
  <c r="D309" i="11" l="1"/>
  <c r="F310" i="13"/>
  <c r="E310" i="13"/>
  <c r="G310" i="13" l="1"/>
  <c r="H310" i="13"/>
  <c r="F309" i="11"/>
  <c r="E309" i="11"/>
  <c r="G309" i="11" l="1"/>
  <c r="H309" i="11"/>
  <c r="D311" i="13"/>
  <c r="D310" i="11" l="1"/>
  <c r="F311" i="13"/>
  <c r="E311" i="13"/>
  <c r="G311" i="13" l="1"/>
  <c r="H311" i="13"/>
  <c r="F310" i="11"/>
  <c r="E310" i="11"/>
  <c r="G310" i="11" l="1"/>
  <c r="H310" i="11"/>
  <c r="D312" i="13"/>
  <c r="F312" i="13" l="1"/>
  <c r="E312" i="13"/>
  <c r="D311" i="11"/>
  <c r="F311" i="11" l="1"/>
  <c r="E311" i="11"/>
  <c r="G312" i="13"/>
  <c r="H312" i="13"/>
  <c r="D313" i="13" l="1"/>
  <c r="G311" i="11"/>
  <c r="H311" i="11"/>
  <c r="D312" i="11" l="1"/>
  <c r="F313" i="13"/>
  <c r="E313" i="13"/>
  <c r="F312" i="11" l="1"/>
  <c r="E312" i="11"/>
  <c r="G313" i="13"/>
  <c r="H313" i="13"/>
  <c r="D314" i="13" l="1"/>
  <c r="G312" i="11"/>
  <c r="H312" i="11"/>
  <c r="D313" i="11" l="1"/>
  <c r="F314" i="13"/>
  <c r="E314" i="13"/>
  <c r="G314" i="13" l="1"/>
  <c r="H314" i="13"/>
  <c r="F313" i="11"/>
  <c r="E313" i="11"/>
  <c r="G313" i="11" l="1"/>
  <c r="H313" i="11"/>
  <c r="D315" i="13"/>
  <c r="F315" i="13" l="1"/>
  <c r="E315" i="13"/>
  <c r="D314" i="11"/>
  <c r="F314" i="11" l="1"/>
  <c r="E314" i="11"/>
  <c r="G315" i="13"/>
  <c r="H315" i="13"/>
  <c r="D316" i="13" l="1"/>
  <c r="G314" i="11"/>
  <c r="H314" i="11"/>
  <c r="D315" i="11" l="1"/>
  <c r="F316" i="13"/>
  <c r="E316" i="13"/>
  <c r="G316" i="13" l="1"/>
  <c r="H316" i="13"/>
  <c r="F315" i="11"/>
  <c r="E315" i="11"/>
  <c r="G315" i="11" l="1"/>
  <c r="H315" i="11"/>
  <c r="D317" i="13"/>
  <c r="F317" i="13" l="1"/>
  <c r="E317" i="13"/>
  <c r="D8" i="13"/>
  <c r="D316" i="11"/>
  <c r="F316" i="11" l="1"/>
  <c r="E316" i="11"/>
  <c r="G317" i="13"/>
  <c r="H317" i="13"/>
  <c r="G316" i="11" l="1"/>
  <c r="H316" i="11"/>
  <c r="D317" i="11" l="1"/>
  <c r="F317" i="11" l="1"/>
  <c r="E317" i="11"/>
  <c r="G317" i="11" l="1"/>
  <c r="H317" i="11"/>
  <c r="D318" i="11" l="1"/>
  <c r="F318" i="11" l="1"/>
  <c r="E318" i="11"/>
  <c r="G318" i="11" l="1"/>
  <c r="H318" i="11"/>
  <c r="D319" i="11" l="1"/>
  <c r="F319" i="11" l="1"/>
  <c r="E319" i="11"/>
  <c r="G319" i="11" l="1"/>
  <c r="H319" i="11"/>
  <c r="D320" i="11" l="1"/>
  <c r="F320" i="11" l="1"/>
  <c r="E320" i="11"/>
  <c r="G320" i="11" l="1"/>
  <c r="H320" i="11"/>
  <c r="D321" i="11" l="1"/>
  <c r="F321" i="11" l="1"/>
  <c r="E321" i="11"/>
  <c r="G321" i="11" l="1"/>
  <c r="H321" i="11"/>
  <c r="D322" i="11" l="1"/>
  <c r="F322" i="11" l="1"/>
  <c r="E322" i="11"/>
  <c r="G322" i="11" l="1"/>
  <c r="H322" i="11"/>
  <c r="D323" i="11" l="1"/>
  <c r="F323" i="11" l="1"/>
  <c r="E323" i="11"/>
  <c r="G323" i="11" l="1"/>
  <c r="H323" i="11"/>
  <c r="D324" i="11" l="1"/>
  <c r="F324" i="11" l="1"/>
  <c r="E324" i="11"/>
  <c r="G324" i="11" l="1"/>
  <c r="H324" i="11"/>
  <c r="D325" i="11" l="1"/>
  <c r="F325" i="11" l="1"/>
  <c r="E325" i="11"/>
  <c r="G325" i="11" l="1"/>
  <c r="H325" i="11"/>
  <c r="D326" i="11" l="1"/>
  <c r="F326" i="11" l="1"/>
  <c r="E326" i="11"/>
  <c r="G326" i="11" l="1"/>
  <c r="H326" i="11"/>
  <c r="D327" i="11" l="1"/>
  <c r="F327" i="11" l="1"/>
  <c r="E327" i="11"/>
  <c r="G327" i="11" l="1"/>
  <c r="H327" i="11"/>
  <c r="D328" i="11" l="1"/>
  <c r="F328" i="11" l="1"/>
  <c r="E328" i="11"/>
  <c r="G328" i="11" l="1"/>
  <c r="H328" i="11"/>
  <c r="D329" i="11" l="1"/>
  <c r="F329" i="11" l="1"/>
  <c r="E329" i="11"/>
  <c r="G329" i="11" l="1"/>
  <c r="H329" i="11"/>
  <c r="D330" i="11" l="1"/>
  <c r="F330" i="11" l="1"/>
  <c r="E330" i="11"/>
  <c r="G330" i="11" l="1"/>
  <c r="H330" i="11"/>
  <c r="D331" i="11" l="1"/>
  <c r="F331" i="11" l="1"/>
  <c r="E331" i="11"/>
  <c r="G331" i="11" l="1"/>
  <c r="H331" i="11"/>
  <c r="D332" i="11" l="1"/>
  <c r="F332" i="11" l="1"/>
  <c r="E332" i="11"/>
  <c r="G332" i="11" l="1"/>
  <c r="H332" i="11"/>
  <c r="D333" i="11" l="1"/>
  <c r="F333" i="11" l="1"/>
  <c r="E333" i="11"/>
  <c r="G333" i="11" l="1"/>
  <c r="H333" i="11"/>
  <c r="D334" i="11" l="1"/>
  <c r="F334" i="11" l="1"/>
  <c r="E334" i="11"/>
  <c r="G334" i="11" l="1"/>
  <c r="H334" i="11"/>
  <c r="D335" i="11" l="1"/>
  <c r="F335" i="11" l="1"/>
  <c r="E335" i="11"/>
  <c r="G335" i="11" l="1"/>
  <c r="H335" i="11"/>
  <c r="D336" i="11" l="1"/>
  <c r="F336" i="11" l="1"/>
  <c r="E336" i="11"/>
  <c r="G336" i="11" l="1"/>
  <c r="H336" i="11"/>
  <c r="D337" i="11" l="1"/>
  <c r="F337" i="11" l="1"/>
  <c r="E337" i="11"/>
  <c r="G337" i="11" l="1"/>
  <c r="H337" i="11"/>
  <c r="D338" i="11" l="1"/>
  <c r="F338" i="11" l="1"/>
  <c r="E338" i="11"/>
  <c r="G338" i="11" l="1"/>
  <c r="H338" i="11"/>
  <c r="D339" i="11" l="1"/>
  <c r="F339" i="11" l="1"/>
  <c r="E339" i="11"/>
  <c r="G339" i="11" l="1"/>
  <c r="H339" i="11"/>
  <c r="D340" i="11" l="1"/>
  <c r="F340" i="11" l="1"/>
  <c r="E340" i="11"/>
  <c r="G340" i="11" l="1"/>
  <c r="H340" i="11"/>
  <c r="D341" i="11" l="1"/>
  <c r="F341" i="11" l="1"/>
  <c r="E341" i="11"/>
  <c r="G341" i="11" l="1"/>
  <c r="H341" i="11"/>
  <c r="D342" i="11" l="1"/>
  <c r="F342" i="11" l="1"/>
  <c r="E342" i="11"/>
  <c r="G342" i="11" l="1"/>
  <c r="H342" i="11"/>
  <c r="D343" i="11" l="1"/>
  <c r="F343" i="11" l="1"/>
  <c r="E343" i="11"/>
  <c r="G343" i="11" l="1"/>
  <c r="H343" i="11"/>
  <c r="D344" i="11" l="1"/>
  <c r="F344" i="11" l="1"/>
  <c r="E344" i="11"/>
  <c r="G344" i="11" l="1"/>
  <c r="H344" i="11"/>
  <c r="D345" i="11" l="1"/>
  <c r="F345" i="11" l="1"/>
  <c r="E345" i="11"/>
  <c r="G345" i="11" l="1"/>
  <c r="H345" i="11"/>
  <c r="D346" i="11" l="1"/>
  <c r="F346" i="11" l="1"/>
  <c r="E346" i="11"/>
  <c r="G346" i="11" l="1"/>
  <c r="H346" i="11"/>
  <c r="D347" i="11" l="1"/>
  <c r="F347" i="11" l="1"/>
  <c r="E347" i="11"/>
  <c r="G347" i="11" l="1"/>
  <c r="H347" i="11"/>
  <c r="D348" i="11" l="1"/>
  <c r="F348" i="11" l="1"/>
  <c r="E348" i="11"/>
  <c r="G348" i="11" l="1"/>
  <c r="H348" i="11"/>
  <c r="D349" i="11" l="1"/>
  <c r="F349" i="11" l="1"/>
  <c r="E349" i="11"/>
  <c r="G349" i="11" l="1"/>
  <c r="H349" i="11"/>
  <c r="D350" i="11" l="1"/>
  <c r="F350" i="11" l="1"/>
  <c r="E350" i="11"/>
  <c r="G350" i="11" l="1"/>
  <c r="H350" i="11"/>
  <c r="D351" i="11" l="1"/>
  <c r="F351" i="11" l="1"/>
  <c r="E351" i="11"/>
  <c r="G351" i="11" l="1"/>
  <c r="H351" i="11"/>
  <c r="D352" i="11" l="1"/>
  <c r="F352" i="11" l="1"/>
  <c r="E352" i="11"/>
  <c r="G352" i="11" l="1"/>
  <c r="H352" i="11"/>
  <c r="D353" i="11" l="1"/>
  <c r="F353" i="11" l="1"/>
  <c r="E353" i="11"/>
  <c r="G353" i="11" l="1"/>
  <c r="H353" i="11"/>
  <c r="D354" i="11" l="1"/>
  <c r="F354" i="11" l="1"/>
  <c r="E354" i="11"/>
  <c r="G354" i="11" l="1"/>
  <c r="H354" i="11"/>
  <c r="D355" i="11" l="1"/>
  <c r="F355" i="11" l="1"/>
  <c r="E355" i="11"/>
  <c r="G355" i="11" l="1"/>
  <c r="H355" i="11"/>
  <c r="D356" i="11" l="1"/>
  <c r="F356" i="11" l="1"/>
  <c r="E356" i="11"/>
  <c r="G356" i="11" l="1"/>
  <c r="H356" i="11"/>
  <c r="D357" i="11" l="1"/>
  <c r="F357" i="11" l="1"/>
  <c r="E357" i="11"/>
  <c r="G357" i="11" l="1"/>
  <c r="H357" i="11"/>
  <c r="D358" i="11" l="1"/>
  <c r="F358" i="11" l="1"/>
  <c r="E358" i="11"/>
  <c r="G358" i="11" l="1"/>
  <c r="H358" i="11"/>
  <c r="D359" i="11" l="1"/>
  <c r="F359" i="11" l="1"/>
  <c r="E359" i="11"/>
  <c r="G359" i="11" l="1"/>
  <c r="H359" i="11"/>
  <c r="D360" i="11" l="1"/>
  <c r="F360" i="11" l="1"/>
  <c r="E360" i="11"/>
  <c r="G360" i="11" l="1"/>
  <c r="H360" i="11"/>
  <c r="D361" i="11" l="1"/>
  <c r="F361" i="11" l="1"/>
  <c r="E361" i="11"/>
  <c r="G361" i="11" l="1"/>
  <c r="H361" i="11"/>
  <c r="D362" i="11" l="1"/>
  <c r="F362" i="11" l="1"/>
  <c r="E362" i="11"/>
  <c r="G362" i="11" l="1"/>
  <c r="H362" i="11"/>
  <c r="D363" i="11" l="1"/>
  <c r="F363" i="11" l="1"/>
  <c r="E363" i="11"/>
  <c r="G363" i="11" l="1"/>
  <c r="H363" i="11"/>
  <c r="D364" i="11" l="1"/>
  <c r="F364" i="11" l="1"/>
  <c r="E364" i="11"/>
  <c r="G364" i="11" l="1"/>
  <c r="H364" i="11"/>
  <c r="D365" i="11" l="1"/>
  <c r="F365" i="11" l="1"/>
  <c r="E365" i="11"/>
  <c r="G365" i="11" l="1"/>
  <c r="H365" i="11"/>
  <c r="D366" i="11" l="1"/>
  <c r="F366" i="11" l="1"/>
  <c r="E366" i="11"/>
  <c r="G366" i="11" l="1"/>
  <c r="H366" i="11"/>
  <c r="D367" i="11" l="1"/>
  <c r="F367" i="11" l="1"/>
  <c r="E367" i="11"/>
  <c r="G367" i="11" l="1"/>
  <c r="H367" i="11"/>
  <c r="D368" i="11" l="1"/>
  <c r="F368" i="11" l="1"/>
  <c r="E368" i="11"/>
  <c r="G368" i="11" l="1"/>
  <c r="H368" i="11"/>
  <c r="D369" i="11" l="1"/>
  <c r="F369" i="11" l="1"/>
  <c r="E369" i="11"/>
  <c r="G369" i="11" l="1"/>
  <c r="H369" i="11"/>
  <c r="D370" i="11" l="1"/>
  <c r="F370" i="11" l="1"/>
  <c r="E370" i="11"/>
  <c r="G370" i="11" l="1"/>
  <c r="H370" i="11"/>
  <c r="D371" i="11" l="1"/>
  <c r="F371" i="11" l="1"/>
  <c r="E371" i="11"/>
  <c r="G371" i="11" l="1"/>
  <c r="H371" i="11"/>
  <c r="D372" i="11" l="1"/>
  <c r="F372" i="11" l="1"/>
  <c r="E372" i="11"/>
  <c r="G372" i="11" l="1"/>
  <c r="H372" i="11"/>
  <c r="D373" i="11" l="1"/>
  <c r="F373" i="11" l="1"/>
  <c r="E373" i="11"/>
  <c r="G373" i="11" l="1"/>
  <c r="H373" i="11"/>
  <c r="D374" i="11" l="1"/>
  <c r="F374" i="11" l="1"/>
  <c r="E374" i="11"/>
  <c r="G374" i="11" l="1"/>
  <c r="H374" i="11"/>
  <c r="D375" i="11" l="1"/>
  <c r="F375" i="11" l="1"/>
  <c r="E375" i="11"/>
  <c r="G375" i="11" l="1"/>
  <c r="H375" i="11"/>
  <c r="D376" i="11" l="1"/>
  <c r="F376" i="11" l="1"/>
  <c r="E376" i="11"/>
  <c r="G376" i="11" l="1"/>
  <c r="H376" i="11"/>
  <c r="D377" i="11" l="1"/>
  <c r="F377" i="11" l="1"/>
  <c r="D8" i="11"/>
  <c r="E377" i="11"/>
  <c r="G377" i="11" l="1"/>
  <c r="H377"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Jacob Johnson</author>
    <author>Michael Blank</author>
  </authors>
  <commentList>
    <comment ref="C14" authorId="0" shapeId="0" xr:uid="{145A7EB0-1A25-8243-BA66-CE2A59E13A16}">
      <text>
        <r>
          <rPr>
            <sz val="10"/>
            <color rgb="FF000000"/>
            <rFont val="Tahoma"/>
            <family val="2"/>
          </rPr>
          <t xml:space="preserve">When set to 'ON', cell D14 will be populated by the amount set in the Repairs tab. </t>
        </r>
      </text>
    </comment>
    <comment ref="AI26" authorId="1" shapeId="0" xr:uid="{00000000-0006-0000-0200-000001000000}">
      <text>
        <r>
          <rPr>
            <sz val="8"/>
            <color rgb="FF000000"/>
            <rFont val="Tahoma"/>
            <family val="2"/>
          </rPr>
          <t xml:space="preserve">Landlord pays water.
</t>
        </r>
        <r>
          <rPr>
            <sz val="8"/>
            <color rgb="FF000000"/>
            <rFont val="Tahoma"/>
            <family val="2"/>
          </rPr>
          <t>Tenants pay electric and gas.</t>
        </r>
      </text>
    </comment>
    <comment ref="AJ26" authorId="1" shapeId="0" xr:uid="{00000000-0006-0000-0200-000002000000}">
      <text>
        <r>
          <rPr>
            <sz val="8"/>
            <color indexed="81"/>
            <rFont val="Tahoma"/>
            <family val="2"/>
          </rPr>
          <t>Landlord pays water  &amp; Gas. Tenants pay electric.</t>
        </r>
      </text>
    </comment>
    <comment ref="AD30" authorId="1" shapeId="0" xr:uid="{00000000-0006-0000-0200-000003000000}">
      <text>
        <r>
          <rPr>
            <b/>
            <sz val="8"/>
            <color indexed="81"/>
            <rFont val="Tahoma"/>
            <family val="2"/>
          </rPr>
          <t>Michael Blank:</t>
        </r>
        <r>
          <rPr>
            <sz val="8"/>
            <color indexed="81"/>
            <rFont val="Tahoma"/>
            <family val="2"/>
          </rPr>
          <t xml:space="preserve">
Pest Control is $25 per unit. Also consider landscaping, janitorial, snow removal. Estimate $200 per unit all 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Blank</author>
  </authors>
  <commentList>
    <comment ref="D33" authorId="0" shapeId="0" xr:uid="{00000000-0006-0000-0500-000001000000}">
      <text>
        <r>
          <rPr>
            <sz val="8"/>
            <color rgb="FF000000"/>
            <rFont val="Tahoma"/>
            <family val="2"/>
          </rPr>
          <t xml:space="preserve">By Default, the "Total Expenses" come from the Summary tab.
</t>
        </r>
        <r>
          <rPr>
            <sz val="8"/>
            <color rgb="FF000000"/>
            <rFont val="Tahoma"/>
            <family val="2"/>
          </rPr>
          <t xml:space="preserve">
</t>
        </r>
        <r>
          <rPr>
            <sz val="8"/>
            <color rgb="FF000000"/>
            <rFont val="Tahoma"/>
            <family val="2"/>
          </rPr>
          <t xml:space="preserve">You can override the expenses in this P&amp;L in two ways:
</t>
        </r>
        <r>
          <rPr>
            <sz val="8"/>
            <color rgb="FF000000"/>
            <rFont val="Tahoma"/>
            <family val="2"/>
          </rPr>
          <t xml:space="preserve">(1) By entering numbers into this P&amp;L directly; or
</t>
        </r>
        <r>
          <rPr>
            <sz val="8"/>
            <color rgb="FF000000"/>
            <rFont val="Tahoma"/>
            <family val="2"/>
          </rPr>
          <t>(2) By entering expenses in the tab "Scenarios", column "Projected".</t>
        </r>
      </text>
    </comment>
    <comment ref="F33" authorId="0" shapeId="0" xr:uid="{00000000-0006-0000-0500-000002000000}">
      <text>
        <r>
          <rPr>
            <sz val="8"/>
            <color indexed="81"/>
            <rFont val="Tahoma"/>
            <family val="2"/>
          </rPr>
          <t>By Default, the "Total Expenses" come from the Summary tab.
You can override the expenses in this P&amp;L in two ways:
(1) By entering numbers into this P&amp;L directly; or
(2) By entering expenses in the tab "Scenarios", column "Projected".</t>
        </r>
      </text>
    </comment>
    <comment ref="H33" authorId="0" shapeId="0" xr:uid="{00000000-0006-0000-0500-000003000000}">
      <text>
        <r>
          <rPr>
            <sz val="8"/>
            <color indexed="81"/>
            <rFont val="Tahoma"/>
            <family val="2"/>
          </rPr>
          <t>By Default, the "Total Expenses" come from the Summary tab.
You can override the expenses in this P&amp;L in two ways:
(1) By entering numbers into this P&amp;L directly; or
(2) By entering expenses in the tab "Scenarios", column "Projected".</t>
        </r>
      </text>
    </comment>
    <comment ref="J33" authorId="0" shapeId="0" xr:uid="{00000000-0006-0000-0500-000004000000}">
      <text>
        <r>
          <rPr>
            <sz val="8"/>
            <color indexed="81"/>
            <rFont val="Tahoma"/>
            <family val="2"/>
          </rPr>
          <t>By Default, the "Total Expenses" come from the Summary tab.
You can override the expenses in this P&amp;L in two ways:
(1) By entering numbers into this P&amp;L directly; or
(2) By entering expenses in the tab "Scenarios", column "Projected".</t>
        </r>
      </text>
    </comment>
    <comment ref="L33" authorId="0" shapeId="0" xr:uid="{00000000-0006-0000-0500-000005000000}">
      <text>
        <r>
          <rPr>
            <sz val="8"/>
            <color indexed="81"/>
            <rFont val="Tahoma"/>
            <family val="2"/>
          </rPr>
          <t>By Default, the "Total Expenses" come from the Summary tab.
You can override the expenses in this P&amp;L in two ways:
(1) By entering numbers into this P&amp;L directly; or
(2) By entering expenses in the tab "Scenarios", column "Projected".</t>
        </r>
      </text>
    </comment>
    <comment ref="N33" authorId="0" shapeId="0" xr:uid="{00000000-0006-0000-0500-000006000000}">
      <text>
        <r>
          <rPr>
            <sz val="8"/>
            <color indexed="81"/>
            <rFont val="Tahoma"/>
            <family val="2"/>
          </rPr>
          <t>By Default, the "Total Expenses" come from the Summary tab.
You can override the expenses in this P&amp;L in two ways:
(1) By entering numbers into this P&amp;L directly; or
(2) By entering expenses in the tab "Scenarios", column "Projected".</t>
        </r>
      </text>
    </comment>
    <comment ref="P33" authorId="0" shapeId="0" xr:uid="{00000000-0006-0000-0500-000007000000}">
      <text>
        <r>
          <rPr>
            <sz val="8"/>
            <color indexed="81"/>
            <rFont val="Tahoma"/>
            <family val="2"/>
          </rPr>
          <t>By Default, the "Total Expenses" come from the Summary tab.
You can override the expenses in this P&amp;L in two ways:
(1) By entering numbers into this P&amp;L directly; or
(2) By entering expenses in the tab "Scenarios", column "Projected".</t>
        </r>
      </text>
    </comment>
    <comment ref="R33" authorId="0" shapeId="0" xr:uid="{00000000-0006-0000-0500-000008000000}">
      <text>
        <r>
          <rPr>
            <sz val="8"/>
            <color indexed="81"/>
            <rFont val="Tahoma"/>
            <family val="2"/>
          </rPr>
          <t>By Default, the "Total Expenses" come from the Summary tab.
You can override the expenses in this P&amp;L in two ways:
(1) By entering numbers into this P&amp;L directly; or
(2) By entering expenses in the tab "Scenarios", column "Projected".</t>
        </r>
      </text>
    </comment>
    <comment ref="T33" authorId="0" shapeId="0" xr:uid="{00000000-0006-0000-0500-000009000000}">
      <text>
        <r>
          <rPr>
            <sz val="8"/>
            <color indexed="81"/>
            <rFont val="Tahoma"/>
            <family val="2"/>
          </rPr>
          <t>By Default, the "Total Expenses" come from the Summary tab.
You can override the expenses in this P&amp;L in two ways:
(1) By entering numbers into this P&amp;L directly; or
(2) By entering expenses in the tab "Scenarios", column "Projected".</t>
        </r>
      </text>
    </comment>
    <comment ref="V33" authorId="0" shapeId="0" xr:uid="{00000000-0006-0000-0500-00000A000000}">
      <text>
        <r>
          <rPr>
            <sz val="8"/>
            <color indexed="81"/>
            <rFont val="Tahoma"/>
            <family val="2"/>
          </rPr>
          <t>By Default, the "Total Expenses" come from the Summary tab.
You can override the expenses in this P&amp;L in two ways:
(1) By entering numbers into this P&amp;L directly; or
(2) By entering expenses in the tab "Scenarios", column "Projected".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Jacob Johnson</author>
  </authors>
  <commentList>
    <comment ref="D17" authorId="0" shapeId="0" xr:uid="{5B7817CD-CF56-A04C-B3DC-F40C088E65B8}">
      <text>
        <r>
          <rPr>
            <b/>
            <sz val="10"/>
            <color rgb="FF000000"/>
            <rFont val="Tahoma"/>
            <family val="2"/>
          </rPr>
          <t>Enter as a negative number</t>
        </r>
      </text>
    </comment>
    <comment ref="D19" authorId="0" shapeId="0" xr:uid="{CED596FE-E850-5C4D-BD4C-9EE74E787520}">
      <text>
        <r>
          <rPr>
            <b/>
            <sz val="10"/>
            <color rgb="FF000000"/>
            <rFont val="Tahoma"/>
            <family val="2"/>
          </rPr>
          <t>Proceeds must be 0 or greater to proceed with refinance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Michael Blank</author>
  </authors>
  <commentList>
    <comment ref="C5" authorId="0" shapeId="0" xr:uid="{00000000-0006-0000-0100-000001000000}">
      <text>
        <r>
          <rPr>
            <b/>
            <sz val="9"/>
            <color indexed="81"/>
            <rFont val="Tahoma"/>
            <family val="2"/>
          </rPr>
          <t>Michael Blank:</t>
        </r>
        <r>
          <rPr>
            <sz val="9"/>
            <color indexed="81"/>
            <rFont val="Tahoma"/>
            <family val="2"/>
          </rPr>
          <t xml:space="preserve">
If refinance, use the IRR here.</t>
        </r>
      </text>
    </comment>
  </commentList>
</comments>
</file>

<file path=xl/sharedStrings.xml><?xml version="1.0" encoding="utf-8"?>
<sst xmlns="http://schemas.openxmlformats.org/spreadsheetml/2006/main" count="1095" uniqueCount="680">
  <si>
    <t>End of Year</t>
  </si>
  <si>
    <t>Month</t>
  </si>
  <si>
    <t>Simple Interest Loan Amortization Table - 1st Mortgage</t>
  </si>
  <si>
    <t>Monthly Payment</t>
  </si>
  <si>
    <t>Number of Years</t>
  </si>
  <si>
    <t>Simple Interest Loan Amortization Table - 2nd Mortgage</t>
  </si>
  <si>
    <t>Year 1</t>
  </si>
  <si>
    <t>Year 2</t>
  </si>
  <si>
    <t>Principal</t>
  </si>
  <si>
    <t>IRR</t>
  </si>
  <si>
    <t>Year</t>
  </si>
  <si>
    <t>Net Operating Income</t>
  </si>
  <si>
    <t>Purchase Price</t>
  </si>
  <si>
    <t>Interest Rate</t>
  </si>
  <si>
    <t>Annual Debt Service</t>
  </si>
  <si>
    <t>Debt Service</t>
  </si>
  <si>
    <t>Down Payment</t>
  </si>
  <si>
    <t>Total Interest Paid</t>
  </si>
  <si>
    <t>Payment
Amount</t>
  </si>
  <si>
    <t>Interest</t>
  </si>
  <si>
    <t>Cumulative Interest</t>
  </si>
  <si>
    <t>Principal Paid</t>
  </si>
  <si>
    <t>Balance</t>
  </si>
  <si>
    <t># Units</t>
  </si>
  <si>
    <t>Cap Rate</t>
  </si>
  <si>
    <t>Other Income</t>
  </si>
  <si>
    <t>Real Estate Taxes</t>
  </si>
  <si>
    <t>Insurance</t>
  </si>
  <si>
    <t>Legal</t>
  </si>
  <si>
    <t>Management Fees</t>
  </si>
  <si>
    <t xml:space="preserve">Repairs and Maintenance </t>
  </si>
  <si>
    <t>Other</t>
  </si>
  <si>
    <t>Net Operating Income (NOI)</t>
  </si>
  <si>
    <t>Summary</t>
  </si>
  <si>
    <t>Cap Rate (NOI/Sales Price)</t>
  </si>
  <si>
    <t>Sales Price</t>
  </si>
  <si>
    <t>Price Per Unit</t>
  </si>
  <si>
    <t>General/Admin</t>
  </si>
  <si>
    <t>Payroll</t>
  </si>
  <si>
    <t>Less Loan Amount</t>
  </si>
  <si>
    <t>Survey</t>
  </si>
  <si>
    <t>Recording</t>
  </si>
  <si>
    <t>Total</t>
  </si>
  <si>
    <t>Contract Services</t>
  </si>
  <si>
    <t>Total Acquisition Cost</t>
  </si>
  <si>
    <t>Gross Potential Income</t>
  </si>
  <si>
    <t>Effective Gross Income</t>
  </si>
  <si>
    <t xml:space="preserve">  - Vacancy</t>
  </si>
  <si>
    <t>INCOME</t>
  </si>
  <si>
    <t>EXPENSES</t>
  </si>
  <si>
    <t>Total Expenses (Added)</t>
  </si>
  <si>
    <t>Total Debt Service</t>
  </si>
  <si>
    <t>Cash Flow available for Distribution</t>
  </si>
  <si>
    <t>Distributions from Cash Flow</t>
  </si>
  <si>
    <t>Member Contribution</t>
  </si>
  <si>
    <t>Total Expenses</t>
  </si>
  <si>
    <t>Deposit to Replacement Reserve</t>
  </si>
  <si>
    <t>Outstanding Loan Balance</t>
  </si>
  <si>
    <t>Cash Requirements at Closing / 
Members Capital</t>
  </si>
  <si>
    <t>Return of Member Capital</t>
  </si>
  <si>
    <t>Member Equity</t>
  </si>
  <si>
    <t>Manager Equity</t>
  </si>
  <si>
    <t>Preferred Return to Members</t>
  </si>
  <si>
    <t>Capital Transaction Fee to Mgr</t>
  </si>
  <si>
    <t>Total Equity</t>
  </si>
  <si>
    <t>Cash Flow Distribution</t>
  </si>
  <si>
    <t>Total Distributions to Members</t>
  </si>
  <si>
    <t>Summary of Projected Member Cash Flows and Returns</t>
  </si>
  <si>
    <t>FINANCIAL ASSUMPTIONS</t>
  </si>
  <si>
    <t>Total Closing and Other Costs</t>
  </si>
  <si>
    <t>Cash flow after debt service</t>
  </si>
  <si>
    <t>Member Cashflow</t>
  </si>
  <si>
    <t>Total Return in Investment</t>
  </si>
  <si>
    <t>Return %</t>
  </si>
  <si>
    <t>Return $</t>
  </si>
  <si>
    <t>Expenses</t>
  </si>
  <si>
    <t>Per Unit</t>
  </si>
  <si>
    <t>Summary of Combined Cash Flows and Returns</t>
  </si>
  <si>
    <t>Cash Flow After Debt Service</t>
  </si>
  <si>
    <t>KEY INDICATORS</t>
  </si>
  <si>
    <t>Debt Coverage Ratio</t>
  </si>
  <si>
    <t>PURCHASE</t>
  </si>
  <si>
    <t>Closing Costs</t>
  </si>
  <si>
    <t>Gross Scheduled Income</t>
  </si>
  <si>
    <t>- Vacancy</t>
  </si>
  <si>
    <t>= Effective Rental Income</t>
  </si>
  <si>
    <t>+ Other Income</t>
  </si>
  <si>
    <t>Annual Expense Escalator</t>
  </si>
  <si>
    <t>Asking Price</t>
  </si>
  <si>
    <t>Management Fee</t>
  </si>
  <si>
    <t>Electric</t>
  </si>
  <si>
    <t>Gas</t>
  </si>
  <si>
    <t>Gross Rent Multiplier</t>
  </si>
  <si>
    <t>Property Value</t>
  </si>
  <si>
    <t>Acquisition Fee</t>
  </si>
  <si>
    <t>Loan Balance</t>
  </si>
  <si>
    <t>Use of Capital</t>
  </si>
  <si>
    <t>Closing Costs (see below)</t>
  </si>
  <si>
    <t>Closing Costs and Reimbursable Expenses</t>
  </si>
  <si>
    <t>Lender Fees and 3rd Party Reports</t>
  </si>
  <si>
    <t>EDR (Environmental)</t>
  </si>
  <si>
    <t>Structural Inspection</t>
  </si>
  <si>
    <t>Bank Doc Prep Fee</t>
  </si>
  <si>
    <t>Total Lender Fees and Reports</t>
  </si>
  <si>
    <t>Title Processing Fee</t>
  </si>
  <si>
    <t>Title Search</t>
  </si>
  <si>
    <t>Total Closing Costs</t>
  </si>
  <si>
    <t>Beginning Balance</t>
  </si>
  <si>
    <t>Interest Paid</t>
  </si>
  <si>
    <t>Ending Balance</t>
  </si>
  <si>
    <t>TOTALS</t>
  </si>
  <si>
    <t>2nd Mortgage</t>
  </si>
  <si>
    <t>1st Mortgage</t>
  </si>
  <si>
    <t>INVESTOR RETURNS</t>
  </si>
  <si>
    <t>Loan Amount</t>
  </si>
  <si>
    <t>Principal Reduction</t>
  </si>
  <si>
    <t>Appreciation</t>
  </si>
  <si>
    <t>Legal Fees</t>
  </si>
  <si>
    <t>Trash Removal</t>
  </si>
  <si>
    <t>Water and Sewer</t>
  </si>
  <si>
    <t>Legal Fees (LLC, PPM)*</t>
  </si>
  <si>
    <t>Appraisal*</t>
  </si>
  <si>
    <t>Sales Cost</t>
  </si>
  <si>
    <t>Acquisition Costs</t>
  </si>
  <si>
    <t xml:space="preserve">The information herein is not guaranteed but believed to be accurate.    </t>
  </si>
  <si>
    <t>Legal Notices</t>
  </si>
  <si>
    <t>Executive Summary</t>
  </si>
  <si>
    <t>Side-by-Side Scenarios</t>
  </si>
  <si>
    <t>Total Expenses (Manual Override)</t>
  </si>
  <si>
    <t>General Rule of Thumb</t>
  </si>
  <si>
    <t xml:space="preserve">From Appraiser  </t>
  </si>
  <si>
    <t>Other Properties</t>
  </si>
  <si>
    <t>My Rule of Thumb</t>
  </si>
  <si>
    <t>Per Year</t>
  </si>
  <si>
    <t>Property 2</t>
  </si>
  <si>
    <t>Comment</t>
  </si>
  <si>
    <t>0.007 of sales price</t>
  </si>
  <si>
    <t>$400/unit</t>
  </si>
  <si>
    <t>$200 per unit</t>
  </si>
  <si>
    <t>5-10% of Gross Income</t>
  </si>
  <si>
    <t>$200 per unit per year</t>
  </si>
  <si>
    <t>10% of Gross Income</t>
  </si>
  <si>
    <t>Varies</t>
  </si>
  <si>
    <t>Replacement Reserves</t>
  </si>
  <si>
    <t>$150 per unit</t>
  </si>
  <si>
    <t>Appraised Value</t>
  </si>
  <si>
    <t>Re-Finance LTV</t>
  </si>
  <si>
    <t>Re-Finance Loan Amount</t>
  </si>
  <si>
    <t>- Re-Finance Costs</t>
  </si>
  <si>
    <t>- Repay Outstanding Loan Balance</t>
  </si>
  <si>
    <t>Cumulative Principal</t>
  </si>
  <si>
    <t>Exit Strategy</t>
  </si>
  <si>
    <t>Term / Amortization (Years)</t>
  </si>
  <si>
    <t>Cap Rate at Re-Finance</t>
  </si>
  <si>
    <t>1st Mortgage Re-Financed</t>
  </si>
  <si>
    <t>After Final Disposition</t>
  </si>
  <si>
    <t>Total Net Income</t>
  </si>
  <si>
    <t>Proceeds from Refinance or Sale</t>
  </si>
  <si>
    <t>Average Annual Return to Date</t>
  </si>
  <si>
    <t>Net Proceeds/Profits from Refinance or Sale</t>
  </si>
  <si>
    <t>Net Proceeds/Profit Paid to Members</t>
  </si>
  <si>
    <t>Net Proceeds/Profit Paid to Manager</t>
  </si>
  <si>
    <t>Net Proceeds/Profit from Sale</t>
  </si>
  <si>
    <t>Net Proceeds/Profit from Re-Finance</t>
  </si>
  <si>
    <t>Ending Capital Account Balance</t>
  </si>
  <si>
    <t>Capital Account Balance After Re-Fi</t>
  </si>
  <si>
    <t>Total Profits from Appreciation Paid to Members</t>
  </si>
  <si>
    <t>Beginning Member Capital Account Balance</t>
  </si>
  <si>
    <t>Ending Member Capital Account Balance</t>
  </si>
  <si>
    <t>TOTAL</t>
  </si>
  <si>
    <t>Summary of Total Projected Cash Flows and Returns</t>
  </si>
  <si>
    <t>Internal Rate of Return (IRR)</t>
  </si>
  <si>
    <t>Total Member Capital Needed to Close</t>
  </si>
  <si>
    <t xml:space="preserve">  - Concessions, Loss to Lease, Bad Debt</t>
  </si>
  <si>
    <t>- Concessions, Loss to Lease, Bad Debt</t>
  </si>
  <si>
    <t>Cash Flow to Members (Year 1)</t>
  </si>
  <si>
    <t>INCOME &amp; EXPENSES (Year 1)</t>
  </si>
  <si>
    <t>Rules of Thumb</t>
  </si>
  <si>
    <t>1. Marketing Package</t>
  </si>
  <si>
    <t>2. My Version</t>
  </si>
  <si>
    <t>3. Projected</t>
  </si>
  <si>
    <t>4. Offer</t>
  </si>
  <si>
    <t>Title Policy</t>
  </si>
  <si>
    <t>Transfer Taxes</t>
  </si>
  <si>
    <t>Lead Paint Inspection*</t>
  </si>
  <si>
    <t>Interest-Only (Months)</t>
  </si>
  <si>
    <t>Average Monthly Rent</t>
  </si>
  <si>
    <t>Year 3</t>
  </si>
  <si>
    <t>Year 4</t>
  </si>
  <si>
    <t>Year 5</t>
  </si>
  <si>
    <t>Year 6</t>
  </si>
  <si>
    <t>Year 7</t>
  </si>
  <si>
    <t>Year 8</t>
  </si>
  <si>
    <t>Year 9</t>
  </si>
  <si>
    <t>Year 10</t>
  </si>
  <si>
    <t>% of Overall Membership Ownership for $ Invested</t>
  </si>
  <si>
    <t>Member Returns Based On Specific $ Invested</t>
  </si>
  <si>
    <t>Comments</t>
  </si>
  <si>
    <t>Split</t>
  </si>
  <si>
    <t>Simple Interest Loan Amortization Table - 1st Mortgage After Refi</t>
  </si>
  <si>
    <t xml:space="preserve">Average Monthly Rent  </t>
  </si>
  <si>
    <t>General Partnership Split Worksheet</t>
  </si>
  <si>
    <t>Capital Account Balance (Begin of Year)</t>
  </si>
  <si>
    <t>No</t>
  </si>
  <si>
    <t>Yes</t>
  </si>
  <si>
    <t>Verbal Agreement</t>
  </si>
  <si>
    <t>LOI Submitted</t>
  </si>
  <si>
    <t>LOI Ratified</t>
  </si>
  <si>
    <t>Contract Ratified</t>
  </si>
  <si>
    <t>Click to Select</t>
  </si>
  <si>
    <t>Contract Submitted</t>
  </si>
  <si>
    <t>Contract Received</t>
  </si>
  <si>
    <t>No Verbal Agreement Yet</t>
  </si>
  <si>
    <t>Nicely done! Time to submit an LOI and/or to submit the deal to the Deal Desk!</t>
  </si>
  <si>
    <t>Exciting … fingers crossed!</t>
  </si>
  <si>
    <t>Well done … the contract is next. If you haven't submitted the deal to the Deal Desk, now is the time to do it.</t>
  </si>
  <si>
    <t xml:space="preserve">Nicely done! </t>
  </si>
  <si>
    <t>AWESOME! Let's get busy with due diligence!</t>
  </si>
  <si>
    <t>Where Are You With the Negotiation?</t>
  </si>
  <si>
    <t>What City Is This Property In?</t>
  </si>
  <si>
    <t>Cleary Describe the PROBLEM with this Property and Your SOLUTION.</t>
  </si>
  <si>
    <t>Is the property poorly managed? Why? Is it self-managed or some other reason? What makes you think you can manage it better?</t>
  </si>
  <si>
    <t>Are there any down units? If so, why are they down? What needs to happen to get them rent-ready?</t>
  </si>
  <si>
    <t>Are vacancies high? If so, why? How do you know this? What needs to happen to achieve the occupancy targets?</t>
  </si>
  <si>
    <t>Are the expenses high? If so, why? How do you know this? What is your plan for reducing the expenses?</t>
  </si>
  <si>
    <t>Did You Visit the Property?</t>
  </si>
  <si>
    <t>Great initiative!</t>
  </si>
  <si>
    <t>Not a big deal, just asking :)</t>
  </si>
  <si>
    <t>Why Is The Owner Selling?</t>
  </si>
  <si>
    <t>Have You Spoken To a Mortgage Broker/Lender?</t>
  </si>
  <si>
    <t>Rockin ..!</t>
  </si>
  <si>
    <t>GP %</t>
  </si>
  <si>
    <t>% of GP</t>
  </si>
  <si>
    <t>Sourcing, Contract, Due Diligence and Closing</t>
  </si>
  <si>
    <t>SUB-TOTAL</t>
  </si>
  <si>
    <t>Risk Capital (EMD &amp; DD Expenses)</t>
  </si>
  <si>
    <t>Overall</t>
  </si>
  <si>
    <t>% of Overall Membership</t>
  </si>
  <si>
    <t>The Michael Blank Team</t>
  </si>
  <si>
    <t>Partner 3</t>
  </si>
  <si>
    <t>Partner 4</t>
  </si>
  <si>
    <t>Type</t>
  </si>
  <si>
    <t>Current Rent</t>
  </si>
  <si>
    <t>Target Rent Analysis</t>
  </si>
  <si>
    <t>Target Rent</t>
  </si>
  <si>
    <t>Average</t>
  </si>
  <si>
    <t>If you'd like to get support and feedback of your analysis, please consider joining the Deal Maker's Mastermind.
To your success!</t>
  </si>
  <si>
    <t>To Your Success!</t>
  </si>
  <si>
    <t>Attorney Fees</t>
  </si>
  <si>
    <t>Lender Legal Fees</t>
  </si>
  <si>
    <t>Other Costs</t>
  </si>
  <si>
    <t>Total Other Costs</t>
  </si>
  <si>
    <t>Deal Readiness Questionnaire</t>
  </si>
  <si>
    <t>If you're considering submitting the deal to the Deal Desk, then you need at least a verbal agreement around a number that makes sense before proceeding.</t>
  </si>
  <si>
    <t>Provide details about your estimated repairs you provided in the "Summary" tab.</t>
  </si>
  <si>
    <t>% of Initial Investment Returned</t>
  </si>
  <si>
    <t>Debt Coverage Ratio (Year 1)</t>
  </si>
  <si>
    <t>Key Metric</t>
  </si>
  <si>
    <t>Actual</t>
  </si>
  <si>
    <t>Deal Readiness Dashboard</t>
  </si>
  <si>
    <t>Value-Add</t>
  </si>
  <si>
    <t>Stable</t>
  </si>
  <si>
    <t>Nice job!</t>
  </si>
  <si>
    <t>Sale in Year 5</t>
  </si>
  <si>
    <t>Minimum Criteria</t>
  </si>
  <si>
    <t>Message if Over Minimum Target</t>
  </si>
  <si>
    <t>Message if Under Minimum Target</t>
  </si>
  <si>
    <t>Not a big deal, just asking :) It's not a requirement before getting it under contract, but it's a nice-to-have.</t>
  </si>
  <si>
    <t>Nice job! What terms did you get? Overwrite this cell with the answer.</t>
  </si>
  <si>
    <t>A Stable deal can have slightly lower returns than a Value-Add deal. The Minimum Criteria in the Deal Readiness Dashboard were updated accordingly.</t>
  </si>
  <si>
    <t>Cool, just asking. If you'd like partner with Michael on this deal and learn more about the Deal Desk, please visit www.TheMichaelBlank.com/dealdesk.</t>
  </si>
  <si>
    <t>Nice job making the deal work with a sale in Year 5!</t>
  </si>
  <si>
    <t>Investors want their money back after 5 years, so the deal has GOT to work with a sale in Year 5. Otherwise it may be difficult to get the investors on board.</t>
  </si>
  <si>
    <t>Purchase</t>
  </si>
  <si>
    <t>Total Return on Investment</t>
  </si>
  <si>
    <t>Manager Compensation</t>
  </si>
  <si>
    <t>Capital Transaction Fee</t>
  </si>
  <si>
    <t>Total Manager Compensation</t>
  </si>
  <si>
    <t>Refinance AND Return All Capital?</t>
  </si>
  <si>
    <t>Refinance?</t>
  </si>
  <si>
    <t>Debt Coverage Ratio (DCR)</t>
  </si>
  <si>
    <t>% of Capital Returned With Refinance</t>
  </si>
  <si>
    <t>Internal Use</t>
  </si>
  <si>
    <t>Average Annual Return (AAR)</t>
  </si>
  <si>
    <t>Change Log</t>
  </si>
  <si>
    <t>5. Scenario A</t>
  </si>
  <si>
    <t>6. Scenario B</t>
  </si>
  <si>
    <t>7. Scenario C</t>
  </si>
  <si>
    <t>8. Scenario D</t>
  </si>
  <si>
    <t>Estimated closing costs</t>
  </si>
  <si>
    <t>- Prepayment Penalty</t>
  </si>
  <si>
    <t>Fantastic! Please visit www.TheMichaelBlank.com/dealdesk for the most current Deal Desk process.</t>
  </si>
  <si>
    <t>Version 2.61</t>
  </si>
  <si>
    <t>Scenarios Tab</t>
  </si>
  <si>
    <t>Summary Tab</t>
  </si>
  <si>
    <t>Displayed 4 additional (new in v2.60) Scenario headers in the right sidebar</t>
  </si>
  <si>
    <t>2 fields (Trash Removal and Gas) in Scenario 4 did not copy from previous Scenario 3; corrected formulas to display values</t>
  </si>
  <si>
    <t>Deposit to Replacement Reserve values did not copy from previous Scenario; corrected formula to display value across all scenarios</t>
  </si>
  <si>
    <t>Right thick black border on Expenses on Scenario 4</t>
  </si>
  <si>
    <t>Deal Size</t>
  </si>
  <si>
    <t>Version 2.60</t>
  </si>
  <si>
    <t>Major change how the ARR and COC are handled upon refinance.</t>
  </si>
  <si>
    <t>AAR is now equal to the IRR when there is a refinance</t>
  </si>
  <si>
    <t>Introduced concept of “Average Cash on Cash Return”</t>
  </si>
  <si>
    <t>Red Light / Green light for major deal metrics such as:</t>
  </si>
  <si>
    <t>SDA: add % of money returned to investors</t>
  </si>
  <si>
    <t xml:space="preserve">Cash on cash: Avg 9%+ over the first 5 years, and 10%+ in Year </t>
  </si>
  <si>
    <t>Overall return: double money in 5 years (15% AAR), 85% total return (i.e. double your money in 6 years)</t>
  </si>
  <si>
    <t>Reserves above the line (or raise it)</t>
  </si>
  <si>
    <t>Working capital (1 month income)</t>
  </si>
  <si>
    <t>Repairs $1000 / unit</t>
  </si>
  <si>
    <t>Add 0.5% to current cap rate</t>
  </si>
  <si>
    <t>CHANGE LOG tab</t>
  </si>
  <si>
    <t>Added New tab to keep track of the changes to each version</t>
  </si>
  <si>
    <t>SUMMARY Tab</t>
  </si>
  <si>
    <t>Renamed “Repairs” to “Repairs and Reserves”</t>
  </si>
  <si>
    <t>When 2nd mortgage was set but interest rate and/or term was not, it created errors/irregularities. Now, when you set the 2nd mortgage $ amount, the % and term are set to the first mortgage by default.</t>
  </si>
  <si>
    <t xml:space="preserve">ACQUISITIONS COST Tab </t>
  </si>
  <si>
    <t>Add attorney fees, Reserves, Other expenses (like Travel)</t>
  </si>
  <si>
    <t>Added link to look up Transfer Taxes</t>
  </si>
  <si>
    <t>EXIT STRATEGIES</t>
  </si>
  <si>
    <t>Ability to refinance after Year 1</t>
  </si>
  <si>
    <t>Show % of investor capital returned (new key metric)</t>
  </si>
  <si>
    <t>Add AAR and IRR for easy reference</t>
  </si>
  <si>
    <t>SCENARIOS Tab</t>
  </si>
  <si>
    <t>Added “Target Rent Analysis” worksheet</t>
  </si>
  <si>
    <t>Added 4 more columns</t>
  </si>
  <si>
    <t>P&amp;L Tab</t>
  </si>
  <si>
    <t>Change Asset management fee from equity to Total Net Income</t>
  </si>
  <si>
    <t>ABOUT Tab</t>
  </si>
  <si>
    <t>Completely redo the About tab with key metrics</t>
  </si>
  <si>
    <t>RETURNS Tab</t>
  </si>
  <si>
    <t>GP Split Worksheet: Enhanced ad added compensation details for each of the GP partners under “Manager Returns”</t>
  </si>
  <si>
    <t>Fixed bug in the “Member Returns for $100,000 invested”: wasn’t working right when refinance</t>
  </si>
  <si>
    <t>About Tab</t>
  </si>
  <si>
    <t>Added "Deal Size" criteria</t>
  </si>
  <si>
    <t>Updated Line 53 "Average Cash on Cash Return" calculation</t>
  </si>
  <si>
    <t>Updated Line 35 Debt Service "Principal" calculation</t>
  </si>
  <si>
    <t>Updated Line 36 Debt Service "Interest" calculation</t>
  </si>
  <si>
    <t>Various Spelling/Grammar Corrections</t>
  </si>
  <si>
    <t>Updated all Copyright references to 2018</t>
  </si>
  <si>
    <t>Property Inspection*</t>
  </si>
  <si>
    <t>Earnest Money Deposit (EMD)</t>
  </si>
  <si>
    <t>Down payment $</t>
  </si>
  <si>
    <t>Property 1</t>
  </si>
  <si>
    <t>If owner pays, $100/unit/month</t>
  </si>
  <si>
    <t>Down payment %</t>
  </si>
  <si>
    <t>If rents are low, why are the low? How do you know (i.e. who did you  talk to)? What's the plan to raise rents, and what will it take and how much will it cost to achieve the target rents?</t>
  </si>
  <si>
    <t>A Value-Add deal requires a slightly higher return than a stable deal. The Minimum Criteria in the Deal Readiness Dashboard were updated accordingly.</t>
  </si>
  <si>
    <t>$250 per unit</t>
  </si>
  <si>
    <t>Updated Rule of Thumb for replacement reserves to $250/year</t>
  </si>
  <si>
    <t>Updated questions and auto responses</t>
  </si>
  <si>
    <t>IRR Tab</t>
  </si>
  <si>
    <t>XIRR Dates</t>
  </si>
  <si>
    <t>Corrected Total Manager compensation calc years 2-10 (does not work for sale or refinance in year 1)</t>
  </si>
  <si>
    <t>Corrected calc for member returns ownership % - Line 74</t>
  </si>
  <si>
    <t>Amortization</t>
  </si>
  <si>
    <t>Added 10-Minute Deal Tab</t>
  </si>
  <si>
    <t>Market Cap Rate</t>
  </si>
  <si>
    <t>Gross Potential Annual Income</t>
  </si>
  <si>
    <t>- Economic &amp; Physical Vacancy</t>
  </si>
  <si>
    <t>= Net Annual Income</t>
  </si>
  <si>
    <t>- Annual Expense Rate</t>
  </si>
  <si>
    <t>= Net Operating Income</t>
  </si>
  <si>
    <t>Loan-To-Cost Worksheet</t>
  </si>
  <si>
    <t>Using Loan to Cost?</t>
  </si>
  <si>
    <t>% Financed</t>
  </si>
  <si>
    <t>$ Financed</t>
  </si>
  <si>
    <t>Use cap rate from the marketing package or ask the broker.</t>
  </si>
  <si>
    <t>Rule of thumb, carefully consider before changing.</t>
  </si>
  <si>
    <t>Rule of thumb, consider carefully before changing.</t>
  </si>
  <si>
    <t>Use info from the marketing package.</t>
  </si>
  <si>
    <t>Corrected calc for Sub Total calc for line 107 for Money Raiser</t>
  </si>
  <si>
    <t>Partner 5</t>
  </si>
  <si>
    <t>Partner 6</t>
  </si>
  <si>
    <t>Partner 7</t>
  </si>
  <si>
    <t>Partner 8</t>
  </si>
  <si>
    <t>Changed "Term / Amortization" to only "Amortization"</t>
  </si>
  <si>
    <t>Increased number of Partners to 8</t>
  </si>
  <si>
    <t>Added a Loan-to-Cost purchase drop down option</t>
  </si>
  <si>
    <t>LOANS Tab</t>
  </si>
  <si>
    <t>Amortization (Years)</t>
  </si>
  <si>
    <t>Updated Default Down payment to 25%, row 10</t>
  </si>
  <si>
    <t>Row 53: Changed "Term / Amortization" to only "Amortization" and default to 30 years</t>
  </si>
  <si>
    <t>Various Formatting corrections (black vs blue text color)</t>
  </si>
  <si>
    <t>ACQUISITIONS COSTS Tab</t>
  </si>
  <si>
    <t>Updated cell C6 to include both 1st and second mortgage</t>
  </si>
  <si>
    <t>Changed sales cost to 4.5% if sales price is above $2.0M</t>
  </si>
  <si>
    <t>Updated IRR calc to assume annual distributions are paid quarterly (XIRR calc)</t>
  </si>
  <si>
    <t>Added "Total Return on Investment" link to line 49</t>
  </si>
  <si>
    <t>Updated line 17 to remove term and only show Amortization</t>
  </si>
  <si>
    <t>XIRR Cash Flow</t>
  </si>
  <si>
    <t>Q1</t>
  </si>
  <si>
    <t>Q2</t>
  </si>
  <si>
    <t>Q3</t>
  </si>
  <si>
    <t>Q4</t>
  </si>
  <si>
    <t>Quarter</t>
  </si>
  <si>
    <t>Partner 1</t>
  </si>
  <si>
    <t>Partner 2</t>
  </si>
  <si>
    <t>Current Market Cap Rate</t>
  </si>
  <si>
    <t>Version 2.8</t>
  </si>
  <si>
    <t>Repairs</t>
  </si>
  <si>
    <t>Reserves</t>
  </si>
  <si>
    <t>The loan balance is under $1M and is less likely to qualify for a non-recourse loan. Who wants to personally guarantee a loan?</t>
  </si>
  <si>
    <t>Nice job keeping the loan balance above $1M; there's a good chance you'll be able to get a non-recourse loan (good).</t>
  </si>
  <si>
    <t>Interest Only (in months)</t>
  </si>
  <si>
    <t>Version 2.7</t>
  </si>
  <si>
    <t>To Manually Override the Expenses to use %, the dollar summary must be $0 on line 43</t>
  </si>
  <si>
    <t xml:space="preserve">	Removed Asset Management Fee from Manager Compensation"</t>
  </si>
  <si>
    <t xml:space="preserve">	Removed all References to Student" or "Michael Blank Team"</t>
  </si>
  <si>
    <t xml:space="preserve">	Removed Asset Manager" from GP Split Worksheet</t>
  </si>
  <si>
    <t>Removed Comments from GP Worksheet</t>
  </si>
  <si>
    <t>Updated Total Manager Compensation calculation</t>
  </si>
  <si>
    <t xml:space="preserve">	Removed Money Raiser Breakout Calculator</t>
  </si>
  <si>
    <t xml:space="preserve">	Updated all starting GP split %</t>
  </si>
  <si>
    <t xml:space="preserve">Removed "Cap Rate At Purchase" </t>
  </si>
  <si>
    <t xml:space="preserve">	Updated Cap Rate at Re-Sale" to "Current Market Cap Rate"</t>
  </si>
  <si>
    <t xml:space="preserve">	Split up Repairs and Reserves" into two line items</t>
  </si>
  <si>
    <t xml:space="preserve">	Added Interest Only (in months)" for 1st and 2nd mortgage</t>
  </si>
  <si>
    <t xml:space="preserve">	Updated default settings on Summary Tab</t>
  </si>
  <si>
    <t>Updated "Cap Rate" at Sale to include 10 bp/year from "Current Market Cap Rate"</t>
  </si>
  <si>
    <t xml:space="preserve">	Added Escrow balances for Tax &amp; Insurance into Exit Strategies" tab</t>
  </si>
  <si>
    <t xml:space="preserve">	Added Reserves into Exit Strategies" tab</t>
  </si>
  <si>
    <t xml:space="preserve">	Updated default Re-Finance LTV" on "Exit Strategies" tab</t>
  </si>
  <si>
    <t xml:space="preserve">	Adjusted the NOI for Refinance and Sale to exclude the Deposit to Replacement Reserves"</t>
  </si>
  <si>
    <t xml:space="preserve">	Updated Sales Cost %</t>
  </si>
  <si>
    <t xml:space="preserve">	Split up Repairs and Reserves" into two items</t>
  </si>
  <si>
    <t xml:space="preserve">Removed "Total Member Capital Needed to Close" </t>
  </si>
  <si>
    <t xml:space="preserve">Removed "Cash on Cash Return" </t>
  </si>
  <si>
    <t>Added "Interest Only (in months)" input for 1st and 2nd mortgage</t>
  </si>
  <si>
    <t xml:space="preserve">	Updated insurance rule of thumb</t>
  </si>
  <si>
    <t xml:space="preserve">	Expanded Target Rent Analysis tool</t>
  </si>
  <si>
    <t xml:space="preserve">	Added comment regarding Manual Override of Expenses with a %</t>
  </si>
  <si>
    <t>OTHER/MISC</t>
  </si>
  <si>
    <t xml:space="preserve">	Updated Defaults on Acquisition Costs" tab</t>
  </si>
  <si>
    <t xml:space="preserve">	Updated the Annual Rent Escalator to 2% in the P&amp;L" tab</t>
  </si>
  <si>
    <t>Updated hyperlinks to the Deal Desk information</t>
  </si>
  <si>
    <t xml:space="preserve">	General clean-up of the About" tab</t>
  </si>
  <si>
    <t xml:space="preserve">	Updated Transfer Tax link on Acquisition Costs" tab</t>
  </si>
  <si>
    <t xml:space="preserve">	Updated Copyright references to 2020</t>
  </si>
  <si>
    <t>Acquisitions Fee</t>
  </si>
  <si>
    <t>$100/unit for common areas</t>
  </si>
  <si>
    <t xml:space="preserve">	Added a comment regarding manually overwriting expenses</t>
  </si>
  <si>
    <t xml:space="preserve">	Various corrections of conditional formatting throughout model</t>
  </si>
  <si>
    <t>The 2-Minute Analysis</t>
  </si>
  <si>
    <t>Valuation</t>
  </si>
  <si>
    <t>Total Cash to Members</t>
  </si>
  <si>
    <t>Escrowed at Closing</t>
  </si>
  <si>
    <t>Lender-held funds</t>
  </si>
  <si>
    <t>Operating Reserves</t>
  </si>
  <si>
    <t>Total Escrows</t>
  </si>
  <si>
    <t>Operating Reserves remaining</t>
  </si>
  <si>
    <t>Insurance/Tax/Lender Escrows</t>
  </si>
  <si>
    <t>Target Money Raise</t>
  </si>
  <si>
    <t>How Did You Arrive at the Market Cap Rate?</t>
  </si>
  <si>
    <t>Advertising</t>
  </si>
  <si>
    <t>Gas &amp; Electric</t>
  </si>
  <si>
    <t>Turnover</t>
  </si>
  <si>
    <t>1% of Sales Price</t>
  </si>
  <si>
    <t>% of remaining funds in the operating account at sale</t>
  </si>
  <si>
    <t>Updated Scenario 1's manual expense over ride to calc based on % not $, cells C44</t>
  </si>
  <si>
    <t>Added a Loan-to-Cost calculation</t>
  </si>
  <si>
    <t>Asset Management Fee</t>
  </si>
  <si>
    <t>"The 10 Minute Offer"</t>
  </si>
  <si>
    <t>Gross Potential Rent</t>
  </si>
  <si>
    <t>For every 100 units: 1 FT leasing manager and 1 FT maintenance person; confirm with property manager.</t>
  </si>
  <si>
    <t>Total / Average</t>
  </si>
  <si>
    <t>Market Cap Rate And Value</t>
  </si>
  <si>
    <t>Fair Market Value (Based on NOI)</t>
  </si>
  <si>
    <t>Raising Capital</t>
  </si>
  <si>
    <t>Balance Sheet Guarantors</t>
  </si>
  <si>
    <t>Role</t>
  </si>
  <si>
    <t>Profit &amp; Loss</t>
  </si>
  <si>
    <t>Gross Proceeds from Re-Finance</t>
  </si>
  <si>
    <t>- Return of Member Capital</t>
  </si>
  <si>
    <t>Total Cash to Members at Refi (Init. Cptl. + Apprec.)</t>
  </si>
  <si>
    <t>Total Cash to Members at Sale
(Init. Cptl. + Apprec.)</t>
  </si>
  <si>
    <t>Total LTC Financed</t>
  </si>
  <si>
    <t>Return of Member Capital - P/I Escrow</t>
  </si>
  <si>
    <t>Principal/Interest Escrow</t>
  </si>
  <si>
    <t>Set year-end of P&amp;I escrow return</t>
  </si>
  <si>
    <t>Return of Member Capital - Refinance or Sale</t>
  </si>
  <si>
    <t>Projected Member Cash Flows and Returns</t>
  </si>
  <si>
    <t>Cash Out Re-Finance at end of year</t>
  </si>
  <si>
    <t>Sale / Disposition at end of year</t>
  </si>
  <si>
    <t xml:space="preserve"> </t>
  </si>
  <si>
    <t>DCR</t>
  </si>
  <si>
    <t>AAR</t>
  </si>
  <si>
    <t>Return of Cap %</t>
  </si>
  <si>
    <t>Avg. CoC</t>
  </si>
  <si>
    <t>Reserves/unit/yr</t>
  </si>
  <si>
    <t>Total Reserves</t>
  </si>
  <si>
    <t>Total loan</t>
  </si>
  <si>
    <t>Variable</t>
  </si>
  <si>
    <t>Return of P/I escrow</t>
  </si>
  <si>
    <t>Welcome</t>
  </si>
  <si>
    <t>Welcome to the SYNDICATED DEAL ANALYZER software!</t>
  </si>
  <si>
    <t>I created the Syndicated Deal Analyzer software over many years and continued to improve it with every deal I analyzed. The primary difference between this analyzer and others you may have seen is that it incorporates other investors into all aspects of the deal, from analysis, to closing, to final disposition. It's designed to quickly do the easy things, but it also allows you to customize all of the assumptions and numbers, which is important as you discover new information during due diligence. I purposefully allow you to edit and customize EVERYTHING for two reasons: (1) so that you can understand the formulas to help you to learn and (2) so that you can make it look like you want.
My goal with the Syndicated Deal Analyzer is to help you analyze deals faster and more accurately so that you can make more offers and do more deals.</t>
  </si>
  <si>
    <t>About</t>
  </si>
  <si>
    <t>Sale Year 5</t>
  </si>
  <si>
    <t>Closing Costs (less Reserves/Travel)</t>
  </si>
  <si>
    <t>Down payment</t>
  </si>
  <si>
    <t>Repairs not financed</t>
  </si>
  <si>
    <t>Closing costs not financed</t>
  </si>
  <si>
    <t>Travel/Reserves closing costs</t>
  </si>
  <si>
    <t>LTC Member Captial Needed</t>
  </si>
  <si>
    <t>Expense percentage</t>
  </si>
  <si>
    <t>Refinance</t>
  </si>
  <si>
    <t>Sale</t>
  </si>
  <si>
    <t>Projected Manager Cash Flows and Returns</t>
  </si>
  <si>
    <r>
      <t>No Warranties</t>
    </r>
    <r>
      <rPr>
        <sz val="12"/>
        <rFont val="Arial"/>
        <family val="2"/>
      </rPr>
      <t xml:space="preserve">
THE SOFTWARE AND ANY RELATED DOCUMENTATION ARE PROVIDED TO YOU "AS IS." THE AUTHOR MAKES NO WARRANTIES, EXPRESS OR IMPLIED, AND EXPRESSLY DISCLAIMS ALL REPRESENTATIONS, ORAL OR WRITTEN, TERMS, CONDITIONS, AND WARRANTIES, INCLUDING BUT NOT LIMITED TO, IMPLIED WARRANTIES OF MERCHANTABILITY, FITNESS FOR A PARTICULAR PURPOSE, AND NONINFRINGEMENT. WITHOUT LIMITING THE ABOVE YOU ACCEPT THAT THE SOFTWARE MAY NOT MEET YOUR REQUIREMENTS, OPERATE ERROR FREE, OR IDENTIFY ANY OR ALL ERRORS OR PROBLEMS, OR DO SO ACCURATELY. This Agreement does not affect any statutory rights you may have as a consumer. Some states do not allow the limitation or exclusion of liability for incidental or consequential damages, so the above limitation may not apply to you.</t>
    </r>
    <r>
      <rPr>
        <b/>
        <sz val="10"/>
        <rFont val="Arial"/>
        <family val="2"/>
      </rPr>
      <t/>
    </r>
  </si>
  <si>
    <r>
      <t>Limitation of Liability</t>
    </r>
    <r>
      <rPr>
        <sz val="12"/>
        <rFont val="Arial"/>
        <family val="2"/>
      </rPr>
      <t xml:space="preserve">
IN NO EVENT SHALL THE AUTHOR BE LIABLE TO YOU, FOR ANY DAMAGES, INCLUDING ANY LOST PROFITS, LOST SAVINGS, OR ANY OTHER DIRECT, INDIRECT, SPECIAL, INCIDENTAL, OR CONSEQUENTIAL DAMAGES ARISING FROM THE USE OR THE INABILITY TO USE THE SOFTWARE (EVEN IF WE OR AN AUTHORIZED DEALER OR DISTRIBUTOR HAS BEEN ADVISED OF THE POSSIBILITY OF THESE DAMAGES), OR ANY MISTAKES AND NEGLIGENCE IN DEVELOPING THIS SOFTWARE, OR FOR ANY CLAIM BY ANY OTHER PARTY. THE ORGANIZATION, BUSINESS, OR PERSON USING THIS SOFTWARE BEARS ALL RISKS AND RESPONSIBILITY FOR THE QUALITY AND PERFORMANCE OF THIS SOFTWARE. Some states do not allow the limitation or exclusion of liability for incidental or consequential damages, so the above limitation may not apply to you.</t>
    </r>
  </si>
  <si>
    <t>Version 2.9</t>
  </si>
  <si>
    <t>Amortlization schedule based on full number of years, including any interest-only period</t>
  </si>
  <si>
    <t>Ex. 25 year term, 2 years of I/O = 23-year amortization schedule</t>
  </si>
  <si>
    <t>Ex. 25 year tern, 2 years of I/O = 25-year amortization schedule</t>
  </si>
  <si>
    <t>Option 1</t>
  </si>
  <si>
    <t>Option 2</t>
  </si>
  <si>
    <t>Use drop down menu to</t>
  </si>
  <si>
    <t>select option for amortization schedule</t>
  </si>
  <si>
    <r>
      <t xml:space="preserve">Amortlization schedule based on number of years </t>
    </r>
    <r>
      <rPr>
        <b/>
        <sz val="12"/>
        <rFont val="Arial"/>
        <family val="2"/>
      </rPr>
      <t>after</t>
    </r>
    <r>
      <rPr>
        <sz val="12"/>
        <rFont val="Arial"/>
        <family val="2"/>
      </rPr>
      <t xml:space="preserve"> any interest-only period</t>
    </r>
  </si>
  <si>
    <t>Addition of a Principal/Interest escrow option on the Acquisition Costs sheet</t>
  </si>
  <si>
    <t>Users can customize number of months to establish the escrow dollar amount based on their monthly debt service and can specify when the year in which escrow funds are returned.</t>
  </si>
  <si>
    <t>The Exit Strategy and Returns sheets have been modified to account for the P/I escrow. Because the P/I escrow is a return of member capital, the Returns sheet now calculates the flow of account balances, cash flow and return of capital. </t>
  </si>
  <si>
    <t>Updated Login and DMM links</t>
  </si>
  <si>
    <t>Scenarios</t>
  </si>
  <si>
    <t>Changed the Expenses in the column "2. My Version" from equaling what is in column "1. Marketing Package" to hard-coded zeros. This is so that the 10-Minute Offer works correctly, i.e. all expenses have to be ZERO for the 50% rule of thumb to kick-in. Otherwise, for the 10-Minute Offer to work, one would need to first zero out all of the expenses.</t>
  </si>
  <si>
    <t>Added Rule of Thumb for Payroll</t>
  </si>
  <si>
    <t>The color of "Interest Only" values is now blue in all columns.</t>
  </si>
  <si>
    <t>The Rule of Thumb for Gas was wrong: the expense is now calculated per month.</t>
  </si>
  <si>
    <t>5. Scenario A Operating Reserves was hard-coded to zero, it is now set to the value in the previous column.</t>
  </si>
  <si>
    <t>The Purchase Price was equal to the Asking Price in all columns except the first. This is incorrect. It now takes the value of the preceding column by default.</t>
  </si>
  <si>
    <t>Some of the expenses in the My Version column were hard-coded to ZERO. They now take the value of the PRECEDING column.</t>
  </si>
  <si>
    <t>"Gross Potential Income" to "Gross Potential Rent"</t>
  </si>
  <si>
    <t>"Effective Gross Income" to "Gross Potential Income"</t>
  </si>
  <si>
    <t>"Total Net Income" to "Effective Gross Income"</t>
  </si>
  <si>
    <t>Allow user to set the Market Cap Rate based on scenarios. The Summary sheet now updates the Market Cap Rate based on what Scenario was selected.</t>
  </si>
  <si>
    <t>Expenses line item carries through from the selected Scenario</t>
  </si>
  <si>
    <t>Addition of P/I Escrow</t>
  </si>
  <si>
    <t>The Uses of Capital table has been fixed to correctly account for LTC option</t>
  </si>
  <si>
    <t>Cap Rate at Re-Finance adjusts based on year of refinance, at the same rate the cap rate at sale adjusts. Default is .1%</t>
  </si>
  <si>
    <t>Returns</t>
  </si>
  <si>
    <t>Rename "Money Raiser" to "Raising Capital" and "Balance Sheet Guarantor" to "Balance Sheet Guarantors" (plural)</t>
  </si>
  <si>
    <t>Addition of Return of P/I Escrow</t>
  </si>
  <si>
    <t>General changes</t>
  </si>
  <si>
    <t>Gridlines now off by default</t>
  </si>
  <si>
    <t>Updated copyright year</t>
  </si>
  <si>
    <t>Changed line item terminology to be more accurate:</t>
  </si>
  <si>
    <t>Addition of Return of Member Capital - P/I Escrow line item. Amount is returned in the year specified in the Acquisition Costs sheet</t>
  </si>
  <si>
    <t>Major Change:</t>
  </si>
  <si>
    <t>Variables</t>
  </si>
  <si>
    <t>Mortgage Sheets</t>
  </si>
  <si>
    <t>Added option to determine if amortization of loan begins at start of loan, or after any interest-only period</t>
  </si>
  <si>
    <t>Number of months withheld</t>
  </si>
  <si>
    <t>Total P/I amount (monthly pmnt * months)</t>
  </si>
  <si>
    <t>Real Estate Taxes (1)</t>
  </si>
  <si>
    <t>Notes:</t>
  </si>
  <si>
    <t>Travel (2)</t>
  </si>
  <si>
    <t>1. Click to lookup the Transfer Taxes.</t>
  </si>
  <si>
    <t>2. All or part of this expense is typically payable before closing</t>
  </si>
  <si>
    <t>Loans</t>
  </si>
  <si>
    <t>Populate with scenario #</t>
  </si>
  <si>
    <r>
      <t xml:space="preserve">Provide an Executive Summary of This Deal
</t>
    </r>
    <r>
      <rPr>
        <sz val="12"/>
        <rFont val="Arial"/>
        <family val="2"/>
      </rPr>
      <t>If you had 60 seconds to explain this deal to someone else, what would you say?</t>
    </r>
  </si>
  <si>
    <r>
      <t xml:space="preserve">Would You Consider this a "Value-Add" or "Stable" Deal?
</t>
    </r>
    <r>
      <rPr>
        <sz val="12"/>
        <rFont val="Arial"/>
        <family val="2"/>
      </rPr>
      <t>This slightly changes the Minimum Criteria in the Deal Readiness Dashboard.</t>
    </r>
  </si>
  <si>
    <r>
      <t xml:space="preserve">1st Mortgage </t>
    </r>
    <r>
      <rPr>
        <i/>
        <sz val="10"/>
        <rFont val="Arial"/>
        <family val="2"/>
      </rPr>
      <t>(for LTC, see "Loans" sheet)</t>
    </r>
  </si>
  <si>
    <r>
      <t xml:space="preserve">2nd Mortgage </t>
    </r>
    <r>
      <rPr>
        <i/>
        <sz val="10"/>
        <rFont val="Arial"/>
        <family val="2"/>
      </rPr>
      <t>(or Capital Improvement Funding)</t>
    </r>
  </si>
  <si>
    <t>Restructure of page to feature updated LTC worksheet</t>
  </si>
  <si>
    <t>Acquisition</t>
  </si>
  <si>
    <t>Income</t>
  </si>
  <si>
    <t>- Members Preferred Return Deficiency</t>
  </si>
  <si>
    <t>Asset Mgt Fee</t>
  </si>
  <si>
    <t>Members Preferred Return Due</t>
  </si>
  <si>
    <t>Members Preferred Return Deficiency</t>
  </si>
  <si>
    <t>Members Preferred Return Paid</t>
  </si>
  <si>
    <t>Excess Cash Flow to Members</t>
  </si>
  <si>
    <t>Excess Cash Flow to Mgr</t>
  </si>
  <si>
    <t>Asset Management Fees</t>
  </si>
  <si>
    <t>Version 2.92</t>
  </si>
  <si>
    <t>Before you make a formal offer (LOI or Contract), complete this questionnaire to make sure the deal is ready. It will ensure that you've researched the deal enough to move forward. If you can't answer these questions thoroughly, you may need to do some more work.</t>
  </si>
  <si>
    <t>Changes:</t>
  </si>
  <si>
    <t>Version 2.91</t>
  </si>
  <si>
    <t>Adding Operating Reserves to Total Acquisition Cost</t>
  </si>
  <si>
    <t>Error fix on the Member Returns Based On Specific $ Invested table. After refi, percentage of ownership was incorrectly calculated, leading to lower member returns</t>
  </si>
  <si>
    <t>Asset management fees now have a line item on the Returns sheet, in the Summary of Combined Cash Flows and Returns table. Manager fees are also included, so every dollar in and out is accounted for.</t>
  </si>
  <si>
    <t>The way member deficiency is calculated has changed. The amount available to distribute at sale is now calculated on the Exit Strategy sheet, based on how much equity is left after paying down the member account balance.</t>
  </si>
  <si>
    <t>Version 2.9.3</t>
  </si>
  <si>
    <t>Member Cash Flow</t>
  </si>
  <si>
    <t>Net Proceeds from Refinance or Sale</t>
  </si>
  <si>
    <t>Return of Capital</t>
  </si>
  <si>
    <t>- Capital Transaction Fee to Mgr</t>
  </si>
  <si>
    <t>Total Combined Cash flow</t>
  </si>
  <si>
    <t>Cost</t>
  </si>
  <si>
    <t>Total Expense</t>
  </si>
  <si>
    <t>Paint</t>
  </si>
  <si>
    <t>Trim and sheetrock repair</t>
  </si>
  <si>
    <t>Lighting fixtures</t>
  </si>
  <si>
    <t>Accessories (blinds, pulls, outlets, door knobs etc.)</t>
  </si>
  <si>
    <t>Total Interior Unit Improvements</t>
  </si>
  <si>
    <t>Paint exterior</t>
  </si>
  <si>
    <t>Replace Roofs</t>
  </si>
  <si>
    <t>Landscaping</t>
  </si>
  <si>
    <t>Lighting</t>
  </si>
  <si>
    <t>Total Exterior Improvements</t>
  </si>
  <si>
    <t>Contingency Reserve</t>
  </si>
  <si>
    <t>Total Renovation Expense</t>
  </si>
  <si>
    <t>Total Improvements</t>
  </si>
  <si>
    <t>Flooring update</t>
  </si>
  <si>
    <t>Bathroom vanity</t>
  </si>
  <si>
    <t>Replace cabinets</t>
  </si>
  <si>
    <t>Subtotal Renovation Expenses</t>
  </si>
  <si>
    <t>Parking</t>
  </si>
  <si>
    <t>OFF</t>
  </si>
  <si>
    <t>NA</t>
  </si>
  <si>
    <r>
      <t xml:space="preserve">• </t>
    </r>
    <r>
      <rPr>
        <sz val="12"/>
        <rFont val="Arial"/>
        <family val="2"/>
      </rPr>
      <t>Added Repairs module</t>
    </r>
  </si>
  <si>
    <t>Additions:</t>
  </si>
  <si>
    <t>Use the dropdown in cell C14 of the Scenarios tab to fill in the amount for Repairs calculated on this tab.</t>
  </si>
  <si>
    <t>Interior Improvements</t>
  </si>
  <si>
    <t>Exterior Improvements</t>
  </si>
  <si>
    <t>Kitchen update</t>
  </si>
  <si>
    <t>Cap rate increase per year</t>
  </si>
  <si>
    <t>Equity Multiple</t>
  </si>
  <si>
    <t>Average Annual Return</t>
  </si>
  <si>
    <t>Prepayment penalty</t>
  </si>
  <si>
    <t>Guarantor liquidity requirement</t>
  </si>
  <si>
    <t>Guarantor net worth requirement</t>
  </si>
  <si>
    <t>Asset Management</t>
  </si>
  <si>
    <t>Preferred Return Deficiency</t>
  </si>
  <si>
    <t>• Adding Member Equity Multiple to Returns and Summary tabs (Returns, Summary)
• Fix to apply Annual Escalator percentages to year 1 in the P&amp;L tab. Previously those numbers is cells D6 and D7 were not incorporated (P&amp;L)
• Formula fix to calculate Re-Finance Costs. Percentage now taken from refinance loan amount, rather than appraised value (Exit Strategy)
• Added option to enter Interest Only months for refinance (Exit Strategy)
• Moved Capital Transaction Fee and set a custom input for a Refinance Capital Transaction Fee to Mgr (Exit Strategy)
• Capital Transaction Fee formula changed to pay up to the fee amount, rather than the prior all-or-nothing approach (Exit Strategy)
• Adding Prepayment penalty to Sale option (Exit Strategy)
• Adjusted Average Cash on Cash return to include 0% years (Returns)
• Error fix on Member Returns Based On Specific $ Invested, % of ownership should remain the same through sale to properly distribute proceeds from sale (Returns)
• Decoupled AAR and IRR after refinance as they are not the same (Returns)
• Moved cap rate increase back to the Exit Strategy tab for easier customization (Exit Strategy)
• Formula fix to properly calculate Average Annual Return to Date (Returns) 
• Fixed issued with IRR double counting Members Preferred Return Deficiency (IRR)
• Giving Preferred Return Deficiency a line item as it should be separate from Cash on Cash return (Returns)</t>
  </si>
  <si>
    <t>Exit Cap Rate</t>
  </si>
  <si>
    <t>Projected Sale Price</t>
  </si>
  <si>
    <t>Property Name</t>
  </si>
  <si>
    <t>LTV</t>
  </si>
  <si>
    <t>Total Capital Required</t>
  </si>
  <si>
    <t>Hold Period (Years)</t>
  </si>
  <si>
    <t>Net Proceeds from Sale</t>
  </si>
  <si>
    <t>Location</t>
  </si>
  <si>
    <t>[Enter Property Name]</t>
  </si>
  <si>
    <t>[Enter City, State]</t>
  </si>
  <si>
    <t>Total Uses</t>
  </si>
  <si>
    <t>Total Sources</t>
  </si>
  <si>
    <t>%</t>
  </si>
  <si>
    <t>Total Interior Improvements</t>
  </si>
  <si>
    <t>Total Renovation Budget</t>
  </si>
  <si>
    <t>Term / Amort. (Yrs)</t>
  </si>
  <si>
    <t>Deal Information</t>
  </si>
  <si>
    <t>Purchase Information</t>
  </si>
  <si>
    <t>Key Indicators</t>
  </si>
  <si>
    <t>LP (Member) Returns</t>
  </si>
  <si>
    <t>Project Returns</t>
  </si>
  <si>
    <t>Renovation / Value-Add Budget</t>
  </si>
  <si>
    <t>Unit type</t>
  </si>
  <si>
    <t>Sources/Uses of Capital</t>
  </si>
  <si>
    <t>Uses</t>
  </si>
  <si>
    <t>Sources</t>
  </si>
  <si>
    <t>Breakeven Occupancy</t>
  </si>
  <si>
    <t>Year Built</t>
  </si>
  <si>
    <t>Cash-on-Cash Return (CoC)</t>
  </si>
  <si>
    <t>Cash-on-Cash Return</t>
  </si>
  <si>
    <t>Average Cash-on-Cash Return to Date</t>
  </si>
  <si>
    <t>Version 2.9.4</t>
  </si>
  <si>
    <t>Member Cash-on-Cash Return (Year 1)</t>
  </si>
  <si>
    <t>Member Cash-on-Cash Return</t>
  </si>
  <si>
    <t>Debt</t>
  </si>
  <si>
    <t>1st Mort</t>
  </si>
  <si>
    <t>2nd Mort</t>
  </si>
  <si>
    <t>I/O (mths)</t>
  </si>
  <si>
    <t>Year of Sale</t>
  </si>
  <si>
    <t>NOI at Sale</t>
  </si>
  <si>
    <t>Exit Yr</t>
  </si>
  <si>
    <t>NOI</t>
  </si>
  <si>
    <t>DSCR</t>
  </si>
  <si>
    <t>Expense Ratio</t>
  </si>
  <si>
    <t>Investment Summary</t>
  </si>
  <si>
    <r>
      <t xml:space="preserve">• </t>
    </r>
    <r>
      <rPr>
        <sz val="12"/>
        <rFont val="Arial"/>
        <family val="2"/>
      </rPr>
      <t>Added 'One Pager' investment summary sheet</t>
    </r>
  </si>
  <si>
    <t>2nd Mortgage Origination Fee</t>
  </si>
  <si>
    <t>1st Mortgage Origination Fee</t>
  </si>
  <si>
    <t>Annual Income Escalator</t>
  </si>
  <si>
    <t>Projected Returns</t>
  </si>
  <si>
    <t>Copyright Notices and Limited Use Policy
Copyright © 2014-2026. ALL RIGHTS RESERVED. Version 2.9.4.
The spreadsheet is for your personal use only. You may use and access this spreadsheet on multiple devices but you may not share it with other users. You may customize this spreadsheet to suit your needs and re-use in other publications as long as you add "Reprinted with permission from Michael Blank, www.TheMichaelBlank.com, Copyright 2025".  It may not be sold, distributed, or placed on a public server (i.e. the internet), without the written consent of the Author (Michael Blank). Requests for permission or further information should be addressed to: Michael Blank, 44050 Ashburn Shopping Plaza Suite 195-108, Ashburn, VA 20147, (844) 844-0678, www.TheMichaelBlank.com</t>
  </si>
  <si>
    <t>• Escrow return year now self-clamps to the sale year, and same-year escrow returns are netted out of capital returned at sale/refi, eliminating the P&amp;I escrow double-count.
• Sale-year escrows (Exit H10) reduced to lender-held funds only.
• Capital transaction fee fix (H19).
• Equity Multiple includes the preferred-return deficiency paid at sale (Returns N19).
• Year-1 escalation applied to Other Income and the expense override (P&amp;L D15/D33).
• Gas rule-of-thumb references its own row instead of Electric (Scenarios AF33).
• Legal per-unit divides by unit count instead of income (Scenarios AE35).
• IRR total row now includes the escrow column (IRR J114).
• Vacancy/concessions inputs now reject positive entries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</si>
</sst>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5" formatCode="&quot;$&quot;#,##0_);\(&quot;$&quot;#,##0\)"/>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0.0%"/>
    <numFmt numFmtId="166" formatCode="_(&quot;$&quot;* #,##0_);_(&quot;$&quot;* \(#,##0\);_(&quot;$&quot;* &quot;-&quot;??_);_(@_)"/>
    <numFmt numFmtId="167" formatCode="_(&quot;$&quot;\ #,##0_);_(&quot;$&quot;\ \(#,##0\);_(&quot;$&quot;\ &quot;-&quot;??_);_(@_)"/>
    <numFmt numFmtId="168" formatCode="&quot;$&quot;#,##0;[Red]\-&quot;$&quot;#,##0"/>
    <numFmt numFmtId="169" formatCode="_(* #,##0_);_(* \(#,##0\);_(* &quot;-&quot;??_);_(@_)"/>
    <numFmt numFmtId="170" formatCode="0.000%"/>
    <numFmt numFmtId="171" formatCode="&quot;$&quot;0\ &quot;/unit&quot;"/>
    <numFmt numFmtId="172" formatCode="&quot;Year&quot;\ 0"/>
    <numFmt numFmtId="173" formatCode="#,##0.0"/>
    <numFmt numFmtId="174" formatCode="0.0&quot;x&quot;"/>
  </numFmts>
  <fonts count="92" x14ac:knownFonts="1">
    <font>
      <sz val="12"/>
      <name val="Arial"/>
      <family val="2"/>
    </font>
    <font>
      <sz val="10"/>
      <name val="Arial"/>
      <family val="2"/>
    </font>
    <font>
      <sz val="8"/>
      <color indexed="81"/>
      <name val="Tahoma"/>
      <family val="2"/>
    </font>
    <font>
      <b/>
      <sz val="8"/>
      <color indexed="81"/>
      <name val="Tahoma"/>
      <family val="2"/>
    </font>
    <font>
      <sz val="10"/>
      <name val="Arial"/>
      <family val="2"/>
    </font>
    <font>
      <u/>
      <sz val="10"/>
      <color indexed="12"/>
      <name val="Verdana"/>
      <family val="2"/>
    </font>
    <font>
      <sz val="10"/>
      <name val="Tahoma"/>
      <family val="2"/>
    </font>
    <font>
      <sz val="8"/>
      <name val="Arial"/>
      <family val="2"/>
    </font>
    <font>
      <b/>
      <sz val="8"/>
      <name val="Arial"/>
      <family val="2"/>
    </font>
    <font>
      <sz val="8"/>
      <color indexed="12"/>
      <name val="Arial"/>
      <family val="2"/>
    </font>
    <font>
      <b/>
      <sz val="9"/>
      <name val="Arial"/>
      <family val="2"/>
    </font>
    <font>
      <sz val="9"/>
      <name val="Arial"/>
      <family val="2"/>
    </font>
    <font>
      <sz val="9"/>
      <color indexed="12"/>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8"/>
      <color indexed="12"/>
      <name val="Arial"/>
      <family val="2"/>
    </font>
    <font>
      <b/>
      <sz val="10"/>
      <name val="Arial"/>
      <family val="2"/>
    </font>
    <font>
      <b/>
      <sz val="12"/>
      <color indexed="9"/>
      <name val="Arial"/>
      <family val="2"/>
    </font>
    <font>
      <sz val="9"/>
      <color indexed="81"/>
      <name val="Tahoma"/>
      <family val="2"/>
    </font>
    <font>
      <b/>
      <sz val="9"/>
      <color indexed="81"/>
      <name val="Tahoma"/>
      <family val="2"/>
    </font>
    <font>
      <b/>
      <sz val="9"/>
      <color indexed="12"/>
      <name val="Arial"/>
      <family val="2"/>
    </font>
    <font>
      <b/>
      <sz val="12"/>
      <name val="Arial"/>
      <family val="2"/>
    </font>
    <font>
      <sz val="8"/>
      <name val="Arial"/>
      <family val="2"/>
    </font>
    <font>
      <sz val="10"/>
      <color rgb="FF000000"/>
      <name val="Arial"/>
      <family val="2"/>
    </font>
    <font>
      <sz val="12"/>
      <name val="Arial"/>
      <family val="2"/>
    </font>
    <font>
      <i/>
      <sz val="12"/>
      <color theme="0" tint="-0.499984740745262"/>
      <name val="Arial"/>
      <family val="2"/>
    </font>
    <font>
      <u/>
      <sz val="10"/>
      <color indexed="12"/>
      <name val="Arial"/>
      <family val="2"/>
    </font>
    <font>
      <b/>
      <u/>
      <sz val="12"/>
      <color indexed="12"/>
      <name val="Arial"/>
      <family val="2"/>
    </font>
    <font>
      <sz val="12"/>
      <color rgb="FF0000FF"/>
      <name val="Arial"/>
      <family val="2"/>
    </font>
    <font>
      <sz val="8"/>
      <color rgb="FF000000"/>
      <name val="Tahoma"/>
      <family val="2"/>
    </font>
    <font>
      <b/>
      <sz val="14"/>
      <color theme="1"/>
      <name val="Arial"/>
      <family val="2"/>
    </font>
    <font>
      <sz val="12"/>
      <color indexed="12"/>
      <name val="Arial"/>
      <family val="2"/>
    </font>
    <font>
      <b/>
      <sz val="12"/>
      <color rgb="FF0000FF"/>
      <name val="Arial"/>
      <family val="2"/>
    </font>
    <font>
      <b/>
      <sz val="12"/>
      <color indexed="12"/>
      <name val="Arial"/>
      <family val="2"/>
    </font>
    <font>
      <b/>
      <sz val="16"/>
      <color indexed="9"/>
      <name val="Arial"/>
      <family val="2"/>
    </font>
    <font>
      <i/>
      <sz val="11"/>
      <color theme="1" tint="0.499984740745262"/>
      <name val="Arial"/>
      <family val="2"/>
    </font>
    <font>
      <sz val="14"/>
      <name val="Arial"/>
      <family val="2"/>
    </font>
    <font>
      <i/>
      <sz val="14"/>
      <color theme="1" tint="0.499984740745262"/>
      <name val="Arial"/>
      <family val="2"/>
    </font>
    <font>
      <i/>
      <sz val="14"/>
      <name val="Arial"/>
      <family val="2"/>
    </font>
    <font>
      <sz val="12"/>
      <color theme="1"/>
      <name val="Arial"/>
      <family val="2"/>
    </font>
    <font>
      <u/>
      <sz val="12"/>
      <name val="Arial"/>
      <family val="2"/>
    </font>
    <font>
      <b/>
      <i/>
      <sz val="12"/>
      <name val="Arial"/>
      <family val="2"/>
    </font>
    <font>
      <sz val="12"/>
      <color rgb="FF0033CC"/>
      <name val="Arial"/>
      <family val="2"/>
    </font>
    <font>
      <b/>
      <i/>
      <sz val="10"/>
      <color theme="0" tint="-0.499984740745262"/>
      <name val="Arial"/>
      <family val="2"/>
    </font>
    <font>
      <i/>
      <sz val="12"/>
      <name val="Arial"/>
      <family val="2"/>
    </font>
    <font>
      <sz val="12"/>
      <color indexed="23"/>
      <name val="Arial"/>
      <family val="2"/>
    </font>
    <font>
      <b/>
      <sz val="12"/>
      <color indexed="23"/>
      <name val="Arial"/>
      <family val="2"/>
    </font>
    <font>
      <sz val="12"/>
      <color indexed="9"/>
      <name val="Arial"/>
      <family val="2"/>
    </font>
    <font>
      <b/>
      <sz val="12"/>
      <color theme="1"/>
      <name val="Arial"/>
      <family val="2"/>
    </font>
    <font>
      <b/>
      <i/>
      <sz val="12"/>
      <color indexed="8"/>
      <name val="Arial"/>
      <family val="2"/>
    </font>
    <font>
      <b/>
      <i/>
      <sz val="12"/>
      <color indexed="12"/>
      <name val="Arial"/>
      <family val="2"/>
    </font>
    <font>
      <b/>
      <i/>
      <sz val="12"/>
      <color rgb="FF0000FF"/>
      <name val="Arial"/>
      <family val="2"/>
    </font>
    <font>
      <b/>
      <sz val="12"/>
      <color indexed="8"/>
      <name val="Arial"/>
      <family val="2"/>
    </font>
    <font>
      <sz val="12"/>
      <color indexed="8"/>
      <name val="Arial"/>
      <family val="2"/>
    </font>
    <font>
      <sz val="14"/>
      <color rgb="FF0000FF"/>
      <name val="Arial"/>
      <family val="2"/>
    </font>
    <font>
      <b/>
      <sz val="14"/>
      <name val="Arial"/>
      <family val="2"/>
    </font>
    <font>
      <b/>
      <u/>
      <sz val="12"/>
      <name val="Arial"/>
      <family val="2"/>
    </font>
    <font>
      <sz val="10"/>
      <color theme="1"/>
      <name val="Arial"/>
      <family val="2"/>
    </font>
    <font>
      <u/>
      <sz val="10"/>
      <color theme="4"/>
      <name val="Arial"/>
      <family val="2"/>
    </font>
    <font>
      <b/>
      <sz val="14"/>
      <color indexed="9"/>
      <name val="Arial"/>
      <family val="2"/>
    </font>
    <font>
      <i/>
      <sz val="10"/>
      <name val="Arial"/>
      <family val="2"/>
    </font>
    <font>
      <b/>
      <sz val="10"/>
      <color rgb="FF000000"/>
      <name val="Tahoma"/>
      <family val="2"/>
    </font>
    <font>
      <sz val="10"/>
      <color rgb="FF000000"/>
      <name val="Tahoma"/>
      <family val="2"/>
    </font>
    <font>
      <b/>
      <sz val="12"/>
      <color theme="0"/>
      <name val="Arial"/>
      <family val="2"/>
    </font>
    <font>
      <b/>
      <i/>
      <sz val="12"/>
      <color theme="1"/>
      <name val="Arial"/>
      <family val="2"/>
    </font>
    <font>
      <b/>
      <sz val="11"/>
      <name val="Arial"/>
      <family val="2"/>
    </font>
    <font>
      <i/>
      <sz val="9"/>
      <color rgb="FF808080"/>
      <name val="Arial"/>
      <family val="2"/>
    </font>
    <font>
      <b/>
      <sz val="16"/>
      <color rgb="FFFFFFFF"/>
      <name val="Arial"/>
      <family val="2"/>
    </font>
    <font>
      <sz val="11"/>
      <name val="Arial"/>
      <family val="2"/>
    </font>
    <font>
      <b/>
      <sz val="12"/>
      <color rgb="FF000000"/>
      <name val="Arial"/>
      <family val="2"/>
    </font>
    <font>
      <b/>
      <sz val="11"/>
      <color rgb="FF000000"/>
      <name val="Arial"/>
      <family val="2"/>
    </font>
    <font>
      <i/>
      <sz val="12"/>
      <color rgb="FF0000FF"/>
      <name val="Arial"/>
      <family val="2"/>
    </font>
    <font>
      <sz val="32"/>
      <name val="Calibri"/>
      <family val="2"/>
    </font>
    <font>
      <sz val="12"/>
      <color rgb="FF000000"/>
      <name val="Arial"/>
      <family val="2"/>
    </font>
    <font>
      <i/>
      <sz val="11"/>
      <color rgb="FF808080"/>
      <name val="Arial"/>
      <family val="2"/>
    </font>
    <font>
      <sz val="12"/>
      <color theme="0"/>
      <name val="Arial"/>
      <family val="2"/>
    </font>
    <font>
      <sz val="12"/>
      <color theme="1" tint="0.34998626667073579"/>
      <name val="Arial"/>
      <family val="2"/>
    </font>
  </fonts>
  <fills count="5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55"/>
        <bgColor indexed="64"/>
      </patternFill>
    </fill>
    <fill>
      <patternFill patternType="solid">
        <fgColor indexed="22"/>
        <bgColor indexed="64"/>
      </patternFill>
    </fill>
    <fill>
      <patternFill patternType="solid">
        <fgColor indexed="48"/>
        <bgColor indexed="64"/>
      </patternFill>
    </fill>
    <fill>
      <patternFill patternType="solid">
        <fgColor indexed="23"/>
        <bgColor indexed="64"/>
      </patternFill>
    </fill>
    <fill>
      <patternFill patternType="solid">
        <fgColor indexed="9"/>
        <bgColor indexed="9"/>
      </patternFill>
    </fill>
    <fill>
      <patternFill patternType="solid">
        <fgColor indexed="9"/>
        <bgColor indexed="62"/>
      </patternFill>
    </fill>
    <fill>
      <patternFill patternType="solid">
        <fgColor indexed="47"/>
        <bgColor indexed="64"/>
      </patternFill>
    </fill>
    <fill>
      <patternFill patternType="solid">
        <fgColor indexed="22"/>
        <bgColor indexed="9"/>
      </patternFill>
    </fill>
    <fill>
      <patternFill patternType="solid">
        <fgColor indexed="22"/>
        <bgColor indexed="47"/>
      </patternFill>
    </fill>
    <fill>
      <patternFill patternType="solid">
        <fgColor indexed="63"/>
        <bgColor indexed="64"/>
      </patternFill>
    </fill>
    <fill>
      <patternFill patternType="solid">
        <fgColor indexed="41"/>
        <bgColor indexed="64"/>
      </patternFill>
    </fill>
    <fill>
      <patternFill patternType="solid">
        <fgColor rgb="FFFFFFFF"/>
        <bgColor rgb="FFFFFFFF"/>
      </patternFill>
    </fill>
    <fill>
      <patternFill patternType="solid">
        <fgColor theme="0" tint="-0.249977111117893"/>
        <bgColor indexed="64"/>
      </patternFill>
    </fill>
    <fill>
      <patternFill patternType="solid">
        <fgColor theme="0"/>
        <bgColor indexed="64"/>
      </patternFill>
    </fill>
    <fill>
      <patternFill patternType="solid">
        <fgColor theme="0" tint="-0.49998474074526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2"/>
        <bgColor indexed="64"/>
      </patternFill>
    </fill>
    <fill>
      <patternFill patternType="solid">
        <fgColor theme="2"/>
        <bgColor indexed="9"/>
      </patternFill>
    </fill>
    <fill>
      <patternFill patternType="solid">
        <fgColor theme="2" tint="-0.249977111117893"/>
        <bgColor indexed="64"/>
      </patternFill>
    </fill>
    <fill>
      <patternFill patternType="solid">
        <fgColor theme="2" tint="-9.9978637043366805E-2"/>
        <bgColor indexed="64"/>
      </patternFill>
    </fill>
    <fill>
      <patternFill patternType="solid">
        <fgColor theme="0"/>
        <bgColor indexed="9"/>
      </patternFill>
    </fill>
    <fill>
      <patternFill patternType="solid">
        <fgColor rgb="FFFFFFFF"/>
        <bgColor rgb="FF000000"/>
      </patternFill>
    </fill>
    <fill>
      <patternFill patternType="solid">
        <fgColor theme="2" tint="-0.49998474074526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757171"/>
        <bgColor indexed="64"/>
      </patternFill>
    </fill>
    <fill>
      <patternFill patternType="solid">
        <fgColor rgb="FF3E70A1"/>
        <bgColor indexed="64"/>
      </patternFill>
    </fill>
    <fill>
      <patternFill patternType="solid">
        <fgColor rgb="FFE7E6E6"/>
        <bgColor indexed="64"/>
      </patternFill>
    </fill>
    <fill>
      <patternFill patternType="solid">
        <fgColor rgb="FFFFF2CC"/>
        <bgColor rgb="FF000000"/>
      </patternFill>
    </fill>
  </fills>
  <borders count="9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8"/>
      </left>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thin">
        <color indexed="64"/>
      </right>
      <top style="thin">
        <color indexed="64"/>
      </top>
      <bottom style="medium">
        <color indexed="64"/>
      </bottom>
      <diagonal/>
    </border>
    <border>
      <left style="medium">
        <color theme="1"/>
      </left>
      <right style="medium">
        <color theme="1"/>
      </right>
      <top style="medium">
        <color theme="1"/>
      </top>
      <bottom style="medium">
        <color theme="1"/>
      </bottom>
      <diagonal/>
    </border>
    <border>
      <left/>
      <right/>
      <top/>
      <bottom style="double">
        <color indexed="64"/>
      </bottom>
      <diagonal/>
    </border>
    <border>
      <left/>
      <right style="medium">
        <color indexed="64"/>
      </right>
      <top/>
      <bottom style="thin">
        <color theme="1"/>
      </bottom>
      <diagonal/>
    </border>
    <border>
      <left/>
      <right style="medium">
        <color indexed="64"/>
      </right>
      <top/>
      <bottom style="double">
        <color indexed="64"/>
      </bottom>
      <diagonal/>
    </border>
    <border>
      <left/>
      <right/>
      <top/>
      <bottom style="thin">
        <color theme="1"/>
      </bottom>
      <diagonal/>
    </border>
    <border>
      <left style="medium">
        <color indexed="64"/>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style="medium">
        <color indexed="64"/>
      </right>
      <top style="medium">
        <color indexed="64"/>
      </top>
      <bottom style="thin">
        <color theme="1"/>
      </bottom>
      <diagonal/>
    </border>
    <border>
      <left/>
      <right/>
      <top style="medium">
        <color indexed="64"/>
      </top>
      <bottom style="thin">
        <color theme="1"/>
      </bottom>
      <diagonal/>
    </border>
    <border>
      <left style="medium">
        <color indexed="64"/>
      </left>
      <right style="medium">
        <color indexed="64"/>
      </right>
      <top style="medium">
        <color indexed="64"/>
      </top>
      <bottom style="thin">
        <color indexed="64"/>
      </bottom>
      <diagonal/>
    </border>
    <border>
      <left style="thin">
        <color indexed="64"/>
      </left>
      <right/>
      <top/>
      <bottom style="thin">
        <color indexed="64"/>
      </bottom>
      <diagonal/>
    </border>
    <border>
      <left/>
      <right style="medium">
        <color indexed="64"/>
      </right>
      <top style="double">
        <color indexed="64"/>
      </top>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style="thin">
        <color theme="1"/>
      </bottom>
      <diagonal/>
    </border>
    <border>
      <left style="thin">
        <color indexed="64"/>
      </left>
      <right/>
      <top style="thin">
        <color indexed="64"/>
      </top>
      <bottom style="double">
        <color indexed="64"/>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top/>
      <bottom style="thin">
        <color theme="1"/>
      </bottom>
      <diagonal/>
    </border>
    <border>
      <left style="thin">
        <color indexed="64"/>
      </left>
      <right/>
      <top/>
      <bottom style="double">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theme="1"/>
      </left>
      <right style="medium">
        <color theme="1"/>
      </right>
      <top style="medium">
        <color theme="1"/>
      </top>
      <bottom style="thin">
        <color indexed="64"/>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53">
    <xf numFmtId="0" fontId="0" fillId="0" borderId="0" applyNumberFormat="0">
      <alignment vertical="center" wrapText="1"/>
    </xf>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5" borderId="0" applyNumberFormat="0" applyBorder="0" applyAlignment="0" applyProtection="0"/>
    <xf numFmtId="0" fontId="14" fillId="8" borderId="0" applyNumberFormat="0" applyBorder="0" applyAlignment="0" applyProtection="0"/>
    <xf numFmtId="0" fontId="14" fillId="11" borderId="0" applyNumberFormat="0" applyBorder="0" applyAlignment="0" applyProtection="0"/>
    <xf numFmtId="0" fontId="15" fillId="12"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9" borderId="0" applyNumberFormat="0" applyBorder="0" applyAlignment="0" applyProtection="0"/>
    <xf numFmtId="0" fontId="16" fillId="3" borderId="0" applyNumberFormat="0" applyBorder="0" applyAlignment="0" applyProtection="0"/>
    <xf numFmtId="0" fontId="17" fillId="20" borderId="1" applyNumberFormat="0" applyAlignment="0" applyProtection="0"/>
    <xf numFmtId="0" fontId="18" fillId="21" borderId="2" applyNumberFormat="0" applyAlignment="0" applyProtection="0"/>
    <xf numFmtId="44" fontId="1" fillId="0" borderId="0" applyFont="0" applyFill="0" applyBorder="0" applyAlignment="0" applyProtection="0"/>
    <xf numFmtId="0" fontId="19" fillId="0" borderId="0" applyNumberFormat="0" applyFill="0" applyBorder="0" applyAlignment="0" applyProtection="0"/>
    <xf numFmtId="0" fontId="20" fillId="4" borderId="0" applyNumberFormat="0" applyBorder="0" applyAlignment="0" applyProtection="0"/>
    <xf numFmtId="0" fontId="21" fillId="0" borderId="3" applyNumberFormat="0" applyFill="0" applyAlignment="0" applyProtection="0"/>
    <xf numFmtId="0" fontId="22" fillId="0" borderId="4" applyNumberFormat="0" applyFill="0" applyAlignment="0" applyProtection="0"/>
    <xf numFmtId="0" fontId="23" fillId="0" borderId="5" applyNumberFormat="0" applyFill="0" applyAlignment="0" applyProtection="0"/>
    <xf numFmtId="0" fontId="23" fillId="0" borderId="0" applyNumberFormat="0" applyFill="0" applyBorder="0" applyAlignment="0" applyProtection="0"/>
    <xf numFmtId="0" fontId="5" fillId="0" borderId="0" applyNumberFormat="0" applyFill="0" applyBorder="0" applyAlignment="0" applyProtection="0">
      <alignment vertical="top"/>
      <protection locked="0"/>
    </xf>
    <xf numFmtId="0" fontId="43" fillId="7" borderId="1" applyNumberFormat="0" applyFill="0" applyBorder="0" applyAlignment="0" applyProtection="0"/>
    <xf numFmtId="0" fontId="24" fillId="0" borderId="6" applyNumberFormat="0" applyFill="0" applyAlignment="0" applyProtection="0"/>
    <xf numFmtId="0" fontId="25" fillId="22" borderId="0" applyNumberFormat="0" applyBorder="0" applyAlignment="0" applyProtection="0"/>
    <xf numFmtId="0" fontId="6" fillId="0" borderId="0"/>
    <xf numFmtId="0" fontId="1" fillId="23" borderId="7" applyNumberFormat="0" applyFont="0" applyAlignment="0" applyProtection="0"/>
    <xf numFmtId="0" fontId="26" fillId="20" borderId="8" applyNumberFormat="0" applyAlignment="0" applyProtection="0"/>
    <xf numFmtId="9" fontId="1" fillId="0" borderId="0" applyFont="0" applyFill="0" applyBorder="0" applyAlignment="0" applyProtection="0"/>
    <xf numFmtId="0" fontId="27" fillId="0" borderId="0" applyNumberFormat="0" applyFill="0" applyBorder="0" applyAlignment="0" applyProtection="0"/>
    <xf numFmtId="0" fontId="28" fillId="0" borderId="9" applyNumberFormat="0" applyFill="0" applyAlignment="0" applyProtection="0"/>
    <xf numFmtId="0" fontId="29" fillId="0" borderId="0" applyNumberFormat="0" applyFill="0" applyBorder="0" applyAlignment="0" applyProtection="0"/>
    <xf numFmtId="0" fontId="38" fillId="0" borderId="0"/>
    <xf numFmtId="43" fontId="1"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8" fillId="25" borderId="23" applyNumberFormat="0" applyBorder="0" applyAlignment="0"/>
    <xf numFmtId="0" fontId="49" fillId="27" borderId="0" applyNumberFormat="0" applyBorder="0">
      <alignment horizontal="center" vertical="center"/>
    </xf>
    <xf numFmtId="165" fontId="87" fillId="54" borderId="0" applyNumberFormat="0" applyFill="0" applyBorder="0" applyAlignment="0">
      <alignment horizontal="left" vertical="center"/>
    </xf>
  </cellStyleXfs>
  <cellXfs count="1238">
    <xf numFmtId="0" fontId="0" fillId="0" borderId="0" xfId="0">
      <alignment vertical="center" wrapText="1"/>
    </xf>
    <xf numFmtId="0" fontId="11" fillId="24" borderId="0" xfId="0" applyFont="1" applyFill="1">
      <alignment vertical="center" wrapText="1"/>
    </xf>
    <xf numFmtId="0" fontId="11" fillId="24" borderId="0" xfId="0" applyFont="1" applyFill="1" applyAlignment="1">
      <alignment horizontal="center" vertical="top"/>
    </xf>
    <xf numFmtId="0" fontId="32" fillId="24" borderId="0" xfId="39" applyFont="1" applyFill="1" applyAlignment="1">
      <alignment horizontal="center" vertical="top"/>
    </xf>
    <xf numFmtId="164" fontId="30" fillId="29" borderId="0" xfId="0" applyNumberFormat="1" applyFont="1" applyFill="1" applyAlignment="1">
      <alignment horizontal="left" vertical="top"/>
    </xf>
    <xf numFmtId="0" fontId="7" fillId="36" borderId="0" xfId="46" applyFont="1" applyFill="1" applyAlignment="1">
      <alignment horizontal="left" vertical="top"/>
    </xf>
    <xf numFmtId="0" fontId="4" fillId="36" borderId="0" xfId="46" applyFont="1" applyFill="1"/>
    <xf numFmtId="0" fontId="11" fillId="36" borderId="0" xfId="46" applyFont="1" applyFill="1" applyAlignment="1">
      <alignment horizontal="center" vertical="top" wrapText="1"/>
    </xf>
    <xf numFmtId="0" fontId="38" fillId="0" borderId="0" xfId="46"/>
    <xf numFmtId="0" fontId="31" fillId="36" borderId="0" xfId="46" applyFont="1" applyFill="1" applyAlignment="1">
      <alignment vertical="top" wrapText="1"/>
    </xf>
    <xf numFmtId="0" fontId="39" fillId="0" borderId="0" xfId="0" applyFont="1">
      <alignment vertical="center" wrapText="1"/>
    </xf>
    <xf numFmtId="0" fontId="36" fillId="0" borderId="0" xfId="0" applyFont="1">
      <alignment vertical="center" wrapText="1"/>
    </xf>
    <xf numFmtId="0" fontId="40" fillId="0" borderId="0" xfId="0" applyFont="1">
      <alignment vertical="center" wrapText="1"/>
    </xf>
    <xf numFmtId="10" fontId="12" fillId="29" borderId="0" xfId="0" applyNumberFormat="1" applyFont="1" applyFill="1" applyAlignment="1">
      <alignment horizontal="center" vertical="top"/>
    </xf>
    <xf numFmtId="0" fontId="1" fillId="36" borderId="0" xfId="46" applyFont="1" applyFill="1"/>
    <xf numFmtId="0" fontId="11" fillId="24" borderId="0" xfId="0" applyFont="1" applyFill="1" applyAlignment="1">
      <alignment vertical="top"/>
    </xf>
    <xf numFmtId="0" fontId="1" fillId="0" borderId="0" xfId="0" applyFont="1">
      <alignment vertical="center" wrapText="1"/>
    </xf>
    <xf numFmtId="0" fontId="41" fillId="36" borderId="0" xfId="35" applyFont="1" applyFill="1" applyBorder="1" applyAlignment="1" applyProtection="1">
      <alignment vertical="top" wrapText="1"/>
    </xf>
    <xf numFmtId="0" fontId="1" fillId="29" borderId="0" xfId="0" applyFont="1" applyFill="1">
      <alignment vertical="center" wrapText="1"/>
    </xf>
    <xf numFmtId="0" fontId="1" fillId="24" borderId="0" xfId="0" applyFont="1" applyFill="1" applyAlignment="1">
      <alignment horizontal="center" vertical="top"/>
    </xf>
    <xf numFmtId="0" fontId="1" fillId="24" borderId="0" xfId="0" applyFont="1" applyFill="1" applyAlignment="1"/>
    <xf numFmtId="0" fontId="1" fillId="24" borderId="0" xfId="39" applyFont="1" applyFill="1"/>
    <xf numFmtId="0" fontId="1" fillId="24" borderId="0" xfId="0" applyFont="1" applyFill="1">
      <alignment vertical="center" wrapText="1"/>
    </xf>
    <xf numFmtId="0" fontId="1" fillId="0" borderId="0" xfId="39" applyFont="1"/>
    <xf numFmtId="164" fontId="9" fillId="29" borderId="0" xfId="0" applyNumberFormat="1" applyFont="1" applyFill="1" applyAlignment="1">
      <alignment horizontal="center" vertical="top"/>
    </xf>
    <xf numFmtId="0" fontId="10" fillId="29" borderId="0" xfId="0" applyFont="1" applyFill="1" applyAlignment="1">
      <alignment vertical="top"/>
    </xf>
    <xf numFmtId="164" fontId="12" fillId="29" borderId="0" xfId="0" applyNumberFormat="1" applyFont="1" applyFill="1" applyAlignment="1">
      <alignment horizontal="center" vertical="top"/>
    </xf>
    <xf numFmtId="164" fontId="11" fillId="29" borderId="0" xfId="0" applyNumberFormat="1" applyFont="1" applyFill="1" applyAlignment="1">
      <alignment horizontal="center" vertical="top"/>
    </xf>
    <xf numFmtId="10" fontId="11" fillId="29" borderId="0" xfId="0" applyNumberFormat="1" applyFont="1" applyFill="1" applyAlignment="1">
      <alignment horizontal="center" vertical="top"/>
    </xf>
    <xf numFmtId="0" fontId="11" fillId="29" borderId="0" xfId="0" applyFont="1" applyFill="1" applyAlignment="1">
      <alignment vertical="top"/>
    </xf>
    <xf numFmtId="0" fontId="11" fillId="29" borderId="0" xfId="0" applyFont="1" applyFill="1" applyAlignment="1">
      <alignment horizontal="center" vertical="top"/>
    </xf>
    <xf numFmtId="0" fontId="7" fillId="29" borderId="0" xfId="0" applyFont="1" applyFill="1">
      <alignment vertical="center" wrapText="1"/>
    </xf>
    <xf numFmtId="164" fontId="35" fillId="29" borderId="0" xfId="0" applyNumberFormat="1" applyFont="1" applyFill="1" applyAlignment="1">
      <alignment horizontal="left" vertical="top"/>
    </xf>
    <xf numFmtId="0" fontId="11" fillId="29" borderId="0" xfId="0" applyFont="1" applyFill="1" applyAlignment="1">
      <alignment horizontal="center" vertical="top" wrapText="1"/>
    </xf>
    <xf numFmtId="0" fontId="1" fillId="24" borderId="0" xfId="0" applyFont="1" applyFill="1" applyAlignment="1">
      <alignment horizontal="center"/>
    </xf>
    <xf numFmtId="164" fontId="1" fillId="24" borderId="0" xfId="0" applyNumberFormat="1" applyFont="1" applyFill="1" applyAlignment="1">
      <alignment horizontal="center"/>
    </xf>
    <xf numFmtId="0" fontId="11" fillId="29" borderId="0" xfId="0" applyFont="1" applyFill="1">
      <alignment vertical="center" wrapText="1"/>
    </xf>
    <xf numFmtId="0" fontId="11" fillId="29" borderId="0" xfId="0" applyFont="1" applyFill="1" applyAlignment="1">
      <alignment horizontal="center"/>
    </xf>
    <xf numFmtId="0" fontId="11" fillId="24" borderId="0" xfId="0" applyFont="1" applyFill="1" applyAlignment="1">
      <alignment horizontal="left" vertical="top"/>
    </xf>
    <xf numFmtId="0" fontId="11" fillId="29" borderId="0" xfId="0" applyFont="1" applyFill="1" applyAlignment="1">
      <alignment horizontal="left" vertical="top"/>
    </xf>
    <xf numFmtId="9" fontId="11" fillId="24" borderId="0" xfId="0" applyNumberFormat="1" applyFont="1" applyFill="1" applyAlignment="1">
      <alignment horizontal="center" vertical="top"/>
    </xf>
    <xf numFmtId="44" fontId="11" fillId="24" borderId="0" xfId="28" applyFont="1" applyFill="1" applyBorder="1" applyAlignment="1">
      <alignment horizontal="center" vertical="top"/>
    </xf>
    <xf numFmtId="0" fontId="42" fillId="36" borderId="0" xfId="35" applyFont="1" applyFill="1" applyBorder="1" applyAlignment="1" applyProtection="1">
      <alignment vertical="top" wrapText="1"/>
    </xf>
    <xf numFmtId="0" fontId="11" fillId="24" borderId="0" xfId="0" applyFont="1" applyFill="1" applyAlignment="1">
      <alignment horizontal="left" vertical="center" indent="1"/>
    </xf>
    <xf numFmtId="0" fontId="11" fillId="29" borderId="0" xfId="0" applyFont="1" applyFill="1" applyAlignment="1">
      <alignment horizontal="left" vertical="center" wrapText="1" indent="1"/>
    </xf>
    <xf numFmtId="0" fontId="4" fillId="36" borderId="0" xfId="46" applyFont="1" applyFill="1" applyAlignment="1">
      <alignment wrapText="1"/>
    </xf>
    <xf numFmtId="0" fontId="45" fillId="0" borderId="0" xfId="46" applyFont="1" applyAlignment="1">
      <alignment horizontal="left" vertical="top"/>
    </xf>
    <xf numFmtId="0" fontId="39" fillId="0" borderId="0" xfId="0" applyFont="1" applyAlignment="1">
      <alignment vertical="top"/>
    </xf>
    <xf numFmtId="0" fontId="39" fillId="0" borderId="0" xfId="0" applyFont="1" applyAlignment="1"/>
    <xf numFmtId="0" fontId="39" fillId="24" borderId="0" xfId="39" applyFont="1" applyFill="1"/>
    <xf numFmtId="0" fontId="39" fillId="0" borderId="0" xfId="39" applyFont="1"/>
    <xf numFmtId="0" fontId="39" fillId="24" borderId="0" xfId="0" applyFont="1" applyFill="1" applyAlignment="1">
      <alignment horizontal="center" vertical="top"/>
    </xf>
    <xf numFmtId="0" fontId="39" fillId="24" borderId="0" xfId="0" applyFont="1" applyFill="1" applyAlignment="1"/>
    <xf numFmtId="0" fontId="32" fillId="29" borderId="0" xfId="0" applyFont="1" applyFill="1" applyAlignment="1">
      <alignment horizontal="center" vertical="top"/>
    </xf>
    <xf numFmtId="0" fontId="39" fillId="24" borderId="0" xfId="0" applyFont="1" applyFill="1">
      <alignment vertical="center" wrapText="1"/>
    </xf>
    <xf numFmtId="0" fontId="47" fillId="42" borderId="0" xfId="0" applyFont="1" applyFill="1" applyAlignment="1">
      <alignment horizontal="center" vertical="center"/>
    </xf>
    <xf numFmtId="0" fontId="39" fillId="24" borderId="0" xfId="0" applyFont="1" applyFill="1" applyAlignment="1">
      <alignment vertical="center"/>
    </xf>
    <xf numFmtId="0" fontId="36" fillId="29" borderId="0" xfId="0" applyFont="1" applyFill="1" applyAlignment="1">
      <alignment horizontal="left"/>
    </xf>
    <xf numFmtId="0" fontId="39" fillId="24" borderId="11" xfId="0" applyFont="1" applyFill="1" applyBorder="1" applyAlignment="1">
      <alignment horizontal="left" indent="1"/>
    </xf>
    <xf numFmtId="0" fontId="36" fillId="29" borderId="0" xfId="0" applyFont="1" applyFill="1" applyAlignment="1">
      <alignment horizontal="left" vertical="center"/>
    </xf>
    <xf numFmtId="164" fontId="39" fillId="29" borderId="0" xfId="0" applyNumberFormat="1" applyFont="1" applyFill="1" applyAlignment="1">
      <alignment horizontal="center"/>
    </xf>
    <xf numFmtId="164" fontId="39" fillId="24" borderId="0" xfId="0" applyNumberFormat="1" applyFont="1" applyFill="1" applyAlignment="1">
      <alignment horizontal="left"/>
    </xf>
    <xf numFmtId="0" fontId="39" fillId="29" borderId="0" xfId="0" applyFont="1" applyFill="1" applyAlignment="1">
      <alignment vertical="top"/>
    </xf>
    <xf numFmtId="169" fontId="36" fillId="29" borderId="0" xfId="47" applyNumberFormat="1" applyFont="1" applyFill="1" applyBorder="1" applyAlignment="1">
      <alignment horizontal="left"/>
    </xf>
    <xf numFmtId="0" fontId="39" fillId="29" borderId="0" xfId="0" applyFont="1" applyFill="1" applyAlignment="1">
      <alignment vertical="center"/>
    </xf>
    <xf numFmtId="0" fontId="36" fillId="24" borderId="0" xfId="0" applyFont="1" applyFill="1" applyAlignment="1">
      <alignment horizontal="left"/>
    </xf>
    <xf numFmtId="164" fontId="39" fillId="24" borderId="0" xfId="0" applyNumberFormat="1" applyFont="1" applyFill="1" applyAlignment="1">
      <alignment horizontal="center"/>
    </xf>
    <xf numFmtId="0" fontId="39" fillId="29" borderId="0" xfId="0" applyFont="1" applyFill="1" applyAlignment="1">
      <alignment horizontal="center" vertical="top"/>
    </xf>
    <xf numFmtId="0" fontId="39" fillId="24" borderId="11" xfId="0" applyFont="1" applyFill="1" applyBorder="1" applyAlignment="1">
      <alignment horizontal="left" indent="2"/>
    </xf>
    <xf numFmtId="9" fontId="48" fillId="41" borderId="0" xfId="42" applyFont="1" applyFill="1" applyBorder="1" applyAlignment="1">
      <alignment horizontal="center" vertical="center"/>
    </xf>
    <xf numFmtId="9" fontId="39" fillId="24" borderId="12" xfId="0" applyNumberFormat="1" applyFont="1" applyFill="1" applyBorder="1" applyAlignment="1">
      <alignment horizontal="center"/>
    </xf>
    <xf numFmtId="0" fontId="36" fillId="24" borderId="11" xfId="0" applyFont="1" applyFill="1" applyBorder="1" applyAlignment="1">
      <alignment horizontal="left" indent="1"/>
    </xf>
    <xf numFmtId="9" fontId="46" fillId="24" borderId="0" xfId="0" applyNumberFormat="1" applyFont="1" applyFill="1" applyAlignment="1">
      <alignment horizontal="center"/>
    </xf>
    <xf numFmtId="0" fontId="39" fillId="29" borderId="0" xfId="0" quotePrefix="1" applyFont="1" applyFill="1" applyAlignment="1">
      <alignment vertical="top"/>
    </xf>
    <xf numFmtId="164" fontId="39" fillId="29" borderId="0" xfId="0" applyNumberFormat="1" applyFont="1" applyFill="1" applyAlignment="1">
      <alignment vertical="top"/>
    </xf>
    <xf numFmtId="0" fontId="39" fillId="24" borderId="0" xfId="0" applyFont="1" applyFill="1" applyAlignment="1">
      <alignment horizontal="left" indent="1"/>
    </xf>
    <xf numFmtId="0" fontId="39" fillId="29" borderId="0" xfId="0" applyFont="1" applyFill="1" applyAlignment="1">
      <alignment horizontal="left"/>
    </xf>
    <xf numFmtId="0" fontId="39" fillId="29" borderId="0" xfId="0" applyFont="1" applyFill="1">
      <alignment vertical="center" wrapText="1"/>
    </xf>
    <xf numFmtId="165" fontId="39" fillId="24" borderId="0" xfId="0" applyNumberFormat="1" applyFont="1" applyFill="1" applyAlignment="1">
      <alignment horizontal="center"/>
    </xf>
    <xf numFmtId="165" fontId="39" fillId="29" borderId="0" xfId="0" applyNumberFormat="1" applyFont="1" applyFill="1" applyAlignment="1">
      <alignment horizontal="center"/>
    </xf>
    <xf numFmtId="165" fontId="46" fillId="24" borderId="12" xfId="0" applyNumberFormat="1" applyFont="1" applyFill="1" applyBorder="1" applyAlignment="1">
      <alignment horizontal="center"/>
    </xf>
    <xf numFmtId="165" fontId="46" fillId="24" borderId="0" xfId="0" applyNumberFormat="1" applyFont="1" applyFill="1">
      <alignment vertical="center" wrapText="1"/>
    </xf>
    <xf numFmtId="165" fontId="46" fillId="29" borderId="0" xfId="0" applyNumberFormat="1" applyFont="1" applyFill="1">
      <alignment vertical="center" wrapText="1"/>
    </xf>
    <xf numFmtId="165" fontId="46" fillId="24" borderId="0" xfId="0" applyNumberFormat="1" applyFont="1" applyFill="1" applyAlignment="1">
      <alignment horizontal="center"/>
    </xf>
    <xf numFmtId="0" fontId="39" fillId="24" borderId="11" xfId="0" quotePrefix="1" applyFont="1" applyFill="1" applyBorder="1" applyAlignment="1">
      <alignment horizontal="left" indent="1"/>
    </xf>
    <xf numFmtId="9" fontId="46" fillId="24" borderId="0" xfId="0" applyNumberFormat="1" applyFont="1" applyFill="1">
      <alignment vertical="center" wrapText="1"/>
    </xf>
    <xf numFmtId="0" fontId="39" fillId="24" borderId="13" xfId="0" applyFont="1" applyFill="1" applyBorder="1" applyAlignment="1">
      <alignment horizontal="left" indent="1"/>
    </xf>
    <xf numFmtId="9" fontId="36" fillId="29" borderId="0" xfId="42" applyFont="1" applyFill="1" applyBorder="1" applyAlignment="1">
      <alignment horizontal="left"/>
    </xf>
    <xf numFmtId="0" fontId="39" fillId="24" borderId="11" xfId="0" applyFont="1" applyFill="1" applyBorder="1" applyAlignment="1">
      <alignment horizontal="left" vertical="top" wrapText="1" indent="1"/>
    </xf>
    <xf numFmtId="0" fontId="39" fillId="26" borderId="11" xfId="0" applyFont="1" applyFill="1" applyBorder="1" applyAlignment="1">
      <alignment horizontal="left" vertical="top" wrapText="1" indent="1"/>
    </xf>
    <xf numFmtId="0" fontId="39" fillId="26" borderId="26" xfId="0" applyFont="1" applyFill="1" applyBorder="1" applyAlignment="1">
      <alignment horizontal="left" vertical="top" wrapText="1" indent="1"/>
    </xf>
    <xf numFmtId="0" fontId="39" fillId="26" borderId="13" xfId="0" applyFont="1" applyFill="1" applyBorder="1" applyAlignment="1">
      <alignment horizontal="left" vertical="top" wrapText="1" indent="1"/>
    </xf>
    <xf numFmtId="0" fontId="39" fillId="0" borderId="0" xfId="0" applyFont="1" applyAlignment="1">
      <alignment horizontal="center" vertical="center" wrapText="1"/>
    </xf>
    <xf numFmtId="0" fontId="39" fillId="24" borderId="0" xfId="0" applyFont="1" applyFill="1" applyAlignment="1">
      <alignment horizontal="center" vertical="center" wrapText="1"/>
    </xf>
    <xf numFmtId="164" fontId="39" fillId="0" borderId="0" xfId="0" applyNumberFormat="1" applyFont="1" applyAlignment="1">
      <alignment horizontal="center"/>
    </xf>
    <xf numFmtId="0" fontId="50" fillId="0" borderId="0" xfId="0" applyFont="1" applyAlignment="1">
      <alignment horizontal="left" vertical="top"/>
    </xf>
    <xf numFmtId="0" fontId="0" fillId="29" borderId="11" xfId="0" quotePrefix="1" applyFill="1" applyBorder="1" applyAlignment="1">
      <alignment vertical="center"/>
    </xf>
    <xf numFmtId="0" fontId="0" fillId="24" borderId="11" xfId="0" applyFill="1" applyBorder="1" applyAlignment="1">
      <alignment vertical="center"/>
    </xf>
    <xf numFmtId="0" fontId="36" fillId="29" borderId="31" xfId="0" quotePrefix="1" applyFont="1" applyFill="1" applyBorder="1" applyAlignment="1">
      <alignment vertical="center"/>
    </xf>
    <xf numFmtId="0" fontId="0" fillId="38" borderId="11" xfId="0" applyFill="1" applyBorder="1" applyAlignment="1"/>
    <xf numFmtId="0" fontId="0" fillId="0" borderId="11" xfId="0" applyBorder="1" applyAlignment="1"/>
    <xf numFmtId="0" fontId="36" fillId="0" borderId="36" xfId="0" applyFont="1" applyBorder="1" applyAlignment="1"/>
    <xf numFmtId="0" fontId="0" fillId="24" borderId="0" xfId="0" applyFill="1" applyAlignment="1"/>
    <xf numFmtId="0" fontId="51" fillId="24" borderId="0" xfId="0" applyFont="1" applyFill="1" applyAlignment="1"/>
    <xf numFmtId="0" fontId="52" fillId="0" borderId="0" xfId="0" applyFont="1" applyAlignment="1">
      <alignment horizontal="left" vertical="top"/>
    </xf>
    <xf numFmtId="0" fontId="53" fillId="0" borderId="0" xfId="0" applyFont="1" applyAlignment="1">
      <alignment horizontal="left" vertical="top"/>
    </xf>
    <xf numFmtId="0" fontId="51" fillId="29" borderId="0" xfId="0" applyFont="1" applyFill="1" applyAlignment="1">
      <alignment vertical="top"/>
    </xf>
    <xf numFmtId="0" fontId="32" fillId="27" borderId="0" xfId="39" applyFont="1" applyFill="1" applyAlignment="1">
      <alignment vertical="top"/>
    </xf>
    <xf numFmtId="164" fontId="46" fillId="29" borderId="0" xfId="0" applyNumberFormat="1" applyFont="1" applyFill="1" applyAlignment="1">
      <alignment horizontal="center" vertical="top"/>
    </xf>
    <xf numFmtId="164" fontId="48" fillId="29" borderId="0" xfId="0" applyNumberFormat="1" applyFont="1" applyFill="1" applyAlignment="1">
      <alignment horizontal="left" vertical="top"/>
    </xf>
    <xf numFmtId="0" fontId="0" fillId="24" borderId="11" xfId="0" applyFill="1" applyBorder="1" applyAlignment="1">
      <alignment horizontal="left" vertical="top" indent="1"/>
    </xf>
    <xf numFmtId="0" fontId="0" fillId="24" borderId="0" xfId="0" applyFill="1" applyAlignment="1">
      <alignment horizontal="left" vertical="top" indent="1"/>
    </xf>
    <xf numFmtId="164" fontId="0" fillId="24" borderId="0" xfId="0" applyNumberFormat="1" applyFill="1" applyAlignment="1">
      <alignment horizontal="left" vertical="top" indent="1"/>
    </xf>
    <xf numFmtId="10" fontId="46" fillId="29" borderId="0" xfId="0" applyNumberFormat="1" applyFont="1" applyFill="1" applyAlignment="1">
      <alignment horizontal="center" vertical="top"/>
    </xf>
    <xf numFmtId="0" fontId="0" fillId="24" borderId="11" xfId="0" applyFill="1" applyBorder="1" applyAlignment="1">
      <alignment horizontal="left" vertical="top" indent="2"/>
    </xf>
    <xf numFmtId="10" fontId="0" fillId="29" borderId="0" xfId="0" applyNumberFormat="1" applyFill="1" applyAlignment="1">
      <alignment horizontal="left" vertical="top"/>
    </xf>
    <xf numFmtId="164" fontId="0" fillId="29" borderId="0" xfId="0" applyNumberFormat="1" applyFill="1" applyAlignment="1">
      <alignment horizontal="center" vertical="top"/>
    </xf>
    <xf numFmtId="164" fontId="36" fillId="24" borderId="0" xfId="0" applyNumberFormat="1" applyFont="1" applyFill="1" applyAlignment="1">
      <alignment horizontal="center" vertical="top"/>
    </xf>
    <xf numFmtId="0" fontId="0" fillId="29" borderId="0" xfId="0" applyFill="1" applyAlignment="1">
      <alignment vertical="top"/>
    </xf>
    <xf numFmtId="0" fontId="36" fillId="29" borderId="0" xfId="0" applyFont="1" applyFill="1" applyAlignment="1">
      <alignment horizontal="left" vertical="top"/>
    </xf>
    <xf numFmtId="10" fontId="46" fillId="29" borderId="0" xfId="0" applyNumberFormat="1" applyFont="1" applyFill="1" applyAlignment="1">
      <alignment horizontal="left" vertical="top"/>
    </xf>
    <xf numFmtId="164" fontId="0" fillId="29" borderId="0" xfId="0" applyNumberFormat="1" applyFill="1" applyAlignment="1">
      <alignment horizontal="left" vertical="top"/>
    </xf>
    <xf numFmtId="0" fontId="0" fillId="29" borderId="0" xfId="0" applyFill="1" applyAlignment="1">
      <alignment horizontal="left" vertical="top"/>
    </xf>
    <xf numFmtId="0" fontId="39" fillId="0" borderId="0" xfId="0" applyFont="1" applyAlignment="1">
      <alignment horizontal="center" vertical="top"/>
    </xf>
    <xf numFmtId="0" fontId="39" fillId="24" borderId="0" xfId="0" applyFont="1" applyFill="1" applyAlignment="1">
      <alignment horizontal="left"/>
    </xf>
    <xf numFmtId="164" fontId="39" fillId="24" borderId="0" xfId="0" applyNumberFormat="1" applyFont="1" applyFill="1" applyAlignment="1">
      <alignment horizontal="center" vertical="top"/>
    </xf>
    <xf numFmtId="164" fontId="39" fillId="29" borderId="0" xfId="0" applyNumberFormat="1" applyFont="1" applyFill="1" applyAlignment="1">
      <alignment horizontal="center" vertical="top"/>
    </xf>
    <xf numFmtId="164" fontId="39" fillId="29" borderId="0" xfId="0" applyNumberFormat="1" applyFont="1" applyFill="1" applyAlignment="1">
      <alignment horizontal="left"/>
    </xf>
    <xf numFmtId="164" fontId="39" fillId="24" borderId="0" xfId="0" applyNumberFormat="1" applyFont="1" applyFill="1" applyAlignment="1">
      <alignment horizontal="right" vertical="top"/>
    </xf>
    <xf numFmtId="0" fontId="39" fillId="24" borderId="0" xfId="0" applyFont="1" applyFill="1" applyAlignment="1">
      <alignment vertical="top"/>
    </xf>
    <xf numFmtId="164" fontId="36" fillId="25" borderId="20" xfId="0" applyNumberFormat="1" applyFont="1" applyFill="1" applyBorder="1" applyAlignment="1">
      <alignment horizontal="center" vertical="top"/>
    </xf>
    <xf numFmtId="164" fontId="36" fillId="29" borderId="0" xfId="0" applyNumberFormat="1" applyFont="1" applyFill="1" applyAlignment="1">
      <alignment horizontal="center" vertical="top"/>
    </xf>
    <xf numFmtId="0" fontId="39" fillId="24" borderId="34" xfId="0" applyFont="1" applyFill="1" applyBorder="1">
      <alignment vertical="center" wrapText="1"/>
    </xf>
    <xf numFmtId="164" fontId="36" fillId="24" borderId="0" xfId="0" applyNumberFormat="1" applyFont="1" applyFill="1" applyAlignment="1">
      <alignment horizontal="left" vertical="top"/>
    </xf>
    <xf numFmtId="0" fontId="39" fillId="24" borderId="34" xfId="0" applyFont="1" applyFill="1" applyBorder="1" applyAlignment="1">
      <alignment vertical="top"/>
    </xf>
    <xf numFmtId="0" fontId="36" fillId="24" borderId="0" xfId="0" applyFont="1" applyFill="1" applyAlignment="1">
      <alignment horizontal="left" vertical="top"/>
    </xf>
    <xf numFmtId="164" fontId="46" fillId="24" borderId="27" xfId="0" applyNumberFormat="1" applyFont="1" applyFill="1" applyBorder="1" applyAlignment="1">
      <alignment horizontal="center" vertical="top"/>
    </xf>
    <xf numFmtId="164" fontId="46" fillId="24" borderId="0" xfId="0" applyNumberFormat="1" applyFont="1" applyFill="1" applyAlignment="1">
      <alignment horizontal="center" vertical="top"/>
    </xf>
    <xf numFmtId="164" fontId="46" fillId="0" borderId="0" xfId="0" applyNumberFormat="1" applyFont="1" applyAlignment="1">
      <alignment horizontal="center" vertical="top"/>
    </xf>
    <xf numFmtId="164" fontId="48" fillId="24" borderId="12" xfId="0" applyNumberFormat="1" applyFont="1" applyFill="1" applyBorder="1" applyAlignment="1">
      <alignment horizontal="left" vertical="top"/>
    </xf>
    <xf numFmtId="0" fontId="39" fillId="24" borderId="0" xfId="0" applyFont="1" applyFill="1" applyAlignment="1">
      <alignment horizontal="left" vertical="top"/>
    </xf>
    <xf numFmtId="3" fontId="39" fillId="24" borderId="0" xfId="0" applyNumberFormat="1" applyFont="1" applyFill="1" applyAlignment="1">
      <alignment horizontal="center" vertical="top"/>
    </xf>
    <xf numFmtId="3" fontId="46" fillId="24" borderId="12" xfId="0" applyNumberFormat="1" applyFont="1" applyFill="1" applyBorder="1" applyAlignment="1">
      <alignment horizontal="left" vertical="top"/>
    </xf>
    <xf numFmtId="3" fontId="46" fillId="29" borderId="0" xfId="0" applyNumberFormat="1" applyFont="1" applyFill="1" applyAlignment="1">
      <alignment horizontal="left" vertical="top"/>
    </xf>
    <xf numFmtId="6" fontId="46" fillId="24" borderId="0" xfId="0" applyNumberFormat="1" applyFont="1" applyFill="1" applyAlignment="1">
      <alignment horizontal="center" vertical="top"/>
    </xf>
    <xf numFmtId="6" fontId="39" fillId="24" borderId="0" xfId="0" applyNumberFormat="1" applyFont="1" applyFill="1" applyAlignment="1">
      <alignment horizontal="center" vertical="top"/>
    </xf>
    <xf numFmtId="6" fontId="39" fillId="24" borderId="12" xfId="0" applyNumberFormat="1" applyFont="1" applyFill="1" applyBorder="1" applyAlignment="1">
      <alignment horizontal="center" vertical="top"/>
    </xf>
    <xf numFmtId="164" fontId="39" fillId="24" borderId="12" xfId="0" applyNumberFormat="1" applyFont="1" applyFill="1" applyBorder="1" applyAlignment="1">
      <alignment horizontal="center" vertical="top"/>
    </xf>
    <xf numFmtId="165" fontId="39" fillId="24" borderId="0" xfId="42" applyNumberFormat="1" applyFont="1" applyFill="1" applyBorder="1" applyAlignment="1">
      <alignment horizontal="left" vertical="top"/>
    </xf>
    <xf numFmtId="9" fontId="46" fillId="24" borderId="0" xfId="42" applyFont="1" applyFill="1" applyBorder="1" applyAlignment="1">
      <alignment horizontal="center" vertical="top"/>
    </xf>
    <xf numFmtId="9" fontId="39" fillId="24" borderId="0" xfId="42" applyFont="1" applyFill="1" applyBorder="1" applyAlignment="1">
      <alignment horizontal="left" vertical="top"/>
    </xf>
    <xf numFmtId="164" fontId="39" fillId="24" borderId="12" xfId="0" applyNumberFormat="1" applyFont="1" applyFill="1" applyBorder="1" applyAlignment="1">
      <alignment horizontal="left" vertical="top"/>
    </xf>
    <xf numFmtId="164" fontId="39" fillId="29" borderId="0" xfId="0" applyNumberFormat="1" applyFont="1" applyFill="1" applyAlignment="1">
      <alignment horizontal="left" vertical="top"/>
    </xf>
    <xf numFmtId="166" fontId="39" fillId="24" borderId="0" xfId="28" applyNumberFormat="1" applyFont="1" applyFill="1" applyBorder="1" applyAlignment="1">
      <alignment horizontal="left" vertical="top"/>
    </xf>
    <xf numFmtId="3" fontId="46" fillId="24" borderId="0" xfId="0" applyNumberFormat="1" applyFont="1" applyFill="1" applyAlignment="1">
      <alignment horizontal="left" vertical="top"/>
    </xf>
    <xf numFmtId="164" fontId="39" fillId="24" borderId="15" xfId="0" applyNumberFormat="1" applyFont="1" applyFill="1" applyBorder="1" applyAlignment="1">
      <alignment horizontal="center" vertical="top"/>
    </xf>
    <xf numFmtId="164" fontId="39" fillId="24" borderId="0" xfId="0" applyNumberFormat="1" applyFont="1" applyFill="1" applyAlignment="1">
      <alignment horizontal="left" vertical="top"/>
    </xf>
    <xf numFmtId="164" fontId="46" fillId="24" borderId="0" xfId="0" applyNumberFormat="1" applyFont="1" applyFill="1" applyAlignment="1">
      <alignment horizontal="left" vertical="top"/>
    </xf>
    <xf numFmtId="0" fontId="36" fillId="25" borderId="19" xfId="0" applyFont="1" applyFill="1" applyBorder="1" applyAlignment="1">
      <alignment vertical="top"/>
    </xf>
    <xf numFmtId="4" fontId="39" fillId="29" borderId="0" xfId="0" applyNumberFormat="1" applyFont="1" applyFill="1" applyAlignment="1">
      <alignment horizontal="center" vertical="top"/>
    </xf>
    <xf numFmtId="164" fontId="39" fillId="0" borderId="0" xfId="0" applyNumberFormat="1" applyFont="1" applyAlignment="1">
      <alignment horizontal="right" vertical="top"/>
    </xf>
    <xf numFmtId="164" fontId="39" fillId="0" borderId="0" xfId="0" applyNumberFormat="1" applyFont="1" applyAlignment="1">
      <alignment horizontal="center" vertical="top"/>
    </xf>
    <xf numFmtId="164" fontId="48" fillId="24" borderId="0" xfId="0" applyNumberFormat="1" applyFont="1" applyFill="1" applyAlignment="1">
      <alignment horizontal="center" vertical="top"/>
    </xf>
    <xf numFmtId="4" fontId="39" fillId="24" borderId="12" xfId="0" applyNumberFormat="1" applyFont="1" applyFill="1" applyBorder="1" applyAlignment="1">
      <alignment horizontal="center" vertical="top"/>
    </xf>
    <xf numFmtId="10" fontId="39" fillId="24" borderId="12" xfId="0" applyNumberFormat="1" applyFont="1" applyFill="1" applyBorder="1" applyAlignment="1">
      <alignment horizontal="center" vertical="top"/>
    </xf>
    <xf numFmtId="10" fontId="46" fillId="24" borderId="12" xfId="0" applyNumberFormat="1" applyFont="1" applyFill="1" applyBorder="1" applyAlignment="1">
      <alignment horizontal="center" vertical="top"/>
    </xf>
    <xf numFmtId="0" fontId="39" fillId="24" borderId="27" xfId="0" applyFont="1" applyFill="1" applyBorder="1" applyAlignment="1">
      <alignment vertical="top"/>
    </xf>
    <xf numFmtId="164" fontId="39" fillId="24" borderId="27" xfId="0" applyNumberFormat="1" applyFont="1" applyFill="1" applyBorder="1" applyAlignment="1">
      <alignment horizontal="left" vertical="top"/>
    </xf>
    <xf numFmtId="0" fontId="39" fillId="24" borderId="28" xfId="0" applyFont="1" applyFill="1" applyBorder="1" applyAlignment="1">
      <alignment vertical="top"/>
    </xf>
    <xf numFmtId="164" fontId="36" fillId="24" borderId="11" xfId="0" applyNumberFormat="1" applyFont="1" applyFill="1" applyBorder="1" applyAlignment="1">
      <alignment horizontal="left" vertical="top" indent="1"/>
    </xf>
    <xf numFmtId="0" fontId="39" fillId="24" borderId="12" xfId="0" applyFont="1" applyFill="1" applyBorder="1" applyAlignment="1">
      <alignment vertical="top"/>
    </xf>
    <xf numFmtId="164" fontId="48" fillId="24" borderId="0" xfId="0" applyNumberFormat="1" applyFont="1" applyFill="1" applyAlignment="1">
      <alignment horizontal="left" vertical="top"/>
    </xf>
    <xf numFmtId="164" fontId="46" fillId="24" borderId="12" xfId="0" applyNumberFormat="1" applyFont="1" applyFill="1" applyBorder="1" applyAlignment="1">
      <alignment horizontal="center" vertical="top"/>
    </xf>
    <xf numFmtId="0" fontId="39" fillId="24" borderId="10" xfId="0" applyFont="1" applyFill="1" applyBorder="1" applyAlignment="1">
      <alignment vertical="top"/>
    </xf>
    <xf numFmtId="164" fontId="36" fillId="24" borderId="39" xfId="0" applyNumberFormat="1" applyFont="1" applyFill="1" applyBorder="1" applyAlignment="1">
      <alignment horizontal="center" vertical="top"/>
    </xf>
    <xf numFmtId="164" fontId="36" fillId="24" borderId="37" xfId="0" applyNumberFormat="1" applyFont="1" applyFill="1" applyBorder="1" applyAlignment="1">
      <alignment horizontal="center" vertical="top"/>
    </xf>
    <xf numFmtId="0" fontId="36" fillId="24" borderId="0" xfId="0" applyFont="1" applyFill="1" applyAlignment="1">
      <alignment vertical="top"/>
    </xf>
    <xf numFmtId="164" fontId="39" fillId="24" borderId="42" xfId="0" applyNumberFormat="1" applyFont="1" applyFill="1" applyBorder="1" applyAlignment="1">
      <alignment horizontal="right" vertical="top"/>
    </xf>
    <xf numFmtId="0" fontId="36" fillId="0" borderId="43" xfId="0" applyFont="1" applyBorder="1" applyAlignment="1">
      <alignment vertical="top" wrapText="1"/>
    </xf>
    <xf numFmtId="0" fontId="36" fillId="0" borderId="44" xfId="0" applyFont="1" applyBorder="1" applyAlignment="1">
      <alignment horizontal="center" vertical="top" wrapText="1"/>
    </xf>
    <xf numFmtId="0" fontId="36" fillId="0" borderId="45" xfId="0" applyFont="1" applyBorder="1" applyAlignment="1">
      <alignment horizontal="center" vertical="top" wrapText="1"/>
    </xf>
    <xf numFmtId="0" fontId="36" fillId="0" borderId="43" xfId="0" applyFont="1" applyBorder="1" applyAlignment="1">
      <alignment horizontal="center" vertical="top" wrapText="1"/>
    </xf>
    <xf numFmtId="0" fontId="36" fillId="0" borderId="44" xfId="0" applyFont="1" applyBorder="1" applyAlignment="1">
      <alignment vertical="top" wrapText="1"/>
    </xf>
    <xf numFmtId="0" fontId="39" fillId="0" borderId="32" xfId="0" applyFont="1" applyBorder="1" applyAlignment="1">
      <alignment vertical="top"/>
    </xf>
    <xf numFmtId="0" fontId="39" fillId="0" borderId="38" xfId="0" applyFont="1" applyBorder="1" applyAlignment="1">
      <alignment vertical="top"/>
    </xf>
    <xf numFmtId="164" fontId="36" fillId="25" borderId="35" xfId="0" applyNumberFormat="1" applyFont="1" applyFill="1" applyBorder="1" applyAlignment="1">
      <alignment horizontal="center" vertical="top"/>
    </xf>
    <xf numFmtId="10" fontId="39" fillId="29" borderId="0" xfId="0" applyNumberFormat="1" applyFont="1" applyFill="1" applyAlignment="1">
      <alignment horizontal="center" vertical="top"/>
    </xf>
    <xf numFmtId="0" fontId="39" fillId="24" borderId="11" xfId="0" applyFont="1" applyFill="1" applyBorder="1" applyAlignment="1">
      <alignment vertical="top"/>
    </xf>
    <xf numFmtId="10" fontId="39" fillId="24" borderId="0" xfId="0" applyNumberFormat="1" applyFont="1" applyFill="1" applyAlignment="1">
      <alignment horizontal="center" vertical="top"/>
    </xf>
    <xf numFmtId="164" fontId="39" fillId="24" borderId="27" xfId="0" applyNumberFormat="1" applyFont="1" applyFill="1" applyBorder="1" applyAlignment="1">
      <alignment horizontal="center" vertical="top"/>
    </xf>
    <xf numFmtId="0" fontId="39" fillId="24" borderId="42" xfId="0" applyFont="1" applyFill="1" applyBorder="1" applyAlignment="1">
      <alignment vertical="top"/>
    </xf>
    <xf numFmtId="164" fontId="39" fillId="0" borderId="43" xfId="0" applyNumberFormat="1" applyFont="1" applyBorder="1" applyAlignment="1">
      <alignment horizontal="left" vertical="top"/>
    </xf>
    <xf numFmtId="166" fontId="39" fillId="0" borderId="44" xfId="28" applyNumberFormat="1" applyFont="1" applyBorder="1" applyAlignment="1">
      <alignment horizontal="left" vertical="top" wrapText="1"/>
    </xf>
    <xf numFmtId="166" fontId="46" fillId="0" borderId="44" xfId="28" applyNumberFormat="1" applyFont="1" applyFill="1" applyBorder="1" applyAlignment="1">
      <alignment horizontal="left" vertical="top" wrapText="1"/>
    </xf>
    <xf numFmtId="166" fontId="39" fillId="0" borderId="44" xfId="28" applyNumberFormat="1" applyFont="1" applyBorder="1" applyAlignment="1">
      <alignment vertical="top" wrapText="1"/>
    </xf>
    <xf numFmtId="0" fontId="39" fillId="0" borderId="44" xfId="0" applyFont="1" applyBorder="1" applyAlignment="1">
      <alignment vertical="top" wrapText="1"/>
    </xf>
    <xf numFmtId="0" fontId="39" fillId="0" borderId="45" xfId="0" applyFont="1" applyBorder="1" applyAlignment="1">
      <alignment vertical="top" wrapText="1"/>
    </xf>
    <xf numFmtId="0" fontId="39" fillId="0" borderId="46" xfId="0" applyFont="1" applyBorder="1" applyAlignment="1">
      <alignment vertical="top"/>
    </xf>
    <xf numFmtId="0" fontId="39" fillId="0" borderId="43" xfId="0" applyFont="1" applyBorder="1" applyAlignment="1">
      <alignment horizontal="left" vertical="top"/>
    </xf>
    <xf numFmtId="166" fontId="46" fillId="0" borderId="44" xfId="28" applyNumberFormat="1" applyFont="1" applyBorder="1" applyAlignment="1">
      <alignment horizontal="left" vertical="top" wrapText="1"/>
    </xf>
    <xf numFmtId="166" fontId="46" fillId="0" borderId="44" xfId="28" applyNumberFormat="1" applyFont="1" applyBorder="1" applyAlignment="1">
      <alignment vertical="top" wrapText="1"/>
    </xf>
    <xf numFmtId="166" fontId="46" fillId="0" borderId="45" xfId="28" applyNumberFormat="1" applyFont="1" applyBorder="1" applyAlignment="1">
      <alignment vertical="top" wrapText="1"/>
    </xf>
    <xf numFmtId="0" fontId="39" fillId="0" borderId="43" xfId="0" applyFont="1" applyBorder="1" applyAlignment="1">
      <alignment vertical="top"/>
    </xf>
    <xf numFmtId="166" fontId="39" fillId="0" borderId="44" xfId="28" applyNumberFormat="1" applyFont="1" applyFill="1" applyBorder="1" applyAlignment="1">
      <alignment horizontal="left" vertical="top" wrapText="1"/>
    </xf>
    <xf numFmtId="0" fontId="39" fillId="24" borderId="42" xfId="0" applyFont="1" applyFill="1" applyBorder="1" applyAlignment="1">
      <alignment horizontal="left" vertical="top"/>
    </xf>
    <xf numFmtId="9" fontId="39" fillId="0" borderId="43" xfId="0" applyNumberFormat="1" applyFont="1" applyBorder="1" applyAlignment="1">
      <alignment horizontal="left" vertical="top"/>
    </xf>
    <xf numFmtId="166" fontId="46" fillId="0" borderId="44" xfId="28" applyNumberFormat="1" applyFont="1" applyFill="1" applyBorder="1" applyAlignment="1">
      <alignment vertical="top" wrapText="1"/>
    </xf>
    <xf numFmtId="0" fontId="39" fillId="0" borderId="44" xfId="0" applyFont="1" applyBorder="1" applyAlignment="1">
      <alignment vertical="top"/>
    </xf>
    <xf numFmtId="10" fontId="46" fillId="24" borderId="0" xfId="0" applyNumberFormat="1" applyFont="1" applyFill="1" applyAlignment="1">
      <alignment horizontal="center" vertical="top"/>
    </xf>
    <xf numFmtId="10" fontId="36" fillId="29" borderId="0" xfId="0" applyNumberFormat="1" applyFont="1" applyFill="1" applyAlignment="1">
      <alignment horizontal="center" vertical="top"/>
    </xf>
    <xf numFmtId="0" fontId="36" fillId="24" borderId="17" xfId="0" applyFont="1" applyFill="1" applyBorder="1" applyAlignment="1">
      <alignment vertical="top"/>
    </xf>
    <xf numFmtId="164" fontId="36" fillId="24" borderId="18" xfId="0" applyNumberFormat="1" applyFont="1" applyFill="1" applyBorder="1" applyAlignment="1">
      <alignment horizontal="center" vertical="top"/>
    </xf>
    <xf numFmtId="10" fontId="36" fillId="24" borderId="30" xfId="0" applyNumberFormat="1" applyFont="1" applyFill="1" applyBorder="1" applyAlignment="1">
      <alignment horizontal="center" vertical="top"/>
    </xf>
    <xf numFmtId="10" fontId="48" fillId="29" borderId="0" xfId="0" applyNumberFormat="1" applyFont="1" applyFill="1" applyAlignment="1">
      <alignment horizontal="center" vertical="top"/>
    </xf>
    <xf numFmtId="0" fontId="39" fillId="24" borderId="47" xfId="0" applyFont="1" applyFill="1" applyBorder="1" applyAlignment="1">
      <alignment vertical="top"/>
    </xf>
    <xf numFmtId="0" fontId="39" fillId="0" borderId="61" xfId="0" applyFont="1" applyBorder="1" applyAlignment="1">
      <alignment vertical="top"/>
    </xf>
    <xf numFmtId="166" fontId="46" fillId="0" borderId="48" xfId="28" applyNumberFormat="1" applyFont="1" applyBorder="1" applyAlignment="1">
      <alignment horizontal="left" vertical="top" wrapText="1"/>
    </xf>
    <xf numFmtId="166" fontId="39" fillId="0" borderId="48" xfId="28" applyNumberFormat="1" applyFont="1" applyFill="1" applyBorder="1" applyAlignment="1">
      <alignment horizontal="left" vertical="top" wrapText="1"/>
    </xf>
    <xf numFmtId="166" fontId="39" fillId="0" borderId="48" xfId="28" applyNumberFormat="1" applyFont="1" applyBorder="1" applyAlignment="1">
      <alignment vertical="top" wrapText="1"/>
    </xf>
    <xf numFmtId="0" fontId="39" fillId="0" borderId="48" xfId="0" applyFont="1" applyBorder="1" applyAlignment="1">
      <alignment vertical="top" wrapText="1"/>
    </xf>
    <xf numFmtId="0" fontId="39" fillId="0" borderId="49" xfId="0" applyFont="1" applyBorder="1" applyAlignment="1">
      <alignment vertical="top" wrapText="1"/>
    </xf>
    <xf numFmtId="166" fontId="46" fillId="0" borderId="48" xfId="28" applyNumberFormat="1" applyFont="1" applyFill="1" applyBorder="1" applyAlignment="1">
      <alignment horizontal="left" vertical="top" wrapText="1"/>
    </xf>
    <xf numFmtId="0" fontId="39" fillId="0" borderId="50" xfId="0" applyFont="1" applyBorder="1" applyAlignment="1">
      <alignment vertical="top"/>
    </xf>
    <xf numFmtId="0" fontId="36" fillId="24" borderId="11" xfId="0" applyFont="1" applyFill="1" applyBorder="1" applyAlignment="1">
      <alignment vertical="top"/>
    </xf>
    <xf numFmtId="10" fontId="48" fillId="24" borderId="12" xfId="0" applyNumberFormat="1" applyFont="1" applyFill="1" applyBorder="1" applyAlignment="1">
      <alignment horizontal="center" vertical="top"/>
    </xf>
    <xf numFmtId="0" fontId="39" fillId="24" borderId="0" xfId="0" applyFont="1" applyFill="1" applyAlignment="1">
      <alignment horizontal="right" vertical="top"/>
    </xf>
    <xf numFmtId="164" fontId="39" fillId="24" borderId="14" xfId="0" applyNumberFormat="1" applyFont="1" applyFill="1" applyBorder="1" applyAlignment="1">
      <alignment horizontal="center" vertical="top"/>
    </xf>
    <xf numFmtId="10" fontId="48" fillId="24" borderId="15" xfId="0" applyNumberFormat="1" applyFont="1" applyFill="1" applyBorder="1" applyAlignment="1">
      <alignment horizontal="center" vertical="top"/>
    </xf>
    <xf numFmtId="10" fontId="36" fillId="25" borderId="35" xfId="0" applyNumberFormat="1" applyFont="1" applyFill="1" applyBorder="1" applyAlignment="1">
      <alignment horizontal="center" vertical="top"/>
    </xf>
    <xf numFmtId="0" fontId="39" fillId="24" borderId="11" xfId="0" quotePrefix="1" applyFont="1" applyFill="1" applyBorder="1" applyAlignment="1">
      <alignment vertical="top"/>
    </xf>
    <xf numFmtId="164" fontId="46" fillId="24" borderId="14" xfId="0" applyNumberFormat="1" applyFont="1" applyFill="1" applyBorder="1" applyAlignment="1">
      <alignment horizontal="center" vertical="top"/>
    </xf>
    <xf numFmtId="164" fontId="46" fillId="24" borderId="14" xfId="0" applyNumberFormat="1" applyFont="1" applyFill="1" applyBorder="1" applyAlignment="1">
      <alignment horizontal="left" vertical="top"/>
    </xf>
    <xf numFmtId="164" fontId="46" fillId="24" borderId="15" xfId="0" applyNumberFormat="1" applyFont="1" applyFill="1" applyBorder="1" applyAlignment="1">
      <alignment horizontal="left" vertical="top"/>
    </xf>
    <xf numFmtId="164" fontId="46" fillId="24" borderId="0" xfId="0" applyNumberFormat="1" applyFont="1" applyFill="1" applyAlignment="1">
      <alignment horizontal="right" vertical="top"/>
    </xf>
    <xf numFmtId="0" fontId="39" fillId="24" borderId="13" xfId="0" applyFont="1" applyFill="1" applyBorder="1" applyAlignment="1">
      <alignment vertical="top" wrapText="1"/>
    </xf>
    <xf numFmtId="4" fontId="39" fillId="24" borderId="15" xfId="0" applyNumberFormat="1" applyFont="1" applyFill="1" applyBorder="1" applyAlignment="1">
      <alignment horizontal="center" vertical="top"/>
    </xf>
    <xf numFmtId="164" fontId="39" fillId="24" borderId="28" xfId="0" applyNumberFormat="1" applyFont="1" applyFill="1" applyBorder="1" applyAlignment="1">
      <alignment horizontal="center" vertical="top"/>
    </xf>
    <xf numFmtId="0" fontId="39" fillId="24" borderId="13" xfId="0" applyFont="1" applyFill="1" applyBorder="1" applyAlignment="1">
      <alignment vertical="top"/>
    </xf>
    <xf numFmtId="0" fontId="39" fillId="24" borderId="0" xfId="0" quotePrefix="1" applyFont="1" applyFill="1" applyAlignment="1"/>
    <xf numFmtId="0" fontId="39" fillId="0" borderId="0" xfId="0" applyFont="1" applyAlignment="1">
      <alignment horizontal="left" vertical="top"/>
    </xf>
    <xf numFmtId="164" fontId="36" fillId="42" borderId="20" xfId="0" applyNumberFormat="1" applyFont="1" applyFill="1" applyBorder="1" applyAlignment="1">
      <alignment horizontal="center" vertical="top"/>
    </xf>
    <xf numFmtId="0" fontId="39" fillId="42" borderId="35" xfId="0" applyFont="1" applyFill="1" applyBorder="1" applyAlignment="1">
      <alignment horizontal="center" vertical="top"/>
    </xf>
    <xf numFmtId="164" fontId="36" fillId="42" borderId="20" xfId="0" applyNumberFormat="1" applyFont="1" applyFill="1" applyBorder="1" applyAlignment="1">
      <alignment horizontal="left" vertical="top" indent="2"/>
    </xf>
    <xf numFmtId="0" fontId="58" fillId="24" borderId="11" xfId="0" applyFont="1" applyFill="1" applyBorder="1" applyAlignment="1">
      <alignment vertical="top" wrapText="1"/>
    </xf>
    <xf numFmtId="164" fontId="39" fillId="24" borderId="37" xfId="0" applyNumberFormat="1" applyFont="1" applyFill="1" applyBorder="1" applyAlignment="1">
      <alignment horizontal="center" vertical="top"/>
    </xf>
    <xf numFmtId="0" fontId="39" fillId="24" borderId="0" xfId="0" applyNumberFormat="1" applyFont="1" applyFill="1" applyAlignment="1">
      <alignment horizontal="center" vertical="top"/>
    </xf>
    <xf numFmtId="0" fontId="59" fillId="24" borderId="0" xfId="0" applyFont="1" applyFill="1">
      <alignment vertical="center" wrapText="1"/>
    </xf>
    <xf numFmtId="0" fontId="36" fillId="24" borderId="10" xfId="0" applyFont="1" applyFill="1" applyBorder="1" applyAlignment="1">
      <alignment horizontal="center"/>
    </xf>
    <xf numFmtId="0" fontId="39" fillId="24" borderId="10" xfId="0" applyFont="1" applyFill="1" applyBorder="1">
      <alignment vertical="center" wrapText="1"/>
    </xf>
    <xf numFmtId="10" fontId="46" fillId="24" borderId="0" xfId="0" applyNumberFormat="1" applyFont="1" applyFill="1" applyAlignment="1">
      <alignment horizontal="center"/>
    </xf>
    <xf numFmtId="10" fontId="39" fillId="24" borderId="0" xfId="0" applyNumberFormat="1" applyFont="1" applyFill="1" applyAlignment="1">
      <alignment horizontal="center"/>
    </xf>
    <xf numFmtId="0" fontId="39" fillId="24" borderId="12" xfId="0" applyFont="1" applyFill="1" applyBorder="1">
      <alignment vertical="center" wrapText="1"/>
    </xf>
    <xf numFmtId="0" fontId="39" fillId="24" borderId="14" xfId="0" applyFont="1" applyFill="1" applyBorder="1">
      <alignment vertical="center" wrapText="1"/>
    </xf>
    <xf numFmtId="10" fontId="46" fillId="24" borderId="14" xfId="0" applyNumberFormat="1" applyFont="1" applyFill="1" applyBorder="1" applyAlignment="1">
      <alignment horizontal="center"/>
    </xf>
    <xf numFmtId="10" fontId="39" fillId="24" borderId="14" xfId="0" applyNumberFormat="1" applyFont="1" applyFill="1" applyBorder="1" applyAlignment="1">
      <alignment horizontal="center"/>
    </xf>
    <xf numFmtId="0" fontId="39" fillId="24" borderId="15" xfId="0" applyFont="1" applyFill="1" applyBorder="1">
      <alignment vertical="center" wrapText="1"/>
    </xf>
    <xf numFmtId="0" fontId="36" fillId="24" borderId="0" xfId="0" applyFont="1" applyFill="1" applyAlignment="1">
      <alignment horizontal="center"/>
    </xf>
    <xf numFmtId="0" fontId="39" fillId="24" borderId="11" xfId="0" applyFont="1" applyFill="1" applyBorder="1" applyAlignment="1">
      <alignment horizontal="center" vertical="top"/>
    </xf>
    <xf numFmtId="0" fontId="39" fillId="24" borderId="11" xfId="0" applyFont="1" applyFill="1" applyBorder="1" applyAlignment="1">
      <alignment horizontal="right" vertical="top"/>
    </xf>
    <xf numFmtId="164" fontId="46" fillId="24" borderId="0" xfId="0" applyNumberFormat="1" applyFont="1" applyFill="1" applyAlignment="1">
      <alignment horizontal="center"/>
    </xf>
    <xf numFmtId="0" fontId="46" fillId="24" borderId="0" xfId="0" applyFont="1" applyFill="1">
      <alignment vertical="center" wrapText="1"/>
    </xf>
    <xf numFmtId="0" fontId="46" fillId="24" borderId="12" xfId="0" applyFont="1" applyFill="1" applyBorder="1">
      <alignment vertical="center" wrapText="1"/>
    </xf>
    <xf numFmtId="0" fontId="39" fillId="24" borderId="11" xfId="0" applyFont="1" applyFill="1" applyBorder="1" applyAlignment="1">
      <alignment horizontal="left" vertical="top" indent="1"/>
    </xf>
    <xf numFmtId="10" fontId="60" fillId="24" borderId="0" xfId="0" applyNumberFormat="1" applyFont="1" applyFill="1" applyAlignment="1">
      <alignment horizontal="center" vertical="top"/>
    </xf>
    <xf numFmtId="10" fontId="60" fillId="24" borderId="12" xfId="0" applyNumberFormat="1" applyFont="1" applyFill="1" applyBorder="1" applyAlignment="1">
      <alignment horizontal="center" vertical="top"/>
    </xf>
    <xf numFmtId="0" fontId="39" fillId="24" borderId="11" xfId="0" quotePrefix="1" applyFont="1" applyFill="1" applyBorder="1" applyAlignment="1">
      <alignment horizontal="left" vertical="top" indent="1"/>
    </xf>
    <xf numFmtId="0" fontId="39" fillId="24" borderId="0" xfId="0" quotePrefix="1" applyFont="1" applyFill="1" applyAlignment="1">
      <alignment vertical="top"/>
    </xf>
    <xf numFmtId="0" fontId="39" fillId="24" borderId="16" xfId="0" applyFont="1" applyFill="1" applyBorder="1" applyAlignment="1">
      <alignment horizontal="left" vertical="top" indent="1"/>
    </xf>
    <xf numFmtId="164" fontId="39" fillId="24" borderId="10" xfId="0" applyNumberFormat="1" applyFont="1" applyFill="1" applyBorder="1" applyAlignment="1">
      <alignment horizontal="center" vertical="top"/>
    </xf>
    <xf numFmtId="164" fontId="60" fillId="24" borderId="10" xfId="0" applyNumberFormat="1" applyFont="1" applyFill="1" applyBorder="1" applyAlignment="1">
      <alignment horizontal="center" vertical="top"/>
    </xf>
    <xf numFmtId="164" fontId="60" fillId="24" borderId="29" xfId="0" applyNumberFormat="1" applyFont="1" applyFill="1" applyBorder="1" applyAlignment="1">
      <alignment horizontal="center" vertical="top"/>
    </xf>
    <xf numFmtId="0" fontId="36" fillId="24" borderId="18" xfId="0" applyFont="1" applyFill="1" applyBorder="1" applyAlignment="1">
      <alignment vertical="top"/>
    </xf>
    <xf numFmtId="164" fontId="36" fillId="24" borderId="30" xfId="0" applyNumberFormat="1" applyFont="1" applyFill="1" applyBorder="1" applyAlignment="1">
      <alignment horizontal="center" vertical="top"/>
    </xf>
    <xf numFmtId="164" fontId="36" fillId="24" borderId="12" xfId="0" applyNumberFormat="1" applyFont="1" applyFill="1" applyBorder="1" applyAlignment="1">
      <alignment horizontal="center" vertical="top"/>
    </xf>
    <xf numFmtId="0" fontId="39" fillId="24" borderId="11" xfId="0" applyFont="1" applyFill="1" applyBorder="1" applyAlignment="1">
      <alignment horizontal="left" vertical="top"/>
    </xf>
    <xf numFmtId="0" fontId="36" fillId="24" borderId="36" xfId="0" applyFont="1" applyFill="1" applyBorder="1" applyAlignment="1">
      <alignment vertical="top"/>
    </xf>
    <xf numFmtId="0" fontId="36" fillId="24" borderId="39" xfId="0" applyFont="1" applyFill="1" applyBorder="1" applyAlignment="1">
      <alignment vertical="top"/>
    </xf>
    <xf numFmtId="10" fontId="36" fillId="24" borderId="39" xfId="0" applyNumberFormat="1" applyFont="1" applyFill="1" applyBorder="1" applyAlignment="1">
      <alignment horizontal="center" vertical="top"/>
    </xf>
    <xf numFmtId="0" fontId="39" fillId="24" borderId="13" xfId="0" quotePrefix="1" applyFont="1" applyFill="1" applyBorder="1" applyAlignment="1">
      <alignment vertical="top"/>
    </xf>
    <xf numFmtId="0" fontId="39" fillId="24" borderId="14" xfId="0" quotePrefix="1" applyFont="1" applyFill="1" applyBorder="1" applyAlignment="1">
      <alignment vertical="top"/>
    </xf>
    <xf numFmtId="0" fontId="39" fillId="24" borderId="26" xfId="0" quotePrefix="1" applyFont="1" applyFill="1" applyBorder="1" applyAlignment="1">
      <alignment vertical="top"/>
    </xf>
    <xf numFmtId="0" fontId="39" fillId="24" borderId="27" xfId="0" quotePrefix="1" applyFont="1" applyFill="1" applyBorder="1" applyAlignment="1">
      <alignment vertical="top"/>
    </xf>
    <xf numFmtId="9" fontId="46" fillId="24" borderId="0" xfId="0" applyNumberFormat="1" applyFont="1" applyFill="1" applyAlignment="1">
      <alignment horizontal="center" vertical="top"/>
    </xf>
    <xf numFmtId="9" fontId="39" fillId="24" borderId="0" xfId="0" applyNumberFormat="1" applyFont="1" applyFill="1" applyAlignment="1">
      <alignment horizontal="center" vertical="top"/>
    </xf>
    <xf numFmtId="9" fontId="39" fillId="24" borderId="12" xfId="0" applyNumberFormat="1" applyFont="1" applyFill="1" applyBorder="1" applyAlignment="1">
      <alignment horizontal="center" vertical="top"/>
    </xf>
    <xf numFmtId="0" fontId="39" fillId="24" borderId="21" xfId="0" applyFont="1" applyFill="1" applyBorder="1" applyAlignment="1">
      <alignment vertical="top"/>
    </xf>
    <xf numFmtId="0" fontId="39" fillId="24" borderId="22" xfId="0" applyFont="1" applyFill="1" applyBorder="1" applyAlignment="1">
      <alignment vertical="top"/>
    </xf>
    <xf numFmtId="164" fontId="39" fillId="24" borderId="22" xfId="0" applyNumberFormat="1" applyFont="1" applyFill="1" applyBorder="1" applyAlignment="1">
      <alignment horizontal="center"/>
    </xf>
    <xf numFmtId="9" fontId="46" fillId="24" borderId="22" xfId="0" applyNumberFormat="1" applyFont="1" applyFill="1" applyBorder="1" applyAlignment="1">
      <alignment horizontal="center" vertical="top"/>
    </xf>
    <xf numFmtId="9" fontId="39" fillId="24" borderId="22" xfId="0" applyNumberFormat="1" applyFont="1" applyFill="1" applyBorder="1" applyAlignment="1">
      <alignment horizontal="center" vertical="top"/>
    </xf>
    <xf numFmtId="9" fontId="39" fillId="24" borderId="40" xfId="0" applyNumberFormat="1" applyFont="1" applyFill="1" applyBorder="1" applyAlignment="1">
      <alignment horizontal="center" vertical="top"/>
    </xf>
    <xf numFmtId="10" fontId="61" fillId="24" borderId="18" xfId="0" applyNumberFormat="1" applyFont="1" applyFill="1" applyBorder="1" applyAlignment="1">
      <alignment horizontal="center" vertical="top"/>
    </xf>
    <xf numFmtId="10" fontId="61" fillId="24" borderId="30" xfId="0" applyNumberFormat="1" applyFont="1" applyFill="1" applyBorder="1" applyAlignment="1">
      <alignment horizontal="center" vertical="top"/>
    </xf>
    <xf numFmtId="0" fontId="39" fillId="24" borderId="0" xfId="0" applyFont="1" applyFill="1" applyAlignment="1">
      <alignment horizontal="center"/>
    </xf>
    <xf numFmtId="0" fontId="36" fillId="25" borderId="19" xfId="0" applyFont="1" applyFill="1" applyBorder="1">
      <alignment vertical="center" wrapText="1"/>
    </xf>
    <xf numFmtId="0" fontId="36" fillId="25" borderId="20" xfId="0" applyFont="1" applyFill="1" applyBorder="1">
      <alignment vertical="center" wrapText="1"/>
    </xf>
    <xf numFmtId="164" fontId="36" fillId="25" borderId="20" xfId="0" applyNumberFormat="1" applyFont="1" applyFill="1" applyBorder="1" applyAlignment="1">
      <alignment horizontal="center"/>
    </xf>
    <xf numFmtId="0" fontId="39" fillId="25" borderId="20" xfId="0" applyFont="1" applyFill="1" applyBorder="1">
      <alignment vertical="center" wrapText="1"/>
    </xf>
    <xf numFmtId="0" fontId="39" fillId="25" borderId="35" xfId="0" applyFont="1" applyFill="1" applyBorder="1">
      <alignment vertical="center" wrapText="1"/>
    </xf>
    <xf numFmtId="0" fontId="39" fillId="24" borderId="11" xfId="0" applyFont="1" applyFill="1" applyBorder="1">
      <alignment vertical="center" wrapText="1"/>
    </xf>
    <xf numFmtId="0" fontId="36" fillId="0" borderId="11" xfId="0" applyFont="1" applyBorder="1">
      <alignment vertical="center" wrapText="1"/>
    </xf>
    <xf numFmtId="164" fontId="36" fillId="0" borderId="0" xfId="0" applyNumberFormat="1" applyFont="1" applyAlignment="1">
      <alignment horizontal="center"/>
    </xf>
    <xf numFmtId="0" fontId="39" fillId="0" borderId="12" xfId="0" applyFont="1" applyBorder="1">
      <alignment vertical="center" wrapText="1"/>
    </xf>
    <xf numFmtId="0" fontId="39" fillId="0" borderId="11" xfId="0" applyFont="1" applyBorder="1">
      <alignment vertical="center" wrapText="1"/>
    </xf>
    <xf numFmtId="166" fontId="39" fillId="0" borderId="0" xfId="28" applyNumberFormat="1" applyFont="1" applyFill="1" applyBorder="1"/>
    <xf numFmtId="0" fontId="39" fillId="0" borderId="11" xfId="0" quotePrefix="1" applyFont="1" applyBorder="1" applyAlignment="1">
      <alignment horizontal="left" vertical="top" indent="1"/>
    </xf>
    <xf numFmtId="10" fontId="39" fillId="0" borderId="0" xfId="0" applyNumberFormat="1" applyFont="1" applyAlignment="1">
      <alignment horizontal="center" vertical="top"/>
    </xf>
    <xf numFmtId="0" fontId="39" fillId="24" borderId="26" xfId="0" applyFont="1" applyFill="1" applyBorder="1">
      <alignment vertical="center" wrapText="1"/>
    </xf>
    <xf numFmtId="0" fontId="39" fillId="24" borderId="27" xfId="0" applyFont="1" applyFill="1" applyBorder="1">
      <alignment vertical="center" wrapText="1"/>
    </xf>
    <xf numFmtId="0" fontId="39" fillId="24" borderId="28" xfId="0" applyFont="1" applyFill="1" applyBorder="1">
      <alignment vertical="center" wrapText="1"/>
    </xf>
    <xf numFmtId="166" fontId="39" fillId="24" borderId="0" xfId="28" applyNumberFormat="1" applyFont="1" applyFill="1" applyBorder="1"/>
    <xf numFmtId="0" fontId="39" fillId="24" borderId="13" xfId="0" applyFont="1" applyFill="1" applyBorder="1">
      <alignment vertical="center" wrapText="1"/>
    </xf>
    <xf numFmtId="0" fontId="59" fillId="24" borderId="0" xfId="0" applyFont="1" applyFill="1" applyAlignment="1">
      <alignment vertical="center"/>
    </xf>
    <xf numFmtId="0" fontId="36" fillId="42" borderId="23" xfId="0" applyFont="1" applyFill="1" applyBorder="1">
      <alignment vertical="center" wrapText="1"/>
    </xf>
    <xf numFmtId="0" fontId="36" fillId="42" borderId="24" xfId="0" applyFont="1" applyFill="1" applyBorder="1">
      <alignment vertical="center" wrapText="1"/>
    </xf>
    <xf numFmtId="0" fontId="36" fillId="42" borderId="24" xfId="0" applyFont="1" applyFill="1" applyBorder="1" applyAlignment="1">
      <alignment horizontal="center"/>
    </xf>
    <xf numFmtId="0" fontId="39" fillId="42" borderId="24" xfId="0" applyFont="1" applyFill="1" applyBorder="1">
      <alignment vertical="center" wrapText="1"/>
    </xf>
    <xf numFmtId="0" fontId="39" fillId="42" borderId="25" xfId="0" applyFont="1" applyFill="1" applyBorder="1">
      <alignment vertical="center" wrapText="1"/>
    </xf>
    <xf numFmtId="0" fontId="36" fillId="42" borderId="23" xfId="0" applyFont="1" applyFill="1" applyBorder="1" applyAlignment="1">
      <alignment vertical="top"/>
    </xf>
    <xf numFmtId="0" fontId="36" fillId="42" borderId="25" xfId="0" applyFont="1" applyFill="1" applyBorder="1" applyAlignment="1">
      <alignment horizontal="center"/>
    </xf>
    <xf numFmtId="0" fontId="36" fillId="42" borderId="21" xfId="0" applyFont="1" applyFill="1" applyBorder="1" applyAlignment="1">
      <alignment vertical="top"/>
    </xf>
    <xf numFmtId="0" fontId="36" fillId="42" borderId="22" xfId="0" applyFont="1" applyFill="1" applyBorder="1" applyAlignment="1">
      <alignment vertical="top"/>
    </xf>
    <xf numFmtId="164" fontId="36" fillId="42" borderId="22" xfId="0" applyNumberFormat="1" applyFont="1" applyFill="1" applyBorder="1" applyAlignment="1">
      <alignment horizontal="center" vertical="top"/>
    </xf>
    <xf numFmtId="164" fontId="36" fillId="42" borderId="40" xfId="0" applyNumberFormat="1" applyFont="1" applyFill="1" applyBorder="1" applyAlignment="1">
      <alignment horizontal="center" vertical="top"/>
    </xf>
    <xf numFmtId="0" fontId="36" fillId="44" borderId="19" xfId="0" applyFont="1" applyFill="1" applyBorder="1">
      <alignment vertical="center" wrapText="1"/>
    </xf>
    <xf numFmtId="0" fontId="39" fillId="44" borderId="20" xfId="0" applyFont="1" applyFill="1" applyBorder="1">
      <alignment vertical="center" wrapText="1"/>
    </xf>
    <xf numFmtId="0" fontId="39" fillId="44" borderId="35" xfId="0" applyFont="1" applyFill="1" applyBorder="1">
      <alignment vertical="center" wrapText="1"/>
    </xf>
    <xf numFmtId="0" fontId="39" fillId="29" borderId="0" xfId="0" applyFont="1" applyFill="1" applyAlignment="1">
      <alignment horizontal="center" vertical="top" wrapText="1"/>
    </xf>
    <xf numFmtId="0" fontId="36" fillId="42" borderId="23" xfId="50" applyFont="1" applyFill="1" applyBorder="1" applyAlignment="1">
      <alignment horizontal="left"/>
    </xf>
    <xf numFmtId="0" fontId="36" fillId="42" borderId="24" xfId="50" applyFont="1" applyFill="1" applyBorder="1" applyAlignment="1">
      <alignment horizontal="left"/>
    </xf>
    <xf numFmtId="0" fontId="36" fillId="42" borderId="25" xfId="50" applyFont="1" applyFill="1" applyBorder="1" applyAlignment="1">
      <alignment horizontal="center"/>
    </xf>
    <xf numFmtId="0" fontId="48" fillId="24" borderId="12" xfId="0" applyNumberFormat="1" applyFont="1" applyFill="1" applyBorder="1" applyAlignment="1">
      <alignment horizontal="center" vertical="center"/>
    </xf>
    <xf numFmtId="0" fontId="60" fillId="29" borderId="0" xfId="0" applyFont="1" applyFill="1" applyAlignment="1">
      <alignment horizontal="left" indent="1"/>
    </xf>
    <xf numFmtId="0" fontId="39" fillId="24" borderId="14" xfId="0" applyFont="1" applyFill="1" applyBorder="1" applyAlignment="1">
      <alignment horizontal="center"/>
    </xf>
    <xf numFmtId="0" fontId="48" fillId="24" borderId="15" xfId="0" applyNumberFormat="1" applyFont="1" applyFill="1" applyBorder="1" applyAlignment="1">
      <alignment horizontal="center" vertical="center"/>
    </xf>
    <xf numFmtId="0" fontId="36" fillId="24" borderId="0" xfId="0" applyFont="1" applyFill="1">
      <alignment vertical="center" wrapText="1"/>
    </xf>
    <xf numFmtId="164" fontId="36" fillId="24" borderId="0" xfId="0" applyNumberFormat="1" applyFont="1" applyFill="1" applyAlignment="1">
      <alignment horizontal="center"/>
    </xf>
    <xf numFmtId="0" fontId="36" fillId="29" borderId="0" xfId="0" applyFont="1" applyFill="1" applyAlignment="1">
      <alignment horizontal="center"/>
    </xf>
    <xf numFmtId="10" fontId="39" fillId="24" borderId="12" xfId="0" applyNumberFormat="1" applyFont="1" applyFill="1" applyBorder="1" applyAlignment="1">
      <alignment horizontal="center"/>
    </xf>
    <xf numFmtId="6" fontId="39" fillId="24" borderId="12" xfId="0" applyNumberFormat="1" applyFont="1" applyFill="1" applyBorder="1" applyAlignment="1">
      <alignment horizontal="center"/>
    </xf>
    <xf numFmtId="6" fontId="39" fillId="24" borderId="0" xfId="0" applyNumberFormat="1" applyFont="1" applyFill="1" applyAlignment="1">
      <alignment horizontal="center"/>
    </xf>
    <xf numFmtId="9" fontId="47" fillId="24" borderId="12" xfId="0" applyNumberFormat="1" applyFont="1" applyFill="1" applyBorder="1" applyAlignment="1">
      <alignment horizontal="center"/>
    </xf>
    <xf numFmtId="9" fontId="39" fillId="24" borderId="0" xfId="0" applyNumberFormat="1" applyFont="1" applyFill="1" applyAlignment="1">
      <alignment horizontal="center"/>
    </xf>
    <xf numFmtId="165" fontId="48" fillId="24" borderId="0" xfId="0" applyNumberFormat="1" applyFont="1" applyFill="1" applyAlignment="1">
      <alignment horizontal="center"/>
    </xf>
    <xf numFmtId="0" fontId="40" fillId="29" borderId="0" xfId="0" applyFont="1" applyFill="1" applyAlignment="1">
      <alignment horizontal="left" vertical="top"/>
    </xf>
    <xf numFmtId="0" fontId="47" fillId="24" borderId="12" xfId="0" applyNumberFormat="1" applyFont="1" applyFill="1" applyBorder="1" applyAlignment="1">
      <alignment horizontal="center"/>
    </xf>
    <xf numFmtId="6" fontId="39" fillId="24" borderId="29" xfId="0" applyNumberFormat="1" applyFont="1" applyFill="1" applyBorder="1" applyAlignment="1">
      <alignment horizontal="center"/>
    </xf>
    <xf numFmtId="6" fontId="47" fillId="24" borderId="12" xfId="0" applyNumberFormat="1" applyFont="1" applyFill="1" applyBorder="1" applyAlignment="1">
      <alignment horizontal="center"/>
    </xf>
    <xf numFmtId="0" fontId="39" fillId="24" borderId="16" xfId="0" quotePrefix="1" applyFont="1" applyFill="1" applyBorder="1" applyAlignment="1">
      <alignment horizontal="left" indent="1"/>
    </xf>
    <xf numFmtId="0" fontId="39" fillId="24" borderId="10" xfId="0" applyFont="1" applyFill="1" applyBorder="1" applyAlignment="1">
      <alignment horizontal="center"/>
    </xf>
    <xf numFmtId="0" fontId="36" fillId="24" borderId="11" xfId="0" quotePrefix="1" applyFont="1" applyFill="1" applyBorder="1" applyAlignment="1">
      <alignment horizontal="left" indent="1"/>
    </xf>
    <xf numFmtId="6" fontId="36" fillId="24" borderId="12" xfId="0" applyNumberFormat="1" applyFont="1" applyFill="1" applyBorder="1" applyAlignment="1">
      <alignment horizontal="center"/>
    </xf>
    <xf numFmtId="6" fontId="39" fillId="0" borderId="12" xfId="0" applyNumberFormat="1" applyFont="1" applyBorder="1" applyAlignment="1">
      <alignment horizontal="center"/>
    </xf>
    <xf numFmtId="0" fontId="36" fillId="24" borderId="31" xfId="0" applyFont="1" applyFill="1" applyBorder="1" applyAlignment="1">
      <alignment horizontal="left" indent="1"/>
    </xf>
    <xf numFmtId="0" fontId="36" fillId="24" borderId="33" xfId="0" applyFont="1" applyFill="1" applyBorder="1" applyAlignment="1">
      <alignment horizontal="center"/>
    </xf>
    <xf numFmtId="6" fontId="36" fillId="24" borderId="38" xfId="0" applyNumberFormat="1" applyFont="1" applyFill="1" applyBorder="1" applyAlignment="1">
      <alignment horizontal="center"/>
    </xf>
    <xf numFmtId="0" fontId="39" fillId="24" borderId="31" xfId="0" applyFont="1" applyFill="1" applyBorder="1" applyAlignment="1">
      <alignment horizontal="left" indent="1"/>
    </xf>
    <xf numFmtId="0" fontId="39" fillId="24" borderId="0" xfId="0" applyFont="1" applyFill="1" applyAlignment="1">
      <alignment horizontal="left" vertical="center" indent="1"/>
    </xf>
    <xf numFmtId="6" fontId="32" fillId="24" borderId="0" xfId="0" applyNumberFormat="1" applyFont="1" applyFill="1" applyAlignment="1">
      <alignment horizontal="left" vertical="center" indent="1"/>
    </xf>
    <xf numFmtId="0" fontId="39" fillId="29" borderId="0" xfId="0" applyFont="1" applyFill="1" applyAlignment="1">
      <alignment horizontal="left" vertical="center" wrapText="1" indent="1"/>
    </xf>
    <xf numFmtId="0" fontId="39" fillId="29" borderId="0" xfId="0" applyFont="1" applyFill="1" applyAlignment="1">
      <alignment vertical="top" wrapText="1"/>
    </xf>
    <xf numFmtId="6" fontId="39" fillId="29" borderId="0" xfId="0" applyNumberFormat="1" applyFont="1" applyFill="1" applyAlignment="1">
      <alignment horizontal="center" vertical="top" wrapText="1"/>
    </xf>
    <xf numFmtId="0" fontId="39" fillId="29" borderId="56" xfId="0" applyFont="1" applyFill="1" applyBorder="1" applyAlignment="1">
      <alignment horizontal="center" vertical="top" wrapText="1"/>
    </xf>
    <xf numFmtId="0" fontId="39" fillId="24" borderId="33" xfId="0" applyFont="1" applyFill="1" applyBorder="1" applyAlignment="1">
      <alignment horizontal="center"/>
    </xf>
    <xf numFmtId="6" fontId="39" fillId="24" borderId="0" xfId="0" applyNumberFormat="1" applyFont="1" applyFill="1">
      <alignment vertical="center" wrapText="1"/>
    </xf>
    <xf numFmtId="10" fontId="39" fillId="24" borderId="0" xfId="0" applyNumberFormat="1" applyFont="1" applyFill="1">
      <alignment vertical="center" wrapText="1"/>
    </xf>
    <xf numFmtId="10" fontId="39" fillId="24" borderId="0" xfId="42" applyNumberFormat="1" applyFont="1" applyFill="1"/>
    <xf numFmtId="165" fontId="39" fillId="0" borderId="0" xfId="42" applyNumberFormat="1" applyFont="1" applyFill="1" applyBorder="1"/>
    <xf numFmtId="165" fontId="39" fillId="24" borderId="0" xfId="42" applyNumberFormat="1" applyFont="1" applyFill="1" applyBorder="1" applyAlignment="1">
      <alignment horizontal="center"/>
    </xf>
    <xf numFmtId="165" fontId="39" fillId="24" borderId="0" xfId="42" applyNumberFormat="1" applyFont="1" applyFill="1" applyBorder="1"/>
    <xf numFmtId="168" fontId="46" fillId="24" borderId="11" xfId="0" applyNumberFormat="1" applyFont="1" applyFill="1" applyBorder="1" applyAlignment="1">
      <alignment horizontal="right" vertical="top" wrapText="1"/>
    </xf>
    <xf numFmtId="9" fontId="46" fillId="24" borderId="0" xfId="0" applyNumberFormat="1" applyFont="1" applyFill="1" applyAlignment="1">
      <alignment horizontal="center" vertical="top" wrapText="1"/>
    </xf>
    <xf numFmtId="165" fontId="39" fillId="24" borderId="0" xfId="0" applyNumberFormat="1" applyFont="1" applyFill="1" applyAlignment="1">
      <alignment horizontal="center" vertical="top" wrapText="1"/>
    </xf>
    <xf numFmtId="168" fontId="36" fillId="24" borderId="11" xfId="0" applyNumberFormat="1" applyFont="1" applyFill="1" applyBorder="1" applyAlignment="1">
      <alignment horizontal="right" vertical="top" wrapText="1"/>
    </xf>
    <xf numFmtId="9" fontId="36" fillId="24" borderId="0" xfId="0" applyNumberFormat="1" applyFont="1" applyFill="1" applyAlignment="1">
      <alignment horizontal="center" vertical="top" wrapText="1"/>
    </xf>
    <xf numFmtId="9" fontId="65" fillId="26" borderId="22" xfId="0" applyNumberFormat="1" applyFont="1" applyFill="1" applyBorder="1" applyAlignment="1">
      <alignment horizontal="center" vertical="top" wrapText="1"/>
    </xf>
    <xf numFmtId="0" fontId="39" fillId="26" borderId="22" xfId="0" applyFont="1" applyFill="1" applyBorder="1" applyAlignment="1">
      <alignment horizontal="center" vertical="top" wrapText="1"/>
    </xf>
    <xf numFmtId="165" fontId="39" fillId="26" borderId="22" xfId="0" applyNumberFormat="1" applyFont="1" applyFill="1" applyBorder="1" applyAlignment="1">
      <alignment vertical="top" wrapText="1"/>
    </xf>
    <xf numFmtId="0" fontId="39" fillId="26" borderId="22" xfId="0" applyFont="1" applyFill="1" applyBorder="1" applyAlignment="1"/>
    <xf numFmtId="0" fontId="39" fillId="26" borderId="22" xfId="0" applyFont="1" applyFill="1" applyBorder="1">
      <alignment vertical="center" wrapText="1"/>
    </xf>
    <xf numFmtId="168" fontId="39" fillId="24" borderId="11" xfId="0" applyNumberFormat="1" applyFont="1" applyFill="1" applyBorder="1" applyAlignment="1">
      <alignment horizontal="right" vertical="top" wrapText="1"/>
    </xf>
    <xf numFmtId="0" fontId="36" fillId="26" borderId="22" xfId="0" applyFont="1" applyFill="1" applyBorder="1" applyAlignment="1"/>
    <xf numFmtId="9" fontId="39" fillId="24" borderId="0" xfId="0" applyNumberFormat="1" applyFont="1" applyFill="1" applyAlignment="1">
      <alignment horizontal="center" vertical="top" wrapText="1"/>
    </xf>
    <xf numFmtId="6" fontId="39" fillId="24" borderId="0" xfId="0" applyNumberFormat="1" applyFont="1" applyFill="1" applyAlignment="1">
      <alignment vertical="top"/>
    </xf>
    <xf numFmtId="6" fontId="46" fillId="24" borderId="0" xfId="0" applyNumberFormat="1" applyFont="1" applyFill="1" applyAlignment="1">
      <alignment vertical="top"/>
    </xf>
    <xf numFmtId="6" fontId="36" fillId="24" borderId="0" xfId="0" applyNumberFormat="1" applyFont="1" applyFill="1" applyAlignment="1">
      <alignment vertical="top"/>
    </xf>
    <xf numFmtId="9" fontId="39" fillId="26" borderId="22" xfId="0" applyNumberFormat="1" applyFont="1" applyFill="1" applyBorder="1" applyAlignment="1">
      <alignment horizontal="center" vertical="top" wrapText="1"/>
    </xf>
    <xf numFmtId="166" fontId="39" fillId="24" borderId="0" xfId="28" applyNumberFormat="1" applyFont="1" applyFill="1" applyBorder="1" applyAlignment="1"/>
    <xf numFmtId="9" fontId="67" fillId="26" borderId="22" xfId="0" applyNumberFormat="1" applyFont="1" applyFill="1" applyBorder="1" applyAlignment="1">
      <alignment horizontal="center" vertical="top" wrapText="1"/>
    </xf>
    <xf numFmtId="0" fontId="68" fillId="26" borderId="22" xfId="0" applyFont="1" applyFill="1" applyBorder="1" applyAlignment="1">
      <alignment horizontal="center" vertical="top" wrapText="1"/>
    </xf>
    <xf numFmtId="0" fontId="68" fillId="26" borderId="22" xfId="0" applyFont="1" applyFill="1" applyBorder="1" applyAlignment="1"/>
    <xf numFmtId="0" fontId="68" fillId="26" borderId="22" xfId="0" applyFont="1" applyFill="1" applyBorder="1">
      <alignment vertical="center" wrapText="1"/>
    </xf>
    <xf numFmtId="9" fontId="67" fillId="34" borderId="22" xfId="0" applyNumberFormat="1" applyFont="1" applyFill="1" applyBorder="1" applyAlignment="1">
      <alignment horizontal="center" vertical="top" wrapText="1"/>
    </xf>
    <xf numFmtId="0" fontId="68" fillId="34" borderId="22" xfId="0" applyFont="1" applyFill="1" applyBorder="1" applyAlignment="1">
      <alignment horizontal="center" vertical="top" wrapText="1"/>
    </xf>
    <xf numFmtId="9" fontId="32" fillId="34" borderId="22" xfId="0" applyNumberFormat="1" applyFont="1" applyFill="1" applyBorder="1" applyAlignment="1">
      <alignment horizontal="center" vertical="top" wrapText="1"/>
    </xf>
    <xf numFmtId="9" fontId="32" fillId="34" borderId="22" xfId="0" applyNumberFormat="1" applyFont="1" applyFill="1" applyBorder="1" applyAlignment="1">
      <alignment horizontal="left" vertical="top"/>
    </xf>
    <xf numFmtId="0" fontId="68" fillId="34" borderId="22" xfId="0" applyFont="1" applyFill="1" applyBorder="1">
      <alignment vertical="center" wrapText="1"/>
    </xf>
    <xf numFmtId="168" fontId="32" fillId="28" borderId="11" xfId="0" applyNumberFormat="1" applyFont="1" applyFill="1" applyBorder="1" applyAlignment="1">
      <alignment horizontal="right" vertical="top" wrapText="1"/>
    </xf>
    <xf numFmtId="0" fontId="62" fillId="28" borderId="0" xfId="0" applyFont="1" applyFill="1">
      <alignment vertical="center" wrapText="1"/>
    </xf>
    <xf numFmtId="165" fontId="32" fillId="28" borderId="0" xfId="0" applyNumberFormat="1" applyFont="1" applyFill="1" applyAlignment="1">
      <alignment horizontal="center" vertical="top" wrapText="1"/>
    </xf>
    <xf numFmtId="0" fontId="62" fillId="28" borderId="12" xfId="0" applyFont="1" applyFill="1" applyBorder="1">
      <alignment vertical="center" wrapText="1"/>
    </xf>
    <xf numFmtId="0" fontId="39" fillId="25" borderId="19" xfId="0" applyFont="1" applyFill="1" applyBorder="1">
      <alignment vertical="center" wrapText="1"/>
    </xf>
    <xf numFmtId="9" fontId="36" fillId="25" borderId="20" xfId="0" applyNumberFormat="1" applyFont="1" applyFill="1" applyBorder="1" applyAlignment="1">
      <alignment horizontal="center"/>
    </xf>
    <xf numFmtId="0" fontId="39" fillId="24" borderId="0" xfId="0" applyFont="1" applyFill="1" applyAlignment="1">
      <alignment horizontal="center" vertical="top" wrapText="1"/>
    </xf>
    <xf numFmtId="0" fontId="39" fillId="24" borderId="11" xfId="0" applyFont="1" applyFill="1" applyBorder="1" applyAlignment="1">
      <alignment horizontal="center" vertical="top" wrapText="1"/>
    </xf>
    <xf numFmtId="14" fontId="39" fillId="24" borderId="0" xfId="0" applyNumberFormat="1" applyFont="1" applyFill="1" applyAlignment="1">
      <alignment horizontal="center" vertical="top" wrapText="1"/>
    </xf>
    <xf numFmtId="6" fontId="39" fillId="24" borderId="0" xfId="0" applyNumberFormat="1" applyFont="1" applyFill="1" applyAlignment="1">
      <alignment horizontal="center" vertical="top" wrapText="1"/>
    </xf>
    <xf numFmtId="6" fontId="39" fillId="24" borderId="12" xfId="0" applyNumberFormat="1" applyFont="1" applyFill="1" applyBorder="1" applyAlignment="1">
      <alignment horizontal="center" vertical="top" wrapText="1"/>
    </xf>
    <xf numFmtId="0" fontId="39" fillId="24" borderId="31" xfId="0" applyFont="1" applyFill="1" applyBorder="1" applyAlignment="1">
      <alignment horizontal="center" vertical="top" wrapText="1"/>
    </xf>
    <xf numFmtId="0" fontId="39" fillId="24" borderId="33" xfId="0" applyFont="1" applyFill="1" applyBorder="1" applyAlignment="1">
      <alignment horizontal="center" vertical="top" wrapText="1"/>
    </xf>
    <xf numFmtId="6" fontId="39" fillId="24" borderId="33" xfId="0" applyNumberFormat="1" applyFont="1" applyFill="1" applyBorder="1" applyAlignment="1">
      <alignment horizontal="center" vertical="top" wrapText="1"/>
    </xf>
    <xf numFmtId="6" fontId="39" fillId="24" borderId="38" xfId="0" applyNumberFormat="1" applyFont="1" applyFill="1" applyBorder="1" applyAlignment="1">
      <alignment horizontal="center" vertical="top" wrapText="1"/>
    </xf>
    <xf numFmtId="0" fontId="32" fillId="39" borderId="19" xfId="0" applyFont="1" applyFill="1" applyBorder="1" applyAlignment="1">
      <alignment horizontal="center" vertical="top" wrapText="1"/>
    </xf>
    <xf numFmtId="0" fontId="32" fillId="39" borderId="20" xfId="0" applyFont="1" applyFill="1" applyBorder="1" applyAlignment="1">
      <alignment horizontal="center" vertical="top" wrapText="1"/>
    </xf>
    <xf numFmtId="0" fontId="62" fillId="39" borderId="20" xfId="0" applyFont="1" applyFill="1" applyBorder="1" applyAlignment="1">
      <alignment horizontal="center" vertical="top" wrapText="1"/>
    </xf>
    <xf numFmtId="10" fontId="32" fillId="39" borderId="35" xfId="0" applyNumberFormat="1" applyFont="1" applyFill="1" applyBorder="1" applyAlignment="1">
      <alignment horizontal="center" vertical="top" wrapText="1"/>
    </xf>
    <xf numFmtId="10" fontId="39" fillId="29" borderId="0" xfId="0" applyNumberFormat="1" applyFont="1" applyFill="1" applyAlignment="1">
      <alignment horizontal="center" vertical="top" wrapText="1"/>
    </xf>
    <xf numFmtId="10" fontId="39" fillId="29" borderId="0" xfId="0" applyNumberFormat="1" applyFont="1" applyFill="1" applyAlignment="1">
      <alignment horizontal="center" vertical="center"/>
    </xf>
    <xf numFmtId="0" fontId="32" fillId="30" borderId="0" xfId="0" applyFont="1" applyFill="1" applyAlignment="1">
      <alignment horizontal="center" vertical="top"/>
    </xf>
    <xf numFmtId="44" fontId="39" fillId="24" borderId="0" xfId="0" applyNumberFormat="1" applyFont="1" applyFill="1">
      <alignment vertical="center" wrapText="1"/>
    </xf>
    <xf numFmtId="0" fontId="36" fillId="24" borderId="11" xfId="39" applyFont="1" applyFill="1" applyBorder="1"/>
    <xf numFmtId="0" fontId="36" fillId="24" borderId="22" xfId="39" applyFont="1" applyFill="1" applyBorder="1" applyAlignment="1">
      <alignment horizontal="center"/>
    </xf>
    <xf numFmtId="0" fontId="36" fillId="24" borderId="0" xfId="39" applyFont="1" applyFill="1" applyAlignment="1">
      <alignment horizontal="center"/>
    </xf>
    <xf numFmtId="0" fontId="36" fillId="24" borderId="12" xfId="39" applyFont="1" applyFill="1" applyBorder="1" applyAlignment="1">
      <alignment horizontal="center"/>
    </xf>
    <xf numFmtId="0" fontId="36" fillId="24" borderId="31" xfId="0" applyFont="1" applyFill="1" applyBorder="1">
      <alignment vertical="center" wrapText="1"/>
    </xf>
    <xf numFmtId="6" fontId="36" fillId="24" borderId="0" xfId="0" applyNumberFormat="1" applyFont="1" applyFill="1">
      <alignment vertical="center" wrapText="1"/>
    </xf>
    <xf numFmtId="0" fontId="39" fillId="24" borderId="33" xfId="0" applyFont="1" applyFill="1" applyBorder="1">
      <alignment vertical="center" wrapText="1"/>
    </xf>
    <xf numFmtId="0" fontId="39" fillId="24" borderId="38" xfId="0" applyFont="1" applyFill="1" applyBorder="1">
      <alignment vertical="center" wrapText="1"/>
    </xf>
    <xf numFmtId="0" fontId="39" fillId="24" borderId="11" xfId="39" applyFont="1" applyFill="1" applyBorder="1"/>
    <xf numFmtId="6" fontId="39" fillId="24" borderId="0" xfId="39" applyNumberFormat="1" applyFont="1" applyFill="1"/>
    <xf numFmtId="166" fontId="39" fillId="24" borderId="0" xfId="39" applyNumberFormat="1" applyFont="1" applyFill="1"/>
    <xf numFmtId="166" fontId="39" fillId="24" borderId="12" xfId="39" applyNumberFormat="1" applyFont="1" applyFill="1" applyBorder="1"/>
    <xf numFmtId="0" fontId="39" fillId="24" borderId="16" xfId="39" applyFont="1" applyFill="1" applyBorder="1"/>
    <xf numFmtId="166" fontId="39" fillId="24" borderId="10" xfId="39" applyNumberFormat="1" applyFont="1" applyFill="1" applyBorder="1"/>
    <xf numFmtId="166" fontId="39" fillId="0" borderId="29" xfId="39" applyNumberFormat="1" applyFont="1" applyBorder="1"/>
    <xf numFmtId="166" fontId="39" fillId="24" borderId="22" xfId="39" applyNumberFormat="1" applyFont="1" applyFill="1" applyBorder="1"/>
    <xf numFmtId="166" fontId="39" fillId="24" borderId="29" xfId="39" applyNumberFormat="1" applyFont="1" applyFill="1" applyBorder="1"/>
    <xf numFmtId="6" fontId="36" fillId="24" borderId="33" xfId="0" applyNumberFormat="1" applyFont="1" applyFill="1" applyBorder="1">
      <alignment vertical="center" wrapText="1"/>
    </xf>
    <xf numFmtId="6" fontId="36" fillId="24" borderId="38" xfId="0" applyNumberFormat="1" applyFont="1" applyFill="1" applyBorder="1">
      <alignment vertical="center" wrapText="1"/>
    </xf>
    <xf numFmtId="0" fontId="36" fillId="24" borderId="31" xfId="39" applyFont="1" applyFill="1" applyBorder="1"/>
    <xf numFmtId="0" fontId="36" fillId="24" borderId="33" xfId="39" applyFont="1" applyFill="1" applyBorder="1"/>
    <xf numFmtId="166" fontId="39" fillId="24" borderId="0" xfId="0" applyNumberFormat="1" applyFont="1" applyFill="1">
      <alignment vertical="center" wrapText="1"/>
    </xf>
    <xf numFmtId="166" fontId="39" fillId="24" borderId="12" xfId="0" applyNumberFormat="1" applyFont="1" applyFill="1" applyBorder="1">
      <alignment vertical="center" wrapText="1"/>
    </xf>
    <xf numFmtId="0" fontId="39" fillId="24" borderId="13" xfId="39" applyFont="1" applyFill="1" applyBorder="1"/>
    <xf numFmtId="166" fontId="39" fillId="24" borderId="14" xfId="0" applyNumberFormat="1" applyFont="1" applyFill="1" applyBorder="1">
      <alignment vertical="center" wrapText="1"/>
    </xf>
    <xf numFmtId="166" fontId="39" fillId="0" borderId="15" xfId="0" applyNumberFormat="1" applyFont="1" applyBorder="1">
      <alignment vertical="center" wrapText="1"/>
    </xf>
    <xf numFmtId="0" fontId="36" fillId="42" borderId="23" xfId="39" applyFont="1" applyFill="1" applyBorder="1"/>
    <xf numFmtId="0" fontId="36" fillId="42" borderId="24" xfId="39" applyFont="1" applyFill="1" applyBorder="1" applyAlignment="1">
      <alignment horizontal="center"/>
    </xf>
    <xf numFmtId="0" fontId="36" fillId="42" borderId="25" xfId="39" applyFont="1" applyFill="1" applyBorder="1" applyAlignment="1">
      <alignment horizontal="center"/>
    </xf>
    <xf numFmtId="0" fontId="32" fillId="0" borderId="0" xfId="39" applyFont="1" applyAlignment="1">
      <alignment horizontal="center" vertical="top"/>
    </xf>
    <xf numFmtId="0" fontId="39" fillId="0" borderId="0" xfId="0" applyFont="1" applyAlignment="1">
      <alignment horizontal="right"/>
    </xf>
    <xf numFmtId="0" fontId="39" fillId="0" borderId="0" xfId="0" applyFont="1" applyAlignment="1">
      <alignment horizontal="center"/>
    </xf>
    <xf numFmtId="0" fontId="36" fillId="0" borderId="0" xfId="0" applyFont="1" applyAlignment="1">
      <alignment horizontal="center"/>
    </xf>
    <xf numFmtId="164" fontId="39" fillId="0" borderId="0" xfId="0" applyNumberFormat="1" applyFont="1">
      <alignment vertical="center" wrapText="1"/>
    </xf>
    <xf numFmtId="3" fontId="39" fillId="0" borderId="0" xfId="0" applyNumberFormat="1" applyFont="1">
      <alignment vertical="center" wrapText="1"/>
    </xf>
    <xf numFmtId="0" fontId="39" fillId="0" borderId="0" xfId="39" applyFont="1" applyAlignment="1">
      <alignment vertical="top"/>
    </xf>
    <xf numFmtId="167" fontId="39" fillId="0" borderId="0" xfId="0" applyNumberFormat="1" applyFont="1">
      <alignment vertical="center" wrapText="1"/>
    </xf>
    <xf numFmtId="0" fontId="39" fillId="0" borderId="0" xfId="39" applyFont="1" applyAlignment="1">
      <alignment horizontal="center"/>
    </xf>
    <xf numFmtId="4" fontId="39" fillId="0" borderId="0" xfId="39" applyNumberFormat="1" applyFont="1" applyAlignment="1">
      <alignment horizontal="right"/>
    </xf>
    <xf numFmtId="0" fontId="39" fillId="31" borderId="0" xfId="39" applyFont="1" applyFill="1" applyAlignment="1">
      <alignment horizontal="center"/>
    </xf>
    <xf numFmtId="4" fontId="39" fillId="31" borderId="0" xfId="39" applyNumberFormat="1" applyFont="1" applyFill="1" applyAlignment="1">
      <alignment horizontal="right"/>
    </xf>
    <xf numFmtId="4" fontId="39" fillId="0" borderId="0" xfId="0" applyNumberFormat="1" applyFont="1">
      <alignment vertical="center" wrapText="1"/>
    </xf>
    <xf numFmtId="4" fontId="39" fillId="26" borderId="0" xfId="39" applyNumberFormat="1" applyFont="1" applyFill="1" applyAlignment="1">
      <alignment horizontal="right"/>
    </xf>
    <xf numFmtId="0" fontId="46" fillId="29" borderId="0" xfId="0" applyNumberFormat="1" applyFont="1" applyFill="1" applyAlignment="1">
      <alignment horizontal="center" vertical="top"/>
    </xf>
    <xf numFmtId="0" fontId="39" fillId="25" borderId="0" xfId="39" applyFont="1" applyFill="1"/>
    <xf numFmtId="10" fontId="46" fillId="29" borderId="0" xfId="0" applyNumberFormat="1" applyFont="1" applyFill="1" applyAlignment="1">
      <alignment horizontal="right" vertical="top"/>
    </xf>
    <xf numFmtId="8" fontId="39" fillId="0" borderId="0" xfId="0" applyNumberFormat="1" applyFont="1" applyAlignment="1">
      <alignment horizontal="right" vertical="center" wrapText="1"/>
    </xf>
    <xf numFmtId="0" fontId="39" fillId="25" borderId="0" xfId="39" applyFont="1" applyFill="1" applyAlignment="1">
      <alignment horizontal="right"/>
    </xf>
    <xf numFmtId="0" fontId="39" fillId="0" borderId="0" xfId="39" applyFont="1" applyAlignment="1">
      <alignment horizontal="right"/>
    </xf>
    <xf numFmtId="0" fontId="39" fillId="0" borderId="0" xfId="39" applyFont="1" applyAlignment="1">
      <alignment horizontal="right" indent="1"/>
    </xf>
    <xf numFmtId="8" fontId="39" fillId="0" borderId="0" xfId="39" applyNumberFormat="1" applyFont="1"/>
    <xf numFmtId="0" fontId="36" fillId="0" borderId="0" xfId="39" applyFont="1" applyAlignment="1">
      <alignment horizontal="center"/>
    </xf>
    <xf numFmtId="164" fontId="39" fillId="0" borderId="0" xfId="39" applyNumberFormat="1" applyFont="1" applyAlignment="1">
      <alignment horizontal="center"/>
    </xf>
    <xf numFmtId="164" fontId="39" fillId="0" borderId="0" xfId="39" applyNumberFormat="1" applyFont="1"/>
    <xf numFmtId="3" fontId="39" fillId="0" borderId="0" xfId="39" applyNumberFormat="1" applyFont="1"/>
    <xf numFmtId="167" fontId="39" fillId="0" borderId="0" xfId="39" applyNumberFormat="1" applyFont="1"/>
    <xf numFmtId="0" fontId="39" fillId="0" borderId="0" xfId="39" quotePrefix="1" applyFont="1"/>
    <xf numFmtId="4" fontId="36" fillId="0" borderId="0" xfId="39" applyNumberFormat="1" applyFont="1" applyAlignment="1">
      <alignment horizontal="right"/>
    </xf>
    <xf numFmtId="4" fontId="39" fillId="0" borderId="0" xfId="39" applyNumberFormat="1" applyFont="1"/>
    <xf numFmtId="0" fontId="39" fillId="0" borderId="0" xfId="39" applyFont="1" applyAlignment="1">
      <alignment vertical="center"/>
    </xf>
    <xf numFmtId="0" fontId="0" fillId="0" borderId="11" xfId="0" applyBorder="1">
      <alignment vertical="center" wrapText="1"/>
    </xf>
    <xf numFmtId="0" fontId="0" fillId="0" borderId="12" xfId="0" applyBorder="1">
      <alignment vertical="center" wrapText="1"/>
    </xf>
    <xf numFmtId="0" fontId="51" fillId="0" borderId="11" xfId="0" applyFont="1" applyBorder="1">
      <alignment vertical="center" wrapText="1"/>
    </xf>
    <xf numFmtId="166" fontId="69" fillId="40" borderId="12" xfId="48" applyNumberFormat="1" applyFont="1" applyFill="1" applyBorder="1"/>
    <xf numFmtId="0" fontId="51" fillId="0" borderId="11" xfId="0" quotePrefix="1" applyFont="1" applyBorder="1">
      <alignment vertical="center" wrapText="1"/>
    </xf>
    <xf numFmtId="9" fontId="69" fillId="0" borderId="29" xfId="49" applyFont="1" applyFill="1" applyBorder="1"/>
    <xf numFmtId="166" fontId="51" fillId="0" borderId="12" xfId="48" applyNumberFormat="1" applyFont="1" applyBorder="1"/>
    <xf numFmtId="0" fontId="51" fillId="0" borderId="12" xfId="0" applyFont="1" applyBorder="1">
      <alignment vertical="center" wrapText="1"/>
    </xf>
    <xf numFmtId="9" fontId="69" fillId="0" borderId="12" xfId="49" applyFont="1" applyFill="1" applyBorder="1"/>
    <xf numFmtId="165" fontId="69" fillId="40" borderId="12" xfId="49" applyNumberFormat="1" applyFont="1" applyFill="1" applyBorder="1"/>
    <xf numFmtId="0" fontId="70" fillId="37" borderId="19" xfId="0" applyFont="1" applyFill="1" applyBorder="1">
      <alignment vertical="center" wrapText="1"/>
    </xf>
    <xf numFmtId="166" fontId="70" fillId="37" borderId="35" xfId="48" applyNumberFormat="1" applyFont="1" applyFill="1" applyBorder="1"/>
    <xf numFmtId="166" fontId="51" fillId="0" borderId="38" xfId="48" applyNumberFormat="1" applyFont="1" applyBorder="1"/>
    <xf numFmtId="0" fontId="36" fillId="24" borderId="0" xfId="0" applyFont="1" applyFill="1" applyAlignment="1">
      <alignment vertical="top" wrapText="1"/>
    </xf>
    <xf numFmtId="0" fontId="49" fillId="27" borderId="0" xfId="51">
      <alignment horizontal="center" vertical="center"/>
    </xf>
    <xf numFmtId="0" fontId="0" fillId="24" borderId="0" xfId="0" applyFill="1" applyAlignment="1">
      <alignment vertical="top" wrapText="1"/>
    </xf>
    <xf numFmtId="0" fontId="0" fillId="38" borderId="0" xfId="0" applyFill="1" applyAlignment="1">
      <alignment horizontal="center" vertical="top" wrapText="1"/>
    </xf>
    <xf numFmtId="0" fontId="0" fillId="24" borderId="0" xfId="0" applyFill="1" applyAlignment="1">
      <alignment horizontal="center" vertical="top" wrapText="1"/>
    </xf>
    <xf numFmtId="0" fontId="0" fillId="24" borderId="0" xfId="0" applyFill="1" applyAlignment="1">
      <alignment horizontal="left" vertical="top" wrapText="1"/>
    </xf>
    <xf numFmtId="0" fontId="0" fillId="0" borderId="0" xfId="0" applyAlignment="1">
      <alignment vertical="top" wrapText="1"/>
    </xf>
    <xf numFmtId="0" fontId="36" fillId="37" borderId="53" xfId="0" applyFont="1" applyFill="1" applyBorder="1" applyAlignment="1">
      <alignment vertical="top" wrapText="1"/>
    </xf>
    <xf numFmtId="0" fontId="36" fillId="24" borderId="52" xfId="0" applyFont="1" applyFill="1" applyBorder="1" applyAlignment="1">
      <alignment vertical="top" wrapText="1"/>
    </xf>
    <xf numFmtId="0" fontId="0" fillId="24" borderId="52" xfId="0" applyFill="1" applyBorder="1" applyAlignment="1">
      <alignment horizontal="left" vertical="top" wrapText="1" indent="1"/>
    </xf>
    <xf numFmtId="164" fontId="46" fillId="24" borderId="0" xfId="0" applyNumberFormat="1" applyFont="1" applyFill="1" applyAlignment="1">
      <alignment horizontal="left" vertical="center" wrapText="1"/>
    </xf>
    <xf numFmtId="0" fontId="0" fillId="24" borderId="0" xfId="0" applyFill="1" applyAlignment="1">
      <alignment horizontal="left" vertical="top"/>
    </xf>
    <xf numFmtId="0" fontId="0" fillId="24" borderId="0" xfId="0" applyFill="1" applyAlignment="1">
      <alignment horizontal="center" vertical="top"/>
    </xf>
    <xf numFmtId="0" fontId="0" fillId="38" borderId="0" xfId="0" applyFill="1" applyAlignment="1">
      <alignment horizontal="center" vertical="top"/>
    </xf>
    <xf numFmtId="166" fontId="0" fillId="24" borderId="0" xfId="28" applyNumberFormat="1" applyFont="1" applyFill="1" applyBorder="1" applyAlignment="1">
      <alignment horizontal="center" vertical="top"/>
    </xf>
    <xf numFmtId="165" fontId="0" fillId="24" borderId="0" xfId="0" applyNumberFormat="1" applyFill="1" applyAlignment="1">
      <alignment horizontal="center" vertical="top"/>
    </xf>
    <xf numFmtId="0" fontId="59" fillId="24" borderId="0" xfId="0" applyFont="1" applyFill="1" applyAlignment="1">
      <alignment horizontal="center" vertical="top" wrapText="1"/>
    </xf>
    <xf numFmtId="0" fontId="36" fillId="24" borderId="60" xfId="0" applyFont="1" applyFill="1" applyBorder="1" applyAlignment="1">
      <alignment vertical="top" wrapText="1"/>
    </xf>
    <xf numFmtId="0" fontId="0" fillId="0" borderId="52" xfId="0" applyBorder="1" applyAlignment="1">
      <alignment horizontal="left" vertical="top" wrapText="1" indent="1"/>
    </xf>
    <xf numFmtId="16" fontId="59" fillId="24" borderId="0" xfId="0" quotePrefix="1" applyNumberFormat="1" applyFont="1" applyFill="1" applyAlignment="1">
      <alignment horizontal="center" vertical="top" wrapText="1"/>
    </xf>
    <xf numFmtId="0" fontId="36" fillId="0" borderId="52" xfId="0" applyFont="1" applyBorder="1" applyAlignment="1">
      <alignment vertical="top" wrapText="1"/>
    </xf>
    <xf numFmtId="0" fontId="36" fillId="24" borderId="51" xfId="0" applyFont="1" applyFill="1" applyBorder="1" applyAlignment="1">
      <alignment vertical="top" wrapText="1"/>
    </xf>
    <xf numFmtId="0" fontId="0" fillId="38" borderId="0" xfId="0" applyFill="1" applyAlignment="1">
      <alignment vertical="top" wrapText="1"/>
    </xf>
    <xf numFmtId="0" fontId="0" fillId="0" borderId="0" xfId="0" applyAlignment="1">
      <alignment horizontal="left" vertical="top" wrapText="1"/>
    </xf>
    <xf numFmtId="0" fontId="0" fillId="24" borderId="51" xfId="0" applyFill="1" applyBorder="1" applyAlignment="1">
      <alignment horizontal="left" vertical="top" wrapText="1" indent="1"/>
    </xf>
    <xf numFmtId="0" fontId="36" fillId="42" borderId="53" xfId="0" applyFont="1" applyFill="1" applyBorder="1" applyAlignment="1">
      <alignment vertical="top" wrapText="1"/>
    </xf>
    <xf numFmtId="0" fontId="49" fillId="27" borderId="0" xfId="51" applyBorder="1">
      <alignment horizontal="center" vertical="center"/>
    </xf>
    <xf numFmtId="0" fontId="0" fillId="24" borderId="0" xfId="0" applyFill="1" applyAlignment="1">
      <alignment vertical="top"/>
    </xf>
    <xf numFmtId="0" fontId="0" fillId="0" borderId="0" xfId="0" applyAlignment="1">
      <alignment vertical="top"/>
    </xf>
    <xf numFmtId="0" fontId="0" fillId="24" borderId="52" xfId="0" applyFill="1" applyBorder="1" applyAlignment="1">
      <alignment horizontal="left" vertical="top" indent="1"/>
    </xf>
    <xf numFmtId="166" fontId="39" fillId="0" borderId="0" xfId="28" applyNumberFormat="1" applyFont="1" applyFill="1" applyBorder="1" applyAlignment="1">
      <alignment horizontal="center"/>
    </xf>
    <xf numFmtId="0" fontId="39" fillId="24" borderId="27" xfId="0" applyFont="1" applyFill="1" applyBorder="1" applyAlignment="1">
      <alignment horizontal="center" vertical="center" wrapText="1"/>
    </xf>
    <xf numFmtId="166" fontId="39" fillId="24" borderId="0" xfId="28" applyNumberFormat="1" applyFont="1" applyFill="1" applyBorder="1" applyAlignment="1">
      <alignment horizontal="center"/>
    </xf>
    <xf numFmtId="164" fontId="39" fillId="42" borderId="42" xfId="0" applyNumberFormat="1" applyFont="1" applyFill="1" applyBorder="1" applyAlignment="1">
      <alignment horizontal="right" vertical="top"/>
    </xf>
    <xf numFmtId="0" fontId="36" fillId="42" borderId="42" xfId="0" applyFont="1" applyFill="1" applyBorder="1" applyAlignment="1">
      <alignment vertical="top"/>
    </xf>
    <xf numFmtId="0" fontId="36" fillId="42" borderId="44" xfId="0" applyFont="1" applyFill="1" applyBorder="1" applyAlignment="1">
      <alignment horizontal="center" vertical="top" wrapText="1"/>
    </xf>
    <xf numFmtId="0" fontId="36" fillId="42" borderId="46" xfId="0" applyFont="1" applyFill="1" applyBorder="1" applyAlignment="1">
      <alignment horizontal="center" vertical="top" wrapText="1"/>
    </xf>
    <xf numFmtId="0" fontId="36" fillId="42" borderId="26" xfId="0" applyFont="1" applyFill="1" applyBorder="1" applyAlignment="1">
      <alignment horizontal="left" indent="1"/>
    </xf>
    <xf numFmtId="0" fontId="36" fillId="26" borderId="26" xfId="0" applyFont="1" applyFill="1" applyBorder="1" applyAlignment="1">
      <alignment horizontal="left" indent="1"/>
    </xf>
    <xf numFmtId="0" fontId="36" fillId="43" borderId="26" xfId="0" applyFont="1" applyFill="1" applyBorder="1" applyAlignment="1">
      <alignment horizontal="left" vertical="center"/>
    </xf>
    <xf numFmtId="9" fontId="0" fillId="42" borderId="28" xfId="42" applyFont="1" applyFill="1" applyBorder="1" applyAlignment="1">
      <alignment horizontal="center" vertical="center"/>
    </xf>
    <xf numFmtId="0" fontId="0" fillId="24" borderId="21" xfId="0" applyFill="1" applyBorder="1" applyAlignment="1">
      <alignment vertical="center"/>
    </xf>
    <xf numFmtId="164" fontId="36" fillId="42" borderId="27" xfId="0" applyNumberFormat="1" applyFont="1" applyFill="1" applyBorder="1" applyAlignment="1">
      <alignment horizontal="center" vertical="top"/>
    </xf>
    <xf numFmtId="0" fontId="36" fillId="42" borderId="26" xfId="0" applyFont="1" applyFill="1" applyBorder="1" applyAlignment="1">
      <alignment vertical="top"/>
    </xf>
    <xf numFmtId="0" fontId="39" fillId="24" borderId="31" xfId="0" applyFont="1" applyFill="1" applyBorder="1" applyAlignment="1">
      <alignment vertical="top"/>
    </xf>
    <xf numFmtId="0" fontId="39" fillId="24" borderId="31" xfId="0" applyFont="1" applyFill="1" applyBorder="1" applyAlignment="1">
      <alignment vertical="top" wrapText="1"/>
    </xf>
    <xf numFmtId="164" fontId="39" fillId="24" borderId="33" xfId="0" applyNumberFormat="1" applyFont="1" applyFill="1" applyBorder="1" applyAlignment="1">
      <alignment horizontal="center" vertical="top"/>
    </xf>
    <xf numFmtId="0" fontId="63" fillId="44" borderId="36" xfId="0" applyFont="1" applyFill="1" applyBorder="1" applyAlignment="1">
      <alignment horizontal="left"/>
    </xf>
    <xf numFmtId="0" fontId="63" fillId="44" borderId="39" xfId="0" applyFont="1" applyFill="1" applyBorder="1" applyAlignment="1">
      <alignment horizontal="left" wrapText="1"/>
    </xf>
    <xf numFmtId="0" fontId="36" fillId="42" borderId="26" xfId="0" applyFont="1" applyFill="1" applyBorder="1">
      <alignment vertical="center" wrapText="1"/>
    </xf>
    <xf numFmtId="0" fontId="39" fillId="42" borderId="27" xfId="0" applyFont="1" applyFill="1" applyBorder="1" applyAlignment="1">
      <alignment horizontal="center"/>
    </xf>
    <xf numFmtId="164" fontId="39" fillId="24" borderId="38" xfId="0" applyNumberFormat="1" applyFont="1" applyFill="1" applyBorder="1" applyAlignment="1">
      <alignment horizontal="center"/>
    </xf>
    <xf numFmtId="0" fontId="39" fillId="42" borderId="27" xfId="0" applyFont="1" applyFill="1" applyBorder="1" applyAlignment="1">
      <alignment vertical="top"/>
    </xf>
    <xf numFmtId="0" fontId="39" fillId="42" borderId="28" xfId="0" applyFont="1" applyFill="1" applyBorder="1" applyAlignment="1">
      <alignment vertical="top"/>
    </xf>
    <xf numFmtId="0" fontId="36" fillId="42" borderId="21" xfId="0" applyFont="1" applyFill="1" applyBorder="1" applyAlignment="1">
      <alignment horizontal="center" vertical="center" wrapText="1"/>
    </xf>
    <xf numFmtId="0" fontId="36" fillId="42" borderId="22" xfId="0" applyFont="1" applyFill="1" applyBorder="1" applyAlignment="1">
      <alignment horizontal="center" vertical="center" wrapText="1"/>
    </xf>
    <xf numFmtId="0" fontId="36" fillId="42" borderId="40" xfId="0" applyFont="1" applyFill="1" applyBorder="1" applyAlignment="1">
      <alignment horizontal="center" vertical="center" wrapText="1"/>
    </xf>
    <xf numFmtId="0" fontId="36" fillId="29" borderId="0" xfId="0" applyFont="1" applyFill="1" applyAlignment="1">
      <alignment vertical="top"/>
    </xf>
    <xf numFmtId="0" fontId="39" fillId="42" borderId="27" xfId="0" applyFont="1" applyFill="1" applyBorder="1">
      <alignment vertical="center" wrapText="1"/>
    </xf>
    <xf numFmtId="0" fontId="39" fillId="42" borderId="28" xfId="0" applyFont="1" applyFill="1" applyBorder="1">
      <alignment vertical="center" wrapText="1"/>
    </xf>
    <xf numFmtId="0" fontId="36" fillId="43" borderId="26" xfId="0" applyFont="1" applyFill="1" applyBorder="1" applyAlignment="1">
      <alignment vertical="center"/>
    </xf>
    <xf numFmtId="0" fontId="36" fillId="42" borderId="26" xfId="0" applyFont="1" applyFill="1" applyBorder="1" applyAlignment="1">
      <alignment vertical="center"/>
    </xf>
    <xf numFmtId="164" fontId="39" fillId="0" borderId="12" xfId="0" applyNumberFormat="1" applyFont="1" applyBorder="1" applyAlignment="1">
      <alignment horizontal="center"/>
    </xf>
    <xf numFmtId="0" fontId="36" fillId="0" borderId="13" xfId="0" applyFont="1" applyBorder="1">
      <alignment vertical="center" wrapText="1"/>
    </xf>
    <xf numFmtId="3" fontId="39" fillId="0" borderId="14" xfId="0" applyNumberFormat="1" applyFont="1" applyBorder="1" applyAlignment="1">
      <alignment horizontal="center"/>
    </xf>
    <xf numFmtId="164" fontId="39" fillId="0" borderId="14" xfId="0" applyNumberFormat="1" applyFont="1" applyBorder="1" applyAlignment="1">
      <alignment horizontal="center"/>
    </xf>
    <xf numFmtId="164" fontId="39" fillId="0" borderId="15" xfId="0" applyNumberFormat="1" applyFont="1" applyBorder="1" applyAlignment="1">
      <alignment horizontal="center"/>
    </xf>
    <xf numFmtId="0" fontId="36" fillId="32" borderId="23" xfId="0" applyFont="1" applyFill="1" applyBorder="1" applyAlignment="1">
      <alignment vertical="center"/>
    </xf>
    <xf numFmtId="0" fontId="36" fillId="32" borderId="24" xfId="0" applyFont="1" applyFill="1" applyBorder="1" applyAlignment="1">
      <alignment horizontal="center"/>
    </xf>
    <xf numFmtId="0" fontId="36" fillId="32" borderId="25" xfId="0" applyFont="1" applyFill="1" applyBorder="1" applyAlignment="1">
      <alignment horizontal="center"/>
    </xf>
    <xf numFmtId="0" fontId="39" fillId="44" borderId="0" xfId="39" applyFont="1" applyFill="1" applyAlignment="1">
      <alignment horizontal="center"/>
    </xf>
    <xf numFmtId="44" fontId="39" fillId="44" borderId="0" xfId="28" quotePrefix="1" applyFont="1" applyFill="1" applyBorder="1" applyAlignment="1" applyProtection="1">
      <alignment horizontal="right"/>
    </xf>
    <xf numFmtId="44" fontId="39" fillId="44" borderId="0" xfId="28" quotePrefix="1" applyFont="1" applyFill="1" applyBorder="1" applyAlignment="1" applyProtection="1">
      <alignment horizontal="center"/>
    </xf>
    <xf numFmtId="44" fontId="39" fillId="44" borderId="0" xfId="39" applyNumberFormat="1" applyFont="1" applyFill="1"/>
    <xf numFmtId="0" fontId="36" fillId="42" borderId="0" xfId="39" applyFont="1" applyFill="1" applyAlignment="1">
      <alignment horizontal="center" vertical="top" wrapText="1"/>
    </xf>
    <xf numFmtId="0" fontId="36" fillId="42" borderId="0" xfId="39" applyFont="1" applyFill="1" applyAlignment="1">
      <alignment horizontal="right" vertical="top" wrapText="1"/>
    </xf>
    <xf numFmtId="0" fontId="36" fillId="42" borderId="0" xfId="39" applyFont="1" applyFill="1" applyAlignment="1">
      <alignment horizontal="right" vertical="top"/>
    </xf>
    <xf numFmtId="164" fontId="36" fillId="26" borderId="28" xfId="0" applyNumberFormat="1" applyFont="1" applyFill="1" applyBorder="1" applyAlignment="1">
      <alignment horizontal="center"/>
    </xf>
    <xf numFmtId="10" fontId="36" fillId="26" borderId="12" xfId="0" applyNumberFormat="1" applyFont="1" applyFill="1" applyBorder="1" applyAlignment="1">
      <alignment horizontal="center"/>
    </xf>
    <xf numFmtId="3" fontId="36" fillId="26" borderId="12" xfId="0" applyNumberFormat="1" applyFont="1" applyFill="1" applyBorder="1" applyAlignment="1">
      <alignment horizontal="center"/>
    </xf>
    <xf numFmtId="0" fontId="48" fillId="32" borderId="12" xfId="0" applyFont="1" applyFill="1" applyBorder="1" applyAlignment="1">
      <alignment horizontal="center"/>
    </xf>
    <xf numFmtId="8" fontId="36" fillId="33" borderId="12" xfId="0" applyNumberFormat="1" applyFont="1" applyFill="1" applyBorder="1" applyAlignment="1">
      <alignment horizontal="center"/>
    </xf>
    <xf numFmtId="44" fontId="36" fillId="33" borderId="12" xfId="0" applyNumberFormat="1" applyFont="1" applyFill="1" applyBorder="1" applyAlignment="1">
      <alignment horizontal="center"/>
    </xf>
    <xf numFmtId="44" fontId="36" fillId="33" borderId="15" xfId="0" applyNumberFormat="1" applyFont="1" applyFill="1" applyBorder="1" applyAlignment="1">
      <alignment horizontal="center"/>
    </xf>
    <xf numFmtId="0" fontId="39" fillId="0" borderId="26" xfId="0" applyFont="1" applyBorder="1" applyAlignment="1">
      <alignment horizontal="left"/>
    </xf>
    <xf numFmtId="0" fontId="39" fillId="0" borderId="27" xfId="39" applyFont="1" applyBorder="1" applyAlignment="1">
      <alignment horizontal="right"/>
    </xf>
    <xf numFmtId="0" fontId="39" fillId="0" borderId="11" xfId="0" applyFont="1" applyBorder="1" applyAlignment="1">
      <alignment horizontal="left"/>
    </xf>
    <xf numFmtId="10" fontId="39" fillId="0" borderId="11" xfId="0" applyNumberFormat="1" applyFont="1" applyBorder="1" applyAlignment="1">
      <alignment horizontal="left" vertical="top"/>
    </xf>
    <xf numFmtId="0" fontId="39" fillId="0" borderId="13" xfId="0" applyFont="1" applyBorder="1" applyAlignment="1">
      <alignment horizontal="left" vertical="center"/>
    </xf>
    <xf numFmtId="0" fontId="39" fillId="0" borderId="14" xfId="39" applyFont="1" applyBorder="1" applyAlignment="1">
      <alignment horizontal="right"/>
    </xf>
    <xf numFmtId="0" fontId="36" fillId="0" borderId="11" xfId="39" applyFont="1" applyBorder="1"/>
    <xf numFmtId="164" fontId="39" fillId="0" borderId="12" xfId="39" applyNumberFormat="1" applyFont="1" applyBorder="1" applyAlignment="1">
      <alignment horizontal="center"/>
    </xf>
    <xf numFmtId="0" fontId="36" fillId="0" borderId="13" xfId="39" applyFont="1" applyBorder="1"/>
    <xf numFmtId="164" fontId="39" fillId="0" borderId="14" xfId="39" applyNumberFormat="1" applyFont="1" applyBorder="1" applyAlignment="1">
      <alignment horizontal="center"/>
    </xf>
    <xf numFmtId="164" fontId="39" fillId="0" borderId="15" xfId="39" applyNumberFormat="1" applyFont="1" applyBorder="1" applyAlignment="1">
      <alignment horizontal="center"/>
    </xf>
    <xf numFmtId="164" fontId="36" fillId="26" borderId="28" xfId="28" applyNumberFormat="1" applyFont="1" applyFill="1" applyBorder="1" applyAlignment="1" applyProtection="1">
      <alignment horizontal="center"/>
      <protection locked="0"/>
    </xf>
    <xf numFmtId="10" fontId="36" fillId="26" borderId="12" xfId="42" applyNumberFormat="1" applyFont="1" applyFill="1" applyBorder="1" applyAlignment="1" applyProtection="1">
      <alignment horizontal="center"/>
      <protection locked="0"/>
    </xf>
    <xf numFmtId="3" fontId="36" fillId="26" borderId="12" xfId="39" applyNumberFormat="1" applyFont="1" applyFill="1" applyBorder="1" applyAlignment="1" applyProtection="1">
      <alignment horizontal="center"/>
      <protection locked="0"/>
    </xf>
    <xf numFmtId="43" fontId="48" fillId="26" borderId="12" xfId="0" applyNumberFormat="1" applyFont="1" applyFill="1" applyBorder="1" applyAlignment="1">
      <alignment horizontal="center"/>
    </xf>
    <xf numFmtId="8" fontId="36" fillId="26" borderId="12" xfId="0" applyNumberFormat="1" applyFont="1" applyFill="1" applyBorder="1" applyAlignment="1">
      <alignment horizontal="center"/>
    </xf>
    <xf numFmtId="44" fontId="36" fillId="26" borderId="12" xfId="39" applyNumberFormat="1" applyFont="1" applyFill="1" applyBorder="1" applyAlignment="1">
      <alignment horizontal="center"/>
    </xf>
    <xf numFmtId="0" fontId="39" fillId="0" borderId="14" xfId="39" applyFont="1" applyBorder="1" applyAlignment="1">
      <alignment horizontal="right" indent="1"/>
    </xf>
    <xf numFmtId="44" fontId="36" fillId="26" borderId="15" xfId="39" applyNumberFormat="1" applyFont="1" applyFill="1" applyBorder="1" applyAlignment="1">
      <alignment horizontal="center"/>
    </xf>
    <xf numFmtId="0" fontId="36" fillId="26" borderId="23" xfId="39" applyFont="1" applyFill="1" applyBorder="1"/>
    <xf numFmtId="0" fontId="36" fillId="26" borderId="24" xfId="39" applyFont="1" applyFill="1" applyBorder="1" applyAlignment="1">
      <alignment horizontal="center"/>
    </xf>
    <xf numFmtId="0" fontId="36" fillId="26" borderId="25" xfId="39" applyFont="1" applyFill="1" applyBorder="1" applyAlignment="1">
      <alignment horizontal="center"/>
    </xf>
    <xf numFmtId="0" fontId="39" fillId="45" borderId="0" xfId="39" applyFont="1" applyFill="1" applyAlignment="1">
      <alignment horizontal="center"/>
    </xf>
    <xf numFmtId="44" fontId="39" fillId="45" borderId="0" xfId="28" quotePrefix="1" applyFont="1" applyFill="1" applyBorder="1" applyAlignment="1" applyProtection="1">
      <alignment horizontal="center"/>
    </xf>
    <xf numFmtId="44" fontId="39" fillId="45" borderId="0" xfId="39" applyNumberFormat="1" applyFont="1" applyFill="1"/>
    <xf numFmtId="0" fontId="39" fillId="0" borderId="13" xfId="39" applyFont="1" applyBorder="1" applyAlignment="1">
      <alignment horizontal="left"/>
    </xf>
    <xf numFmtId="0" fontId="39" fillId="0" borderId="27" xfId="39" applyFont="1" applyBorder="1"/>
    <xf numFmtId="0" fontId="39" fillId="0" borderId="26" xfId="39" applyFont="1" applyBorder="1" applyAlignment="1">
      <alignment horizontal="left"/>
    </xf>
    <xf numFmtId="0" fontId="39" fillId="0" borderId="11" xfId="39" applyFont="1" applyBorder="1" applyAlignment="1">
      <alignment horizontal="left"/>
    </xf>
    <xf numFmtId="3" fontId="39" fillId="0" borderId="14" xfId="39" applyNumberFormat="1" applyFont="1" applyBorder="1" applyAlignment="1">
      <alignment horizontal="center"/>
    </xf>
    <xf numFmtId="3" fontId="39" fillId="0" borderId="15" xfId="39" applyNumberFormat="1" applyFont="1" applyBorder="1" applyAlignment="1">
      <alignment horizontal="center"/>
    </xf>
    <xf numFmtId="0" fontId="39" fillId="0" borderId="14" xfId="39" applyFont="1" applyBorder="1"/>
    <xf numFmtId="0" fontId="36" fillId="42" borderId="0" xfId="39" applyFont="1" applyFill="1" applyAlignment="1">
      <alignment horizontal="center" vertical="center" wrapText="1"/>
    </xf>
    <xf numFmtId="0" fontId="36" fillId="42" borderId="0" xfId="39" applyFont="1" applyFill="1" applyAlignment="1">
      <alignment horizontal="right" vertical="center" wrapText="1"/>
    </xf>
    <xf numFmtId="0" fontId="36" fillId="42" borderId="0" xfId="39" applyFont="1" applyFill="1" applyAlignment="1">
      <alignment horizontal="right" vertical="center"/>
    </xf>
    <xf numFmtId="0" fontId="0" fillId="0" borderId="0" xfId="39" applyFont="1"/>
    <xf numFmtId="10" fontId="54" fillId="29" borderId="0" xfId="0" applyNumberFormat="1" applyFont="1" applyFill="1" applyAlignment="1">
      <alignment horizontal="left" vertical="top"/>
    </xf>
    <xf numFmtId="10" fontId="63" fillId="29" borderId="0" xfId="0" applyNumberFormat="1" applyFont="1" applyFill="1" applyAlignment="1">
      <alignment horizontal="left" vertical="top"/>
    </xf>
    <xf numFmtId="0" fontId="36" fillId="0" borderId="0" xfId="39" applyFont="1"/>
    <xf numFmtId="10" fontId="54" fillId="29" borderId="0" xfId="0" applyNumberFormat="1" applyFont="1" applyFill="1" applyAlignment="1">
      <alignment horizontal="left" vertical="top" indent="2"/>
    </xf>
    <xf numFmtId="0" fontId="0" fillId="0" borderId="0" xfId="39" applyFont="1" applyAlignment="1">
      <alignment horizontal="left" indent="2"/>
    </xf>
    <xf numFmtId="10" fontId="46" fillId="29" borderId="11" xfId="0" applyNumberFormat="1" applyFont="1" applyFill="1" applyBorder="1" applyAlignment="1">
      <alignment horizontal="center" vertical="top"/>
    </xf>
    <xf numFmtId="10" fontId="48" fillId="29" borderId="62" xfId="0" applyNumberFormat="1" applyFont="1" applyFill="1" applyBorder="1" applyAlignment="1">
      <alignment horizontal="center" vertical="top"/>
    </xf>
    <xf numFmtId="164" fontId="39" fillId="24" borderId="0" xfId="42" applyNumberFormat="1" applyFont="1" applyFill="1" applyBorder="1" applyAlignment="1">
      <alignment horizontal="center" vertical="top"/>
    </xf>
    <xf numFmtId="164" fontId="57" fillId="24" borderId="0" xfId="0" applyNumberFormat="1" applyFont="1" applyFill="1" applyAlignment="1">
      <alignment horizontal="center" vertical="top"/>
    </xf>
    <xf numFmtId="164" fontId="39" fillId="24" borderId="0" xfId="0" applyNumberFormat="1" applyFont="1" applyFill="1" applyAlignment="1">
      <alignment vertical="top"/>
    </xf>
    <xf numFmtId="164" fontId="39" fillId="24" borderId="0" xfId="0" applyNumberFormat="1" applyFont="1" applyFill="1" applyAlignment="1"/>
    <xf numFmtId="164" fontId="46" fillId="24" borderId="0" xfId="42" applyNumberFormat="1" applyFont="1" applyFill="1" applyBorder="1" applyAlignment="1">
      <alignment horizontal="center" vertical="top"/>
    </xf>
    <xf numFmtId="164" fontId="36" fillId="24" borderId="63" xfId="0" applyNumberFormat="1" applyFont="1" applyFill="1" applyBorder="1" applyAlignment="1">
      <alignment horizontal="center" vertical="top"/>
    </xf>
    <xf numFmtId="10" fontId="36" fillId="24" borderId="65" xfId="0" applyNumberFormat="1" applyFont="1" applyFill="1" applyBorder="1" applyAlignment="1">
      <alignment horizontal="center" vertical="top"/>
    </xf>
    <xf numFmtId="164" fontId="39" fillId="24" borderId="66" xfId="0" applyNumberFormat="1" applyFont="1" applyFill="1" applyBorder="1" applyAlignment="1">
      <alignment horizontal="center" vertical="top"/>
    </xf>
    <xf numFmtId="10" fontId="39" fillId="24" borderId="64" xfId="0" applyNumberFormat="1" applyFont="1" applyFill="1" applyBorder="1" applyAlignment="1">
      <alignment horizontal="center" vertical="top"/>
    </xf>
    <xf numFmtId="10" fontId="39" fillId="24" borderId="66" xfId="0" applyNumberFormat="1" applyFont="1" applyFill="1" applyBorder="1" applyAlignment="1">
      <alignment horizontal="center" vertical="top"/>
    </xf>
    <xf numFmtId="164" fontId="36" fillId="42" borderId="67" xfId="0" applyNumberFormat="1" applyFont="1" applyFill="1" applyBorder="1" applyAlignment="1">
      <alignment horizontal="center" vertical="top"/>
    </xf>
    <xf numFmtId="0" fontId="39" fillId="42" borderId="69" xfId="0" applyFont="1" applyFill="1" applyBorder="1" applyAlignment="1">
      <alignment horizontal="center" vertical="top"/>
    </xf>
    <xf numFmtId="164" fontId="36" fillId="42" borderId="69" xfId="0" applyNumberFormat="1" applyFont="1" applyFill="1" applyBorder="1" applyAlignment="1">
      <alignment horizontal="center" vertical="top"/>
    </xf>
    <xf numFmtId="0" fontId="36" fillId="42" borderId="68" xfId="0" applyFont="1" applyFill="1" applyBorder="1" applyAlignment="1">
      <alignment vertical="top"/>
    </xf>
    <xf numFmtId="164" fontId="36" fillId="24" borderId="0" xfId="0" applyNumberFormat="1" applyFont="1" applyFill="1" applyAlignment="1">
      <alignment horizontal="center" vertical="top" wrapText="1"/>
    </xf>
    <xf numFmtId="164" fontId="36" fillId="42" borderId="70" xfId="0" applyNumberFormat="1" applyFont="1" applyFill="1" applyBorder="1" applyAlignment="1">
      <alignment horizontal="center" vertical="top"/>
    </xf>
    <xf numFmtId="0" fontId="0" fillId="24" borderId="0" xfId="0" applyFill="1" applyAlignment="1">
      <alignment vertical="center"/>
    </xf>
    <xf numFmtId="0" fontId="36" fillId="24" borderId="0" xfId="0" applyFont="1" applyFill="1" applyAlignment="1">
      <alignment horizontal="left" vertical="center" wrapText="1"/>
    </xf>
    <xf numFmtId="0" fontId="36" fillId="24" borderId="0" xfId="0" applyFont="1" applyFill="1" applyAlignment="1">
      <alignment horizontal="center" vertical="center" wrapText="1"/>
    </xf>
    <xf numFmtId="0" fontId="0" fillId="24" borderId="0" xfId="0" applyFill="1" applyAlignment="1">
      <alignment horizontal="left" vertical="center" wrapText="1"/>
    </xf>
    <xf numFmtId="2" fontId="46" fillId="24" borderId="0" xfId="0" applyNumberFormat="1" applyFont="1" applyFill="1" applyAlignment="1">
      <alignment horizontal="left" vertical="center" wrapText="1"/>
    </xf>
    <xf numFmtId="9" fontId="46" fillId="24" borderId="0" xfId="0" applyNumberFormat="1" applyFont="1" applyFill="1" applyAlignment="1">
      <alignment horizontal="left" vertical="center" wrapText="1"/>
    </xf>
    <xf numFmtId="0" fontId="46" fillId="24" borderId="0" xfId="0" applyFont="1" applyFill="1" applyAlignment="1">
      <alignment horizontal="left" vertical="center" wrapText="1"/>
    </xf>
    <xf numFmtId="0" fontId="46" fillId="29" borderId="0" xfId="0" applyFont="1" applyFill="1">
      <alignment vertical="center" wrapText="1"/>
    </xf>
    <xf numFmtId="164" fontId="46" fillId="24" borderId="0" xfId="28" applyNumberFormat="1" applyFont="1" applyFill="1" applyBorder="1" applyAlignment="1">
      <alignment horizontal="left" vertical="center" wrapText="1"/>
    </xf>
    <xf numFmtId="0" fontId="71" fillId="24" borderId="0" xfId="0" applyFont="1" applyFill="1" applyAlignment="1">
      <alignment horizontal="left" vertical="top" wrapText="1"/>
    </xf>
    <xf numFmtId="166" fontId="0" fillId="24" borderId="0" xfId="28" applyNumberFormat="1" applyFont="1" applyFill="1" applyBorder="1" applyAlignment="1">
      <alignment horizontal="center" vertical="top" wrapText="1"/>
    </xf>
    <xf numFmtId="0" fontId="0" fillId="0" borderId="0" xfId="0" applyAlignment="1">
      <alignment horizontal="left" vertical="center" wrapText="1" indent="1"/>
    </xf>
    <xf numFmtId="0" fontId="36" fillId="42" borderId="71" xfId="0" applyFont="1" applyFill="1" applyBorder="1">
      <alignment vertical="center" wrapText="1"/>
    </xf>
    <xf numFmtId="0" fontId="36" fillId="0" borderId="52" xfId="0" applyFont="1" applyBorder="1">
      <alignment vertical="center" wrapText="1"/>
    </xf>
    <xf numFmtId="0" fontId="36" fillId="0" borderId="52" xfId="0" applyFont="1" applyBorder="1" applyAlignment="1">
      <alignment horizontal="left" vertical="center" wrapText="1"/>
    </xf>
    <xf numFmtId="0" fontId="0" fillId="0" borderId="52" xfId="0" applyBorder="1" applyAlignment="1">
      <alignment horizontal="left" vertical="center" wrapText="1" indent="1"/>
    </xf>
    <xf numFmtId="0" fontId="0" fillId="0" borderId="52" xfId="0" applyBorder="1" applyAlignment="1">
      <alignment horizontal="left" vertical="center" wrapText="1" indent="2"/>
    </xf>
    <xf numFmtId="0" fontId="0" fillId="0" borderId="51" xfId="0" applyBorder="1" applyAlignment="1">
      <alignment horizontal="left" vertical="center" wrapText="1" indent="1"/>
    </xf>
    <xf numFmtId="0" fontId="36" fillId="42" borderId="45" xfId="0" applyFont="1" applyFill="1" applyBorder="1" applyAlignment="1">
      <alignment horizontal="center" vertical="top" wrapText="1"/>
    </xf>
    <xf numFmtId="0" fontId="36" fillId="42" borderId="43" xfId="0" applyFont="1" applyFill="1" applyBorder="1" applyAlignment="1">
      <alignment horizontal="center" vertical="top" wrapText="1"/>
    </xf>
    <xf numFmtId="164" fontId="36" fillId="42" borderId="25" xfId="0" applyNumberFormat="1" applyFont="1" applyFill="1" applyBorder="1" applyAlignment="1">
      <alignment horizontal="center" vertical="top"/>
    </xf>
    <xf numFmtId="0" fontId="7" fillId="24" borderId="0" xfId="0" applyFont="1" applyFill="1" applyAlignment="1">
      <alignment horizontal="left" vertical="center" wrapText="1"/>
    </xf>
    <xf numFmtId="6" fontId="39" fillId="0" borderId="0" xfId="0" applyNumberFormat="1" applyFont="1" applyAlignment="1">
      <alignment horizontal="center" vertical="top" wrapText="1"/>
    </xf>
    <xf numFmtId="6" fontId="39" fillId="0" borderId="33" xfId="0" applyNumberFormat="1" applyFont="1" applyBorder="1" applyAlignment="1">
      <alignment horizontal="center" vertical="top" wrapText="1"/>
    </xf>
    <xf numFmtId="0" fontId="39" fillId="0" borderId="0" xfId="0" applyFont="1" applyAlignment="1">
      <alignment horizontal="center" vertical="top" wrapText="1"/>
    </xf>
    <xf numFmtId="0" fontId="39" fillId="38" borderId="0" xfId="0" applyFont="1" applyFill="1">
      <alignment vertical="center" wrapText="1"/>
    </xf>
    <xf numFmtId="10" fontId="39" fillId="38" borderId="0" xfId="0" applyNumberFormat="1" applyFont="1" applyFill="1">
      <alignment vertical="center" wrapText="1"/>
    </xf>
    <xf numFmtId="164" fontId="12" fillId="46" borderId="0" xfId="0" applyNumberFormat="1" applyFont="1" applyFill="1" applyAlignment="1">
      <alignment horizontal="center" vertical="top"/>
    </xf>
    <xf numFmtId="0" fontId="43" fillId="38" borderId="0" xfId="0" applyFont="1" applyFill="1" applyAlignment="1">
      <alignment horizontal="center"/>
    </xf>
    <xf numFmtId="10" fontId="54" fillId="46" borderId="0" xfId="0" applyNumberFormat="1" applyFont="1" applyFill="1" applyAlignment="1">
      <alignment horizontal="left" vertical="top"/>
    </xf>
    <xf numFmtId="10" fontId="11" fillId="46" borderId="0" xfId="0" applyNumberFormat="1" applyFont="1" applyFill="1" applyAlignment="1">
      <alignment horizontal="center" vertical="top"/>
    </xf>
    <xf numFmtId="0" fontId="11" fillId="38" borderId="0" xfId="0" applyFont="1" applyFill="1" applyAlignment="1">
      <alignment vertical="top"/>
    </xf>
    <xf numFmtId="0" fontId="0" fillId="38" borderId="11" xfId="0" applyFill="1" applyBorder="1" applyAlignment="1">
      <alignment horizontal="left" vertical="top" indent="1"/>
    </xf>
    <xf numFmtId="0" fontId="39" fillId="38" borderId="11" xfId="0" applyFont="1" applyFill="1" applyBorder="1" applyAlignment="1">
      <alignment horizontal="left" indent="1"/>
    </xf>
    <xf numFmtId="0" fontId="39" fillId="38" borderId="0" xfId="0" applyFont="1" applyFill="1" applyAlignment="1">
      <alignment horizontal="center"/>
    </xf>
    <xf numFmtId="10" fontId="39" fillId="38" borderId="0" xfId="0" applyNumberFormat="1" applyFont="1" applyFill="1" applyAlignment="1">
      <alignment horizontal="center"/>
    </xf>
    <xf numFmtId="0" fontId="11" fillId="46" borderId="0" xfId="0" applyFont="1" applyFill="1" applyAlignment="1">
      <alignment horizontal="center" vertical="top" wrapText="1"/>
    </xf>
    <xf numFmtId="0" fontId="11" fillId="46" borderId="0" xfId="0" applyFont="1" applyFill="1" applyAlignment="1">
      <alignment horizontal="center"/>
    </xf>
    <xf numFmtId="0" fontId="11" fillId="38" borderId="0" xfId="0" applyFont="1" applyFill="1" applyAlignment="1">
      <alignment horizontal="left" vertical="top"/>
    </xf>
    <xf numFmtId="9" fontId="11" fillId="38" borderId="0" xfId="0" applyNumberFormat="1" applyFont="1" applyFill="1" applyAlignment="1">
      <alignment horizontal="center" vertical="top"/>
    </xf>
    <xf numFmtId="0" fontId="11" fillId="46" borderId="0" xfId="0" applyFont="1" applyFill="1" applyAlignment="1">
      <alignment horizontal="left" vertical="top"/>
    </xf>
    <xf numFmtId="0" fontId="11" fillId="38" borderId="0" xfId="0" applyFont="1" applyFill="1">
      <alignment vertical="center" wrapText="1"/>
    </xf>
    <xf numFmtId="164" fontId="0" fillId="24" borderId="12" xfId="0" applyNumberFormat="1" applyFill="1" applyBorder="1" applyAlignment="1">
      <alignment horizontal="center" vertical="top"/>
    </xf>
    <xf numFmtId="164" fontId="46" fillId="24" borderId="0" xfId="0" applyNumberFormat="1" applyFont="1" applyFill="1" applyAlignment="1">
      <alignment horizontal="left" vertical="top" indent="1"/>
    </xf>
    <xf numFmtId="164" fontId="54" fillId="38" borderId="0" xfId="0" applyNumberFormat="1" applyFont="1" applyFill="1" applyAlignment="1">
      <alignment horizontal="left" vertical="top" indent="1"/>
    </xf>
    <xf numFmtId="0" fontId="36" fillId="24" borderId="0" xfId="0" applyFont="1" applyFill="1" applyAlignment="1">
      <alignment horizontal="center" vertical="top"/>
    </xf>
    <xf numFmtId="164" fontId="0" fillId="24" borderId="0" xfId="0" applyNumberFormat="1" applyFill="1" applyAlignment="1">
      <alignment horizontal="center" vertical="top"/>
    </xf>
    <xf numFmtId="10" fontId="0" fillId="24" borderId="0" xfId="0" applyNumberFormat="1" applyFill="1" applyAlignment="1">
      <alignment horizontal="center" vertical="top"/>
    </xf>
    <xf numFmtId="6" fontId="0" fillId="24" borderId="0" xfId="0" applyNumberFormat="1" applyFill="1" applyAlignment="1">
      <alignment horizontal="center" vertical="top"/>
    </xf>
    <xf numFmtId="165" fontId="46" fillId="24" borderId="0" xfId="0" applyNumberFormat="1" applyFont="1" applyFill="1" applyAlignment="1">
      <alignment horizontal="center" vertical="top"/>
    </xf>
    <xf numFmtId="0" fontId="43" fillId="38" borderId="0" xfId="0" applyNumberFormat="1" applyFont="1" applyFill="1" applyAlignment="1">
      <alignment horizontal="center" vertical="top"/>
    </xf>
    <xf numFmtId="0" fontId="0" fillId="29" borderId="0" xfId="0" applyFill="1" applyAlignment="1">
      <alignment horizontal="center" vertical="top"/>
    </xf>
    <xf numFmtId="0" fontId="0" fillId="29" borderId="0" xfId="0" applyFill="1" applyAlignment="1">
      <alignment horizontal="center" vertical="center" wrapText="1"/>
    </xf>
    <xf numFmtId="0" fontId="1" fillId="29" borderId="0" xfId="0" applyFont="1" applyFill="1" applyAlignment="1">
      <alignment horizontal="center" vertical="center" wrapText="1"/>
    </xf>
    <xf numFmtId="0" fontId="55" fillId="38" borderId="11" xfId="0" applyFont="1" applyFill="1" applyBorder="1" applyAlignment="1">
      <alignment horizontal="left" vertical="top" indent="2"/>
    </xf>
    <xf numFmtId="10" fontId="54" fillId="46" borderId="11" xfId="0" applyNumberFormat="1" applyFont="1" applyFill="1" applyBorder="1" applyAlignment="1">
      <alignment horizontal="left" vertical="top" indent="3"/>
    </xf>
    <xf numFmtId="6" fontId="46" fillId="24" borderId="0" xfId="0" applyNumberFormat="1" applyFont="1" applyFill="1" applyAlignment="1">
      <alignment horizontal="left" vertical="top"/>
    </xf>
    <xf numFmtId="164" fontId="0" fillId="38" borderId="0" xfId="0" applyNumberFormat="1" applyFill="1" applyAlignment="1">
      <alignment horizontal="left" vertical="top" indent="1"/>
    </xf>
    <xf numFmtId="0" fontId="0" fillId="29" borderId="11" xfId="0" applyFill="1" applyBorder="1" applyAlignment="1">
      <alignment horizontal="left" vertical="top" indent="1"/>
    </xf>
    <xf numFmtId="0" fontId="36" fillId="24" borderId="11" xfId="0" applyFont="1" applyFill="1" applyBorder="1" applyAlignment="1">
      <alignment horizontal="left" vertical="top" indent="1"/>
    </xf>
    <xf numFmtId="164" fontId="43" fillId="24" borderId="12" xfId="0" applyNumberFormat="1" applyFont="1" applyFill="1" applyBorder="1" applyAlignment="1">
      <alignment horizontal="center" vertical="top"/>
    </xf>
    <xf numFmtId="164" fontId="11" fillId="38" borderId="12" xfId="0" applyNumberFormat="1" applyFont="1" applyFill="1" applyBorder="1" applyAlignment="1">
      <alignment horizontal="center" vertical="top"/>
    </xf>
    <xf numFmtId="164" fontId="54" fillId="38" borderId="12" xfId="0" applyNumberFormat="1" applyFont="1" applyFill="1" applyBorder="1" applyAlignment="1">
      <alignment horizontal="center" vertical="top"/>
    </xf>
    <xf numFmtId="164" fontId="7" fillId="24" borderId="0" xfId="0" applyNumberFormat="1" applyFont="1" applyFill="1" applyAlignment="1">
      <alignment horizontal="center" vertical="center" wrapText="1"/>
    </xf>
    <xf numFmtId="164" fontId="0" fillId="29" borderId="0" xfId="0" applyNumberFormat="1" applyFill="1" applyAlignment="1">
      <alignment horizontal="center" vertical="center" wrapText="1"/>
    </xf>
    <xf numFmtId="164" fontId="1" fillId="29" borderId="0" xfId="0" applyNumberFormat="1" applyFont="1" applyFill="1" applyAlignment="1">
      <alignment horizontal="center" vertical="center" wrapText="1"/>
    </xf>
    <xf numFmtId="164" fontId="11" fillId="24" borderId="0" xfId="0" applyNumberFormat="1" applyFont="1" applyFill="1" applyAlignment="1">
      <alignment horizontal="center" vertical="top"/>
    </xf>
    <xf numFmtId="0" fontId="32" fillId="0" borderId="0" xfId="39" applyFont="1" applyAlignment="1">
      <alignment horizontal="left" vertical="top"/>
    </xf>
    <xf numFmtId="164" fontId="39" fillId="42" borderId="28" xfId="0" applyNumberFormat="1" applyFont="1" applyFill="1" applyBorder="1" applyAlignment="1">
      <alignment horizontal="center"/>
    </xf>
    <xf numFmtId="3" fontId="39" fillId="24" borderId="38" xfId="0" applyNumberFormat="1" applyFont="1" applyFill="1" applyBorder="1" applyAlignment="1">
      <alignment horizontal="center"/>
    </xf>
    <xf numFmtId="164" fontId="39" fillId="24" borderId="12" xfId="0" applyNumberFormat="1" applyFont="1" applyFill="1" applyBorder="1" applyAlignment="1">
      <alignment horizontal="center"/>
    </xf>
    <xf numFmtId="0" fontId="39" fillId="24" borderId="12" xfId="0" applyNumberFormat="1" applyFont="1" applyFill="1" applyBorder="1" applyAlignment="1">
      <alignment horizontal="center"/>
    </xf>
    <xf numFmtId="5" fontId="46" fillId="24" borderId="12" xfId="28" applyNumberFormat="1" applyFont="1" applyFill="1" applyBorder="1" applyAlignment="1">
      <alignment horizontal="center"/>
    </xf>
    <xf numFmtId="10" fontId="43" fillId="24" borderId="12" xfId="0" applyNumberFormat="1" applyFont="1" applyFill="1" applyBorder="1" applyAlignment="1">
      <alignment horizontal="center"/>
    </xf>
    <xf numFmtId="3" fontId="39" fillId="24" borderId="12" xfId="0" applyNumberFormat="1" applyFont="1" applyFill="1" applyBorder="1" applyAlignment="1">
      <alignment horizontal="center"/>
    </xf>
    <xf numFmtId="37" fontId="46" fillId="24" borderId="12" xfId="47" applyNumberFormat="1" applyFont="1" applyFill="1" applyBorder="1" applyAlignment="1">
      <alignment horizontal="center"/>
    </xf>
    <xf numFmtId="10" fontId="46" fillId="26" borderId="28" xfId="0" applyNumberFormat="1" applyFont="1" applyFill="1" applyBorder="1" applyAlignment="1">
      <alignment horizontal="center"/>
    </xf>
    <xf numFmtId="164" fontId="39" fillId="24" borderId="15" xfId="0" applyNumberFormat="1" applyFont="1" applyFill="1" applyBorder="1" applyAlignment="1">
      <alignment horizontal="center"/>
    </xf>
    <xf numFmtId="165" fontId="39" fillId="24" borderId="38" xfId="0" applyNumberFormat="1" applyFont="1" applyFill="1" applyBorder="1" applyAlignment="1">
      <alignment horizontal="center"/>
    </xf>
    <xf numFmtId="4" fontId="39" fillId="24" borderId="12" xfId="0" applyNumberFormat="1" applyFont="1" applyFill="1" applyBorder="1" applyAlignment="1">
      <alignment horizontal="center"/>
    </xf>
    <xf numFmtId="164" fontId="39" fillId="26" borderId="28" xfId="0" applyNumberFormat="1" applyFont="1" applyFill="1" applyBorder="1" applyAlignment="1">
      <alignment horizontal="center"/>
    </xf>
    <xf numFmtId="9" fontId="46" fillId="24" borderId="38" xfId="0" applyNumberFormat="1" applyFont="1" applyFill="1" applyBorder="1" applyAlignment="1">
      <alignment horizontal="center"/>
    </xf>
    <xf numFmtId="10" fontId="39" fillId="26" borderId="12" xfId="0" applyNumberFormat="1" applyFont="1" applyFill="1" applyBorder="1" applyAlignment="1">
      <alignment horizontal="center"/>
    </xf>
    <xf numFmtId="0" fontId="39" fillId="42" borderId="27" xfId="0" applyFont="1" applyFill="1" applyBorder="1" applyAlignment="1">
      <alignment horizontal="center" vertical="center" wrapText="1"/>
    </xf>
    <xf numFmtId="0" fontId="39" fillId="24" borderId="33" xfId="0" applyFont="1" applyFill="1" applyBorder="1" applyAlignment="1">
      <alignment horizontal="center" vertical="center" wrapText="1"/>
    </xf>
    <xf numFmtId="165" fontId="46" fillId="24" borderId="0" xfId="0" applyNumberFormat="1" applyFont="1" applyFill="1" applyAlignment="1">
      <alignment horizontal="center" vertical="center" wrapText="1"/>
    </xf>
    <xf numFmtId="0" fontId="39" fillId="26" borderId="27" xfId="0" applyFont="1" applyFill="1" applyBorder="1" applyAlignment="1">
      <alignment horizontal="center" vertical="center" wrapText="1"/>
    </xf>
    <xf numFmtId="0" fontId="39" fillId="26" borderId="0" xfId="0" applyFont="1" applyFill="1" applyAlignment="1">
      <alignment horizontal="center" vertical="center" wrapText="1"/>
    </xf>
    <xf numFmtId="0" fontId="39" fillId="26" borderId="14" xfId="0" applyFont="1" applyFill="1" applyBorder="1" applyAlignment="1">
      <alignment horizontal="center" vertical="center" wrapText="1"/>
    </xf>
    <xf numFmtId="0" fontId="36" fillId="43" borderId="27" xfId="0" applyFont="1" applyFill="1" applyBorder="1" applyAlignment="1">
      <alignment horizontal="center" vertical="center"/>
    </xf>
    <xf numFmtId="0" fontId="36" fillId="24" borderId="22" xfId="0" applyFont="1" applyFill="1" applyBorder="1" applyAlignment="1">
      <alignment horizontal="center" vertical="center"/>
    </xf>
    <xf numFmtId="164" fontId="0" fillId="29" borderId="0" xfId="0" applyNumberFormat="1" applyFill="1" applyAlignment="1">
      <alignment horizontal="center" vertical="center"/>
    </xf>
    <xf numFmtId="164" fontId="0" fillId="24" borderId="0" xfId="0" applyNumberFormat="1" applyFill="1" applyAlignment="1">
      <alignment horizontal="center" vertical="center"/>
    </xf>
    <xf numFmtId="0" fontId="36" fillId="24" borderId="33" xfId="0" applyFont="1" applyFill="1" applyBorder="1" applyAlignment="1">
      <alignment horizontal="center" vertical="center"/>
    </xf>
    <xf numFmtId="0" fontId="0" fillId="38" borderId="0" xfId="0" applyFill="1" applyAlignment="1">
      <alignment horizontal="center"/>
    </xf>
    <xf numFmtId="0" fontId="0" fillId="0" borderId="0" xfId="0" applyAlignment="1">
      <alignment horizontal="center"/>
    </xf>
    <xf numFmtId="0" fontId="36" fillId="0" borderId="39" xfId="0" applyFont="1" applyBorder="1" applyAlignment="1">
      <alignment horizontal="center"/>
    </xf>
    <xf numFmtId="0" fontId="0" fillId="42" borderId="27" xfId="0" applyFill="1" applyBorder="1" applyAlignment="1">
      <alignment horizontal="center"/>
    </xf>
    <xf numFmtId="9" fontId="0" fillId="24" borderId="0" xfId="42" applyFont="1" applyFill="1" applyBorder="1" applyAlignment="1">
      <alignment horizontal="center" vertical="center"/>
    </xf>
    <xf numFmtId="9" fontId="43" fillId="24" borderId="0" xfId="0" applyNumberFormat="1" applyFont="1" applyFill="1" applyAlignment="1">
      <alignment horizontal="center" vertical="center"/>
    </xf>
    <xf numFmtId="0" fontId="36" fillId="24" borderId="40" xfId="0" applyFont="1" applyFill="1" applyBorder="1" applyAlignment="1">
      <alignment horizontal="center" vertical="center"/>
    </xf>
    <xf numFmtId="164" fontId="0" fillId="24" borderId="12" xfId="0" applyNumberFormat="1" applyFill="1" applyBorder="1" applyAlignment="1">
      <alignment horizontal="center" vertical="center"/>
    </xf>
    <xf numFmtId="164" fontId="36" fillId="29" borderId="38" xfId="0" applyNumberFormat="1" applyFont="1" applyFill="1" applyBorder="1" applyAlignment="1">
      <alignment horizontal="center" vertical="center"/>
    </xf>
    <xf numFmtId="0" fontId="0" fillId="38" borderId="12" xfId="0" applyFill="1" applyBorder="1" applyAlignment="1">
      <alignment horizontal="center"/>
    </xf>
    <xf numFmtId="164" fontId="0" fillId="38" borderId="12" xfId="0" applyNumberFormat="1" applyFill="1" applyBorder="1" applyAlignment="1">
      <alignment horizontal="center"/>
    </xf>
    <xf numFmtId="164" fontId="0" fillId="0" borderId="12" xfId="0" applyNumberFormat="1" applyBorder="1" applyAlignment="1">
      <alignment horizontal="center"/>
    </xf>
    <xf numFmtId="164" fontId="36" fillId="0" borderId="37" xfId="0" applyNumberFormat="1" applyFont="1" applyBorder="1" applyAlignment="1">
      <alignment horizontal="center"/>
    </xf>
    <xf numFmtId="0" fontId="49" fillId="0" borderId="0" xfId="51" applyFill="1" applyAlignment="1">
      <alignment vertical="center"/>
    </xf>
    <xf numFmtId="0" fontId="63" fillId="24" borderId="0" xfId="0" applyFont="1" applyFill="1" applyAlignment="1">
      <alignment horizontal="center" vertical="center" wrapText="1"/>
    </xf>
    <xf numFmtId="0" fontId="11" fillId="24" borderId="0" xfId="0" applyFont="1" applyFill="1" applyAlignment="1">
      <alignment horizontal="left" vertical="top" indent="1"/>
    </xf>
    <xf numFmtId="0" fontId="7" fillId="47" borderId="0" xfId="0" applyFont="1" applyFill="1" applyAlignment="1">
      <alignment horizontal="left" vertical="center" wrapText="1"/>
    </xf>
    <xf numFmtId="164" fontId="1" fillId="29" borderId="0" xfId="0" applyNumberFormat="1" applyFont="1" applyFill="1" applyAlignment="1">
      <alignment horizontal="center" vertical="top"/>
    </xf>
    <xf numFmtId="0" fontId="12" fillId="29" borderId="0" xfId="0" applyNumberFormat="1" applyFont="1" applyFill="1" applyAlignment="1">
      <alignment horizontal="right" vertical="top" indent="4"/>
    </xf>
    <xf numFmtId="0" fontId="12" fillId="46" borderId="0" xfId="0" applyNumberFormat="1" applyFont="1" applyFill="1" applyAlignment="1">
      <alignment horizontal="right" vertical="top" indent="4"/>
    </xf>
    <xf numFmtId="0" fontId="9" fillId="29" borderId="0" xfId="0" applyNumberFormat="1" applyFont="1" applyFill="1" applyAlignment="1">
      <alignment horizontal="right" vertical="top" indent="4"/>
    </xf>
    <xf numFmtId="0" fontId="11" fillId="24" borderId="0" xfId="0" applyNumberFormat="1" applyFont="1" applyFill="1" applyAlignment="1">
      <alignment horizontal="right" vertical="top" indent="4"/>
    </xf>
    <xf numFmtId="0" fontId="1" fillId="47" borderId="0" xfId="0" applyFont="1" applyFill="1" applyAlignment="1">
      <alignment horizontal="left" vertical="center"/>
    </xf>
    <xf numFmtId="0" fontId="72" fillId="29" borderId="0" xfId="0" applyNumberFormat="1" applyFont="1" applyFill="1" applyAlignment="1">
      <alignment horizontal="right" vertical="top" indent="1"/>
    </xf>
    <xf numFmtId="0" fontId="63" fillId="0" borderId="36" xfId="0" applyFont="1" applyBorder="1" applyAlignment="1">
      <alignment horizontal="left" vertical="top" indent="1"/>
    </xf>
    <xf numFmtId="164" fontId="63" fillId="0" borderId="39" xfId="0" applyNumberFormat="1" applyFont="1" applyBorder="1" applyAlignment="1">
      <alignment horizontal="left" vertical="top" indent="1"/>
    </xf>
    <xf numFmtId="164" fontId="63" fillId="0" borderId="37" xfId="0" applyNumberFormat="1" applyFont="1" applyBorder="1" applyAlignment="1">
      <alignment horizontal="center" vertical="top"/>
    </xf>
    <xf numFmtId="164" fontId="63" fillId="0" borderId="37" xfId="0" applyNumberFormat="1" applyFont="1" applyBorder="1" applyAlignment="1">
      <alignment horizontal="center" vertical="center"/>
    </xf>
    <xf numFmtId="164" fontId="48" fillId="29" borderId="0" xfId="0" applyNumberFormat="1" applyFont="1" applyFill="1" applyAlignment="1">
      <alignment horizontal="left" vertical="center"/>
    </xf>
    <xf numFmtId="164" fontId="11" fillId="29" borderId="0" xfId="0" applyNumberFormat="1" applyFont="1" applyFill="1" applyAlignment="1">
      <alignment horizontal="center" vertical="center"/>
    </xf>
    <xf numFmtId="0" fontId="11" fillId="24" borderId="0" xfId="0" applyFont="1" applyFill="1" applyAlignment="1">
      <alignment vertical="center"/>
    </xf>
    <xf numFmtId="0" fontId="12" fillId="29" borderId="0" xfId="0" applyNumberFormat="1" applyFont="1" applyFill="1" applyAlignment="1">
      <alignment horizontal="left" vertical="center" indent="1"/>
    </xf>
    <xf numFmtId="0" fontId="63" fillId="0" borderId="36" xfId="0" applyFont="1" applyBorder="1" applyAlignment="1">
      <alignment horizontal="left" vertical="center" wrapText="1" indent="1"/>
    </xf>
    <xf numFmtId="164" fontId="63" fillId="0" borderId="39" xfId="0" applyNumberFormat="1" applyFont="1" applyBorder="1" applyAlignment="1">
      <alignment horizontal="left" vertical="center" indent="1"/>
    </xf>
    <xf numFmtId="164" fontId="0" fillId="24" borderId="0" xfId="0" applyNumberFormat="1" applyFill="1" applyAlignment="1">
      <alignment horizontal="left" vertical="center" indent="1"/>
    </xf>
    <xf numFmtId="164" fontId="48" fillId="29" borderId="0" xfId="0" applyNumberFormat="1" applyFont="1" applyFill="1" applyAlignment="1">
      <alignment horizontal="left" vertical="center" indent="1"/>
    </xf>
    <xf numFmtId="164" fontId="11" fillId="29" borderId="0" xfId="0" applyNumberFormat="1" applyFont="1" applyFill="1" applyAlignment="1">
      <alignment horizontal="left" vertical="center" indent="1"/>
    </xf>
    <xf numFmtId="164" fontId="35" fillId="29" borderId="0" xfId="0" applyNumberFormat="1" applyFont="1" applyFill="1" applyAlignment="1">
      <alignment horizontal="left" vertical="center" indent="1"/>
    </xf>
    <xf numFmtId="164" fontId="12" fillId="29" borderId="0" xfId="0" applyNumberFormat="1" applyFont="1" applyFill="1" applyAlignment="1">
      <alignment horizontal="left" vertical="center" indent="1"/>
    </xf>
    <xf numFmtId="0" fontId="9" fillId="29" borderId="0" xfId="0" applyNumberFormat="1" applyFont="1" applyFill="1" applyAlignment="1">
      <alignment horizontal="right" vertical="center"/>
    </xf>
    <xf numFmtId="0" fontId="31" fillId="29" borderId="0" xfId="0" applyFont="1" applyFill="1" applyAlignment="1">
      <alignment vertical="center"/>
    </xf>
    <xf numFmtId="10" fontId="11" fillId="29" borderId="0" xfId="0" applyNumberFormat="1" applyFont="1" applyFill="1" applyAlignment="1">
      <alignment horizontal="center" vertical="center"/>
    </xf>
    <xf numFmtId="164" fontId="9" fillId="29" borderId="0" xfId="0" applyNumberFormat="1" applyFont="1" applyFill="1" applyAlignment="1">
      <alignment horizontal="center" vertical="center"/>
    </xf>
    <xf numFmtId="0" fontId="72" fillId="29" borderId="0" xfId="0" applyNumberFormat="1" applyFont="1" applyFill="1" applyAlignment="1">
      <alignment horizontal="right" vertical="center"/>
    </xf>
    <xf numFmtId="164" fontId="1" fillId="29" borderId="0" xfId="0" applyNumberFormat="1" applyFont="1" applyFill="1" applyAlignment="1">
      <alignment horizontal="center" vertical="center"/>
    </xf>
    <xf numFmtId="0" fontId="36" fillId="42" borderId="23" xfId="0" applyFont="1" applyFill="1" applyBorder="1" applyAlignment="1">
      <alignment horizontal="left" vertical="top"/>
    </xf>
    <xf numFmtId="164" fontId="0" fillId="42" borderId="24" xfId="0" applyNumberFormat="1" applyFill="1" applyBorder="1" applyAlignment="1">
      <alignment horizontal="left" vertical="top" indent="1"/>
    </xf>
    <xf numFmtId="164" fontId="0" fillId="42" borderId="25" xfId="0" applyNumberFormat="1" applyFill="1" applyBorder="1" applyAlignment="1">
      <alignment horizontal="center" vertical="top"/>
    </xf>
    <xf numFmtId="0" fontId="36" fillId="43" borderId="23" xfId="0" applyFont="1" applyFill="1" applyBorder="1" applyAlignment="1">
      <alignment vertical="top"/>
    </xf>
    <xf numFmtId="0" fontId="36" fillId="42" borderId="24" xfId="0" applyFont="1" applyFill="1" applyBorder="1" applyAlignment="1">
      <alignment horizontal="center" vertical="top"/>
    </xf>
    <xf numFmtId="171" fontId="46" fillId="24" borderId="0" xfId="0" applyNumberFormat="1" applyFont="1" applyFill="1" applyAlignment="1">
      <alignment horizontal="center" vertical="top"/>
    </xf>
    <xf numFmtId="10" fontId="73" fillId="29" borderId="0" xfId="35" applyNumberFormat="1" applyFont="1" applyFill="1" applyBorder="1" applyAlignment="1" applyProtection="1">
      <alignment horizontal="left" vertical="center"/>
    </xf>
    <xf numFmtId="0" fontId="32" fillId="0" borderId="0" xfId="39" applyFont="1" applyAlignment="1">
      <alignment vertical="top"/>
    </xf>
    <xf numFmtId="0" fontId="39" fillId="0" borderId="0" xfId="46" applyFont="1" applyAlignment="1">
      <alignment vertical="center"/>
    </xf>
    <xf numFmtId="0" fontId="11" fillId="36" borderId="0" xfId="46" applyFont="1" applyFill="1" applyAlignment="1">
      <alignment horizontal="left" vertical="center"/>
    </xf>
    <xf numFmtId="0" fontId="4" fillId="36" borderId="0" xfId="46" applyFont="1" applyFill="1" applyAlignment="1">
      <alignment vertical="center"/>
    </xf>
    <xf numFmtId="0" fontId="4" fillId="0" borderId="0" xfId="46" applyFont="1" applyAlignment="1">
      <alignment vertical="center"/>
    </xf>
    <xf numFmtId="0" fontId="11" fillId="36" borderId="0" xfId="46" applyFont="1" applyFill="1" applyAlignment="1">
      <alignment horizontal="center" vertical="center" wrapText="1"/>
    </xf>
    <xf numFmtId="0" fontId="38" fillId="0" borderId="0" xfId="46" applyAlignment="1">
      <alignment vertical="center"/>
    </xf>
    <xf numFmtId="10" fontId="48" fillId="24" borderId="73" xfId="0" applyNumberFormat="1" applyFont="1" applyFill="1" applyBorder="1" applyAlignment="1">
      <alignment horizontal="center" vertical="top"/>
    </xf>
    <xf numFmtId="10" fontId="47" fillId="0" borderId="12" xfId="0" applyNumberFormat="1" applyFont="1" applyBorder="1" applyAlignment="1">
      <alignment horizontal="center" vertical="top"/>
    </xf>
    <xf numFmtId="0" fontId="0" fillId="0" borderId="0" xfId="0" applyAlignment="1">
      <alignment horizontal="center" vertical="top"/>
    </xf>
    <xf numFmtId="0" fontId="0" fillId="0" borderId="0" xfId="0" applyAlignment="1"/>
    <xf numFmtId="0" fontId="0" fillId="0" borderId="0" xfId="0" applyAlignment="1">
      <alignment horizontal="center" vertical="center"/>
    </xf>
    <xf numFmtId="0" fontId="36" fillId="25" borderId="41" xfId="0" applyFont="1" applyFill="1" applyBorder="1" applyAlignment="1">
      <alignment horizontal="left" vertical="center" wrapText="1" indent="1"/>
    </xf>
    <xf numFmtId="0" fontId="36" fillId="25" borderId="72" xfId="0" applyFont="1" applyFill="1" applyBorder="1" applyAlignment="1">
      <alignment horizontal="center" vertical="center" wrapText="1"/>
    </xf>
    <xf numFmtId="0" fontId="36" fillId="25" borderId="54" xfId="0" applyFont="1" applyFill="1" applyBorder="1" applyAlignment="1">
      <alignment horizontal="center" vertical="center"/>
    </xf>
    <xf numFmtId="0" fontId="36" fillId="25" borderId="55" xfId="0" applyFont="1" applyFill="1" applyBorder="1" applyAlignment="1">
      <alignment horizontal="center" vertical="center" wrapText="1"/>
    </xf>
    <xf numFmtId="0" fontId="0" fillId="24" borderId="0" xfId="0" applyFill="1" applyAlignment="1">
      <alignment horizontal="center" vertical="center"/>
    </xf>
    <xf numFmtId="0" fontId="0" fillId="24" borderId="42" xfId="0" applyFill="1" applyBorder="1" applyAlignment="1">
      <alignment horizontal="left" vertical="center" wrapText="1" indent="1"/>
    </xf>
    <xf numFmtId="2" fontId="0" fillId="24" borderId="45" xfId="0" applyNumberFormat="1" applyFill="1" applyBorder="1" applyAlignment="1">
      <alignment horizontal="center" vertical="center"/>
    </xf>
    <xf numFmtId="4" fontId="0" fillId="24" borderId="44" xfId="0" applyNumberFormat="1" applyFill="1" applyBorder="1" applyAlignment="1">
      <alignment horizontal="center" vertical="center"/>
    </xf>
    <xf numFmtId="0" fontId="0" fillId="24" borderId="46" xfId="0" applyFill="1" applyBorder="1" applyAlignment="1">
      <alignment horizontal="left" vertical="center" wrapText="1"/>
    </xf>
    <xf numFmtId="9" fontId="0" fillId="24" borderId="45" xfId="42" applyFont="1" applyFill="1" applyBorder="1" applyAlignment="1">
      <alignment horizontal="center" vertical="center"/>
    </xf>
    <xf numFmtId="165" fontId="0" fillId="24" borderId="44" xfId="42" applyNumberFormat="1" applyFont="1" applyFill="1" applyBorder="1" applyAlignment="1">
      <alignment horizontal="center" vertical="center"/>
    </xf>
    <xf numFmtId="164" fontId="0" fillId="24" borderId="45" xfId="28" applyNumberFormat="1" applyFont="1" applyFill="1" applyBorder="1" applyAlignment="1">
      <alignment horizontal="center" vertical="center"/>
    </xf>
    <xf numFmtId="164" fontId="0" fillId="24" borderId="44" xfId="28" applyNumberFormat="1" applyFont="1" applyFill="1" applyBorder="1" applyAlignment="1">
      <alignment horizontal="center" vertical="center"/>
    </xf>
    <xf numFmtId="0" fontId="0" fillId="24" borderId="59" xfId="0" applyFill="1" applyBorder="1" applyAlignment="1">
      <alignment horizontal="left" vertical="center" wrapText="1" indent="1"/>
    </xf>
    <xf numFmtId="5" fontId="0" fillId="24" borderId="57" xfId="28" applyNumberFormat="1" applyFont="1" applyFill="1" applyBorder="1" applyAlignment="1">
      <alignment horizontal="center" vertical="center" wrapText="1"/>
    </xf>
    <xf numFmtId="0" fontId="0" fillId="24" borderId="58" xfId="0" applyFill="1" applyBorder="1" applyAlignment="1">
      <alignment horizontal="left" vertical="center" wrapText="1"/>
    </xf>
    <xf numFmtId="0" fontId="46" fillId="24" borderId="0" xfId="0" applyFont="1" applyFill="1" applyAlignment="1">
      <alignment horizontal="left" vertical="center"/>
    </xf>
    <xf numFmtId="165" fontId="0" fillId="24" borderId="45" xfId="42" applyNumberFormat="1" applyFont="1" applyFill="1" applyBorder="1" applyAlignment="1">
      <alignment horizontal="center" vertical="center"/>
    </xf>
    <xf numFmtId="0" fontId="0" fillId="24" borderId="47" xfId="0" applyFill="1" applyBorder="1" applyAlignment="1">
      <alignment horizontal="left" vertical="center" wrapText="1" indent="1"/>
    </xf>
    <xf numFmtId="166" fontId="0" fillId="24" borderId="49" xfId="28" applyNumberFormat="1" applyFont="1" applyFill="1" applyBorder="1" applyAlignment="1">
      <alignment horizontal="center" vertical="center"/>
    </xf>
    <xf numFmtId="164" fontId="0" fillId="24" borderId="48" xfId="28" applyNumberFormat="1" applyFont="1" applyFill="1" applyBorder="1" applyAlignment="1">
      <alignment horizontal="center" vertical="center"/>
    </xf>
    <xf numFmtId="0" fontId="0" fillId="24" borderId="50" xfId="0" applyFill="1" applyBorder="1" applyAlignment="1">
      <alignment horizontal="left" vertical="center" wrapText="1"/>
    </xf>
    <xf numFmtId="0" fontId="59" fillId="35" borderId="41" xfId="0" applyFont="1" applyFill="1" applyBorder="1" applyAlignment="1">
      <alignment horizontal="center" vertical="center"/>
    </xf>
    <xf numFmtId="0" fontId="0" fillId="0" borderId="0" xfId="0" applyAlignment="1">
      <alignment horizontal="left" vertical="center" wrapText="1"/>
    </xf>
    <xf numFmtId="0" fontId="0" fillId="24" borderId="0" xfId="0" applyFill="1" applyAlignment="1">
      <alignment horizontal="left" vertical="center"/>
    </xf>
    <xf numFmtId="172" fontId="36" fillId="43" borderId="28" xfId="0" applyNumberFormat="1" applyFont="1" applyFill="1" applyBorder="1" applyAlignment="1">
      <alignment horizontal="center"/>
    </xf>
    <xf numFmtId="172" fontId="36" fillId="42" borderId="28" xfId="0" applyNumberFormat="1" applyFont="1" applyFill="1" applyBorder="1" applyAlignment="1">
      <alignment horizontal="center"/>
    </xf>
    <xf numFmtId="164" fontId="36" fillId="42" borderId="71" xfId="0" applyNumberFormat="1" applyFont="1" applyFill="1" applyBorder="1" applyAlignment="1">
      <alignment horizontal="left" vertical="top"/>
    </xf>
    <xf numFmtId="0" fontId="36" fillId="42" borderId="71" xfId="0" applyFont="1" applyFill="1" applyBorder="1" applyAlignment="1">
      <alignment horizontal="left" vertical="center"/>
    </xf>
    <xf numFmtId="0" fontId="36" fillId="42" borderId="11" xfId="0" applyFont="1" applyFill="1" applyBorder="1" applyAlignment="1">
      <alignment horizontal="left"/>
    </xf>
    <xf numFmtId="0" fontId="36" fillId="42" borderId="16" xfId="0" applyFont="1" applyFill="1" applyBorder="1" applyAlignment="1">
      <alignment horizontal="left" vertical="top"/>
    </xf>
    <xf numFmtId="0" fontId="36" fillId="42" borderId="10" xfId="0" applyFont="1" applyFill="1" applyBorder="1" applyAlignment="1">
      <alignment horizontal="center" vertical="top"/>
    </xf>
    <xf numFmtId="0" fontId="36" fillId="42" borderId="29" xfId="0" applyFont="1" applyFill="1" applyBorder="1" applyAlignment="1">
      <alignment horizontal="center" vertical="top"/>
    </xf>
    <xf numFmtId="164" fontId="36" fillId="35" borderId="48" xfId="0" applyNumberFormat="1" applyFont="1" applyFill="1" applyBorder="1" applyAlignment="1">
      <alignment horizontal="center" vertical="top"/>
    </xf>
    <xf numFmtId="6" fontId="36" fillId="37" borderId="50" xfId="0" applyNumberFormat="1" applyFont="1" applyFill="1" applyBorder="1" applyAlignment="1">
      <alignment horizontal="center" vertical="top"/>
    </xf>
    <xf numFmtId="164" fontId="36" fillId="37" borderId="36" xfId="0" applyNumberFormat="1" applyFont="1" applyFill="1" applyBorder="1" applyAlignment="1">
      <alignment horizontal="left" vertical="top"/>
    </xf>
    <xf numFmtId="0" fontId="39" fillId="0" borderId="0" xfId="0" applyFont="1" applyAlignment="1">
      <alignment vertical="center"/>
    </xf>
    <xf numFmtId="0" fontId="0" fillId="24" borderId="0" xfId="0" applyFill="1" applyAlignment="1">
      <alignment horizontal="left"/>
    </xf>
    <xf numFmtId="164" fontId="39" fillId="29" borderId="0" xfId="0" applyNumberFormat="1" applyFont="1" applyFill="1" applyAlignment="1">
      <alignment vertical="center"/>
    </xf>
    <xf numFmtId="166" fontId="36" fillId="29" borderId="0" xfId="0" applyNumberFormat="1" applyFont="1" applyFill="1" applyAlignment="1">
      <alignment vertical="center"/>
    </xf>
    <xf numFmtId="10" fontId="39" fillId="29" borderId="0" xfId="0" applyNumberFormat="1" applyFont="1" applyFill="1" applyAlignment="1">
      <alignment vertical="center"/>
    </xf>
    <xf numFmtId="9" fontId="39" fillId="29" borderId="0" xfId="0" applyNumberFormat="1" applyFont="1" applyFill="1" applyAlignment="1">
      <alignment vertical="center"/>
    </xf>
    <xf numFmtId="6" fontId="36" fillId="29" borderId="0" xfId="0" applyNumberFormat="1" applyFont="1" applyFill="1" applyAlignment="1">
      <alignment vertical="center"/>
    </xf>
    <xf numFmtId="6" fontId="39" fillId="29" borderId="0" xfId="0" applyNumberFormat="1" applyFont="1" applyFill="1" applyAlignment="1">
      <alignment vertical="center"/>
    </xf>
    <xf numFmtId="164" fontId="0" fillId="24" borderId="38" xfId="0" applyNumberFormat="1" applyFill="1" applyBorder="1" applyAlignment="1">
      <alignment horizontal="center" vertical="top"/>
    </xf>
    <xf numFmtId="164" fontId="0" fillId="38" borderId="38" xfId="0" applyNumberFormat="1" applyFill="1" applyBorder="1" applyAlignment="1">
      <alignment horizontal="center" vertical="top"/>
    </xf>
    <xf numFmtId="0" fontId="54" fillId="0" borderId="11" xfId="0" applyFont="1" applyBorder="1" applyAlignment="1">
      <alignment horizontal="left" vertical="center"/>
    </xf>
    <xf numFmtId="0" fontId="54" fillId="0" borderId="0" xfId="0" applyFont="1" applyAlignment="1">
      <alignment horizontal="left" vertical="center" wrapText="1" indent="1"/>
    </xf>
    <xf numFmtId="6" fontId="54" fillId="0" borderId="12" xfId="0" applyNumberFormat="1" applyFont="1" applyBorder="1" applyAlignment="1">
      <alignment horizontal="center" vertical="center"/>
    </xf>
    <xf numFmtId="0" fontId="54" fillId="0" borderId="11" xfId="0" applyFont="1" applyBorder="1" applyAlignment="1">
      <alignment horizontal="left" wrapText="1"/>
    </xf>
    <xf numFmtId="0" fontId="54" fillId="0" borderId="0" xfId="0" applyFont="1" applyAlignment="1">
      <alignment horizontal="left" wrapText="1"/>
    </xf>
    <xf numFmtId="6" fontId="54" fillId="0" borderId="12" xfId="0" applyNumberFormat="1" applyFont="1" applyBorder="1" applyAlignment="1">
      <alignment horizontal="center"/>
    </xf>
    <xf numFmtId="0" fontId="0" fillId="0" borderId="11" xfId="0" applyBorder="1" applyAlignment="1">
      <alignment horizontal="left" vertical="center" wrapText="1"/>
    </xf>
    <xf numFmtId="0" fontId="0" fillId="0" borderId="13" xfId="0" applyBorder="1" applyAlignment="1">
      <alignment horizontal="left" vertical="top" wrapText="1"/>
    </xf>
    <xf numFmtId="0" fontId="0" fillId="0" borderId="14" xfId="0" applyBorder="1" applyAlignment="1">
      <alignment horizontal="left" vertical="top" wrapText="1"/>
    </xf>
    <xf numFmtId="9" fontId="39" fillId="24" borderId="0" xfId="0" applyNumberFormat="1" applyFont="1" applyFill="1" applyAlignment="1">
      <alignment horizontal="left" vertical="center" indent="1"/>
    </xf>
    <xf numFmtId="0" fontId="39" fillId="24" borderId="11" xfId="0" applyFont="1" applyFill="1" applyBorder="1" applyAlignment="1">
      <alignment horizontal="left" vertical="center" indent="1"/>
    </xf>
    <xf numFmtId="6" fontId="39" fillId="24" borderId="12" xfId="0" applyNumberFormat="1" applyFont="1" applyFill="1" applyBorder="1" applyAlignment="1">
      <alignment horizontal="center" vertical="center"/>
    </xf>
    <xf numFmtId="6" fontId="39" fillId="24" borderId="15" xfId="0" applyNumberFormat="1" applyFont="1" applyFill="1" applyBorder="1" applyAlignment="1">
      <alignment horizontal="center"/>
    </xf>
    <xf numFmtId="0" fontId="63" fillId="44" borderId="21" xfId="0" applyFont="1" applyFill="1" applyBorder="1" applyAlignment="1">
      <alignment horizontal="left"/>
    </xf>
    <xf numFmtId="0" fontId="63" fillId="44" borderId="22" xfId="0" applyFont="1" applyFill="1" applyBorder="1" applyAlignment="1">
      <alignment horizontal="left" wrapText="1"/>
    </xf>
    <xf numFmtId="6" fontId="63" fillId="44" borderId="40" xfId="0" applyNumberFormat="1" applyFont="1" applyFill="1" applyBorder="1" applyAlignment="1">
      <alignment horizontal="center"/>
    </xf>
    <xf numFmtId="0" fontId="36" fillId="42" borderId="71" xfId="0" applyFont="1" applyFill="1" applyBorder="1" applyAlignment="1">
      <alignment horizontal="left" vertical="top" wrapText="1"/>
    </xf>
    <xf numFmtId="164" fontId="39" fillId="0" borderId="0" xfId="28" applyNumberFormat="1" applyFont="1" applyFill="1" applyBorder="1" applyAlignment="1">
      <alignment horizontal="center"/>
    </xf>
    <xf numFmtId="164" fontId="36" fillId="0" borderId="0" xfId="28" applyNumberFormat="1" applyFont="1" applyFill="1" applyBorder="1" applyAlignment="1">
      <alignment horizontal="center"/>
    </xf>
    <xf numFmtId="164" fontId="39" fillId="0" borderId="0" xfId="28" applyNumberFormat="1" applyFont="1" applyFill="1" applyBorder="1" applyAlignment="1">
      <alignment horizontal="center" vertical="top" wrapText="1"/>
    </xf>
    <xf numFmtId="6" fontId="39" fillId="0" borderId="0" xfId="0" applyNumberFormat="1" applyFont="1" applyAlignment="1">
      <alignment horizontal="center"/>
    </xf>
    <xf numFmtId="0" fontId="36" fillId="0" borderId="12" xfId="0" applyFont="1" applyBorder="1" applyAlignment="1">
      <alignment horizontal="center"/>
    </xf>
    <xf numFmtId="0" fontId="39" fillId="0" borderId="11" xfId="0" applyFont="1" applyBorder="1" applyAlignment="1">
      <alignment horizontal="left" indent="1"/>
    </xf>
    <xf numFmtId="164" fontId="36" fillId="26" borderId="0" xfId="0" applyNumberFormat="1" applyFont="1" applyFill="1" applyAlignment="1">
      <alignment horizontal="center" vertical="top" wrapText="1"/>
    </xf>
    <xf numFmtId="164" fontId="39" fillId="0" borderId="0" xfId="0" applyNumberFormat="1" applyFont="1" applyAlignment="1">
      <alignment horizontal="center" vertical="top" wrapText="1"/>
    </xf>
    <xf numFmtId="164" fontId="36" fillId="26" borderId="0" xfId="28" applyNumberFormat="1" applyFont="1" applyFill="1" applyBorder="1" applyAlignment="1">
      <alignment horizontal="center"/>
    </xf>
    <xf numFmtId="0" fontId="36" fillId="26" borderId="11" xfId="0" applyFont="1" applyFill="1" applyBorder="1" applyAlignment="1">
      <alignment horizontal="left" wrapText="1"/>
    </xf>
    <xf numFmtId="164" fontId="36" fillId="26" borderId="12" xfId="0" applyNumberFormat="1" applyFont="1" applyFill="1" applyBorder="1" applyAlignment="1">
      <alignment horizontal="center"/>
    </xf>
    <xf numFmtId="0" fontId="39" fillId="24" borderId="11" xfId="0" applyFont="1" applyFill="1" applyBorder="1" applyAlignment="1">
      <alignment horizontal="left" wrapText="1" indent="1"/>
    </xf>
    <xf numFmtId="168" fontId="36" fillId="26" borderId="11" xfId="0" applyNumberFormat="1" applyFont="1" applyFill="1" applyBorder="1" applyAlignment="1">
      <alignment horizontal="left"/>
    </xf>
    <xf numFmtId="164" fontId="39" fillId="0" borderId="14" xfId="0" applyNumberFormat="1" applyFont="1" applyBorder="1" applyAlignment="1">
      <alignment horizontal="center" vertical="top" wrapText="1"/>
    </xf>
    <xf numFmtId="0" fontId="63" fillId="0" borderId="36" xfId="0" applyFont="1" applyBorder="1" applyAlignment="1">
      <alignment horizontal="left"/>
    </xf>
    <xf numFmtId="164" fontId="63" fillId="0" borderId="39" xfId="0" applyNumberFormat="1" applyFont="1" applyBorder="1" applyAlignment="1">
      <alignment horizontal="center"/>
    </xf>
    <xf numFmtId="164" fontId="63" fillId="0" borderId="37" xfId="0" applyNumberFormat="1" applyFont="1" applyBorder="1" applyAlignment="1">
      <alignment horizontal="center"/>
    </xf>
    <xf numFmtId="0" fontId="39" fillId="0" borderId="11" xfId="0" applyFont="1" applyBorder="1" applyAlignment="1">
      <alignment horizontal="left" indent="2"/>
    </xf>
    <xf numFmtId="0" fontId="32" fillId="48" borderId="13" xfId="0" applyFont="1" applyFill="1" applyBorder="1" applyAlignment="1">
      <alignment horizontal="left"/>
    </xf>
    <xf numFmtId="0" fontId="62" fillId="48" borderId="14" xfId="0" applyFont="1" applyFill="1" applyBorder="1" applyAlignment="1">
      <alignment horizontal="center"/>
    </xf>
    <xf numFmtId="0" fontId="32" fillId="48" borderId="14" xfId="0" applyFont="1" applyFill="1" applyBorder="1" applyAlignment="1">
      <alignment horizontal="center"/>
    </xf>
    <xf numFmtId="164" fontId="47" fillId="0" borderId="0" xfId="28" applyNumberFormat="1" applyFont="1" applyFill="1" applyBorder="1" applyAlignment="1">
      <alignment horizontal="center"/>
    </xf>
    <xf numFmtId="0" fontId="39" fillId="0" borderId="12" xfId="0" applyFont="1" applyBorder="1" applyAlignment="1">
      <alignment horizontal="center"/>
    </xf>
    <xf numFmtId="165" fontId="39" fillId="0" borderId="0" xfId="0" applyNumberFormat="1" applyFont="1" applyAlignment="1">
      <alignment horizontal="center"/>
    </xf>
    <xf numFmtId="10" fontId="39" fillId="0" borderId="12" xfId="0" applyNumberFormat="1" applyFont="1" applyBorder="1" applyAlignment="1">
      <alignment horizontal="center"/>
    </xf>
    <xf numFmtId="0" fontId="36" fillId="24" borderId="31" xfId="0" applyFont="1" applyFill="1" applyBorder="1" applyAlignment="1">
      <alignment horizontal="left"/>
    </xf>
    <xf numFmtId="164" fontId="36" fillId="24" borderId="33" xfId="0" applyNumberFormat="1" applyFont="1" applyFill="1" applyBorder="1" applyAlignment="1">
      <alignment horizontal="center"/>
    </xf>
    <xf numFmtId="0" fontId="36" fillId="0" borderId="31" xfId="0" applyFont="1" applyBorder="1" applyAlignment="1">
      <alignment horizontal="left"/>
    </xf>
    <xf numFmtId="164" fontId="36" fillId="0" borderId="33" xfId="0" applyNumberFormat="1" applyFont="1" applyBorder="1" applyAlignment="1">
      <alignment horizontal="center"/>
    </xf>
    <xf numFmtId="164" fontId="36" fillId="0" borderId="33" xfId="28" applyNumberFormat="1" applyFont="1" applyFill="1" applyBorder="1" applyAlignment="1">
      <alignment horizontal="center"/>
    </xf>
    <xf numFmtId="0" fontId="56" fillId="26" borderId="21" xfId="0" applyFont="1" applyFill="1" applyBorder="1" applyAlignment="1">
      <alignment horizontal="left" vertical="top" wrapText="1"/>
    </xf>
    <xf numFmtId="0" fontId="39" fillId="26" borderId="40" xfId="0" applyFont="1" applyFill="1" applyBorder="1">
      <alignment vertical="center" wrapText="1"/>
    </xf>
    <xf numFmtId="0" fontId="66" fillId="26" borderId="21" xfId="0" applyFont="1" applyFill="1" applyBorder="1" applyAlignment="1">
      <alignment horizontal="left" vertical="top" wrapText="1"/>
    </xf>
    <xf numFmtId="0" fontId="64" fillId="26" borderId="21" xfId="0" applyFont="1" applyFill="1" applyBorder="1" applyAlignment="1">
      <alignment horizontal="right" vertical="top" wrapText="1"/>
    </xf>
    <xf numFmtId="0" fontId="68" fillId="26" borderId="40" xfId="0" applyFont="1" applyFill="1" applyBorder="1">
      <alignment vertical="center" wrapText="1"/>
    </xf>
    <xf numFmtId="0" fontId="64" fillId="34" borderId="21" xfId="0" applyFont="1" applyFill="1" applyBorder="1" applyAlignment="1">
      <alignment horizontal="right" vertical="top" wrapText="1"/>
    </xf>
    <xf numFmtId="0" fontId="68" fillId="34" borderId="40" xfId="0" applyFont="1" applyFill="1" applyBorder="1">
      <alignment vertical="center" wrapText="1"/>
    </xf>
    <xf numFmtId="0" fontId="64" fillId="26" borderId="21" xfId="0" applyFont="1" applyFill="1" applyBorder="1" applyAlignment="1">
      <alignment horizontal="left" vertical="top" wrapText="1"/>
    </xf>
    <xf numFmtId="0" fontId="32" fillId="26" borderId="22" xfId="0" applyFont="1" applyFill="1" applyBorder="1" applyAlignment="1">
      <alignment horizontal="center" vertical="top" wrapText="1"/>
    </xf>
    <xf numFmtId="0" fontId="36" fillId="26" borderId="22" xfId="0" applyFont="1" applyFill="1" applyBorder="1" applyAlignment="1">
      <alignment horizontal="left" vertical="top"/>
    </xf>
    <xf numFmtId="0" fontId="62" fillId="26" borderId="22" xfId="0" applyFont="1" applyFill="1" applyBorder="1">
      <alignment vertical="center" wrapText="1"/>
    </xf>
    <xf numFmtId="0" fontId="62" fillId="26" borderId="40" xfId="0" applyFont="1" applyFill="1" applyBorder="1">
      <alignment vertical="center" wrapText="1"/>
    </xf>
    <xf numFmtId="3" fontId="43" fillId="24" borderId="0" xfId="0" applyNumberFormat="1" applyFont="1" applyFill="1" applyAlignment="1">
      <alignment horizontal="center" vertical="top"/>
    </xf>
    <xf numFmtId="3" fontId="46" fillId="24" borderId="0" xfId="0" applyNumberFormat="1" applyFont="1" applyFill="1" applyAlignment="1">
      <alignment horizontal="center" vertical="top"/>
    </xf>
    <xf numFmtId="3" fontId="57" fillId="24" borderId="0" xfId="0" applyNumberFormat="1" applyFont="1" applyFill="1" applyAlignment="1">
      <alignment horizontal="left" vertical="top"/>
    </xf>
    <xf numFmtId="0" fontId="39" fillId="42" borderId="27" xfId="0" applyFont="1" applyFill="1" applyBorder="1" applyAlignment="1">
      <alignment horizontal="center" vertical="top"/>
    </xf>
    <xf numFmtId="0" fontId="39" fillId="24" borderId="11" xfId="0" applyFont="1" applyFill="1" applyBorder="1" applyAlignment="1">
      <alignment vertical="top" wrapText="1"/>
    </xf>
    <xf numFmtId="164" fontId="36" fillId="42" borderId="24" xfId="0" applyNumberFormat="1" applyFont="1" applyFill="1" applyBorder="1" applyAlignment="1">
      <alignment horizontal="center" vertical="top"/>
    </xf>
    <xf numFmtId="0" fontId="39" fillId="42" borderId="24" xfId="0" applyFont="1" applyFill="1" applyBorder="1" applyAlignment="1">
      <alignment horizontal="center" vertical="top"/>
    </xf>
    <xf numFmtId="0" fontId="39" fillId="42" borderId="25" xfId="0" applyFont="1" applyFill="1" applyBorder="1" applyAlignment="1">
      <alignment horizontal="center" vertical="top"/>
    </xf>
    <xf numFmtId="164" fontId="39" fillId="24" borderId="39" xfId="0" applyNumberFormat="1" applyFont="1" applyFill="1" applyBorder="1" applyAlignment="1">
      <alignment horizontal="center" vertical="top"/>
    </xf>
    <xf numFmtId="164" fontId="46" fillId="24" borderId="32" xfId="0" applyNumberFormat="1" applyFont="1" applyFill="1" applyBorder="1" applyAlignment="1">
      <alignment horizontal="center" vertical="top"/>
    </xf>
    <xf numFmtId="164" fontId="46" fillId="24" borderId="34" xfId="0" applyNumberFormat="1" applyFont="1" applyFill="1" applyBorder="1" applyAlignment="1">
      <alignment horizontal="center" vertical="top"/>
    </xf>
    <xf numFmtId="3" fontId="39" fillId="24" borderId="34" xfId="0" applyNumberFormat="1" applyFont="1" applyFill="1" applyBorder="1" applyAlignment="1">
      <alignment horizontal="center" vertical="top"/>
    </xf>
    <xf numFmtId="164" fontId="39" fillId="24" borderId="34" xfId="0" applyNumberFormat="1" applyFont="1" applyFill="1" applyBorder="1" applyAlignment="1">
      <alignment horizontal="center" vertical="top"/>
    </xf>
    <xf numFmtId="9" fontId="46" fillId="24" borderId="34" xfId="42" applyFont="1" applyFill="1" applyBorder="1" applyAlignment="1">
      <alignment horizontal="center" vertical="top"/>
    </xf>
    <xf numFmtId="3" fontId="57" fillId="24" borderId="34" xfId="0" applyNumberFormat="1" applyFont="1" applyFill="1" applyBorder="1" applyAlignment="1">
      <alignment horizontal="center" vertical="top"/>
    </xf>
    <xf numFmtId="164" fontId="36" fillId="24" borderId="49" xfId="0" applyNumberFormat="1" applyFont="1" applyFill="1" applyBorder="1" applyAlignment="1">
      <alignment horizontal="center" vertical="top"/>
    </xf>
    <xf numFmtId="164" fontId="36" fillId="42" borderId="75" xfId="0" applyNumberFormat="1" applyFont="1" applyFill="1" applyBorder="1" applyAlignment="1">
      <alignment horizontal="center" vertical="top"/>
    </xf>
    <xf numFmtId="3" fontId="43" fillId="24" borderId="34" xfId="0" applyNumberFormat="1" applyFont="1" applyFill="1" applyBorder="1" applyAlignment="1">
      <alignment horizontal="center" vertical="top"/>
    </xf>
    <xf numFmtId="3" fontId="46" fillId="24" borderId="34" xfId="0" applyNumberFormat="1" applyFont="1" applyFill="1" applyBorder="1" applyAlignment="1">
      <alignment horizontal="center" vertical="top"/>
    </xf>
    <xf numFmtId="164" fontId="36" fillId="42" borderId="76" xfId="0" applyNumberFormat="1" applyFont="1" applyFill="1" applyBorder="1" applyAlignment="1">
      <alignment horizontal="center" vertical="top"/>
    </xf>
    <xf numFmtId="0" fontId="39" fillId="42" borderId="70" xfId="0" applyFont="1" applyFill="1" applyBorder="1" applyAlignment="1">
      <alignment horizontal="center" vertical="top"/>
    </xf>
    <xf numFmtId="4" fontId="39" fillId="24" borderId="0" xfId="0" applyNumberFormat="1" applyFont="1" applyFill="1" applyAlignment="1">
      <alignment horizontal="center" vertical="top"/>
    </xf>
    <xf numFmtId="10" fontId="36" fillId="24" borderId="63" xfId="0" applyNumberFormat="1" applyFont="1" applyFill="1" applyBorder="1" applyAlignment="1">
      <alignment horizontal="center" vertical="top"/>
    </xf>
    <xf numFmtId="10" fontId="36" fillId="24" borderId="0" xfId="0" applyNumberFormat="1" applyFont="1" applyFill="1" applyAlignment="1">
      <alignment horizontal="center" vertical="top"/>
    </xf>
    <xf numFmtId="10" fontId="36" fillId="0" borderId="0" xfId="0" applyNumberFormat="1" applyFont="1" applyAlignment="1">
      <alignment horizontal="center" vertical="top"/>
    </xf>
    <xf numFmtId="10" fontId="36" fillId="25" borderId="20" xfId="0" applyNumberFormat="1" applyFont="1" applyFill="1" applyBorder="1" applyAlignment="1">
      <alignment horizontal="center" vertical="top"/>
    </xf>
    <xf numFmtId="4" fontId="39" fillId="24" borderId="14" xfId="0" applyNumberFormat="1" applyFont="1" applyFill="1" applyBorder="1" applyAlignment="1">
      <alignment horizontal="center" vertical="top"/>
    </xf>
    <xf numFmtId="10" fontId="47" fillId="0" borderId="0" xfId="0" applyNumberFormat="1" applyFont="1" applyAlignment="1">
      <alignment horizontal="center" vertical="top"/>
    </xf>
    <xf numFmtId="10" fontId="48" fillId="24" borderId="0" xfId="0" applyNumberFormat="1" applyFont="1" applyFill="1" applyAlignment="1">
      <alignment horizontal="center" vertical="top"/>
    </xf>
    <xf numFmtId="10" fontId="48" fillId="24" borderId="14" xfId="0" applyNumberFormat="1" applyFont="1" applyFill="1" applyBorder="1" applyAlignment="1">
      <alignment horizontal="center" vertical="top"/>
    </xf>
    <xf numFmtId="10" fontId="36" fillId="24" borderId="18" xfId="0" applyNumberFormat="1" applyFont="1" applyFill="1" applyBorder="1" applyAlignment="1">
      <alignment horizontal="center" vertical="top"/>
    </xf>
    <xf numFmtId="164" fontId="48" fillId="24" borderId="34" xfId="0" applyNumberFormat="1" applyFont="1" applyFill="1" applyBorder="1" applyAlignment="1">
      <alignment horizontal="center" vertical="top"/>
    </xf>
    <xf numFmtId="6" fontId="43" fillId="24" borderId="34" xfId="0" applyNumberFormat="1" applyFont="1" applyFill="1" applyBorder="1" applyAlignment="1">
      <alignment horizontal="center" vertical="top"/>
    </xf>
    <xf numFmtId="164" fontId="36" fillId="24" borderId="77" xfId="0" applyNumberFormat="1" applyFont="1" applyFill="1" applyBorder="1" applyAlignment="1">
      <alignment horizontal="center" vertical="top"/>
    </xf>
    <xf numFmtId="164" fontId="36" fillId="24" borderId="34" xfId="0" applyNumberFormat="1" applyFont="1" applyFill="1" applyBorder="1" applyAlignment="1">
      <alignment horizontal="center" vertical="top"/>
    </xf>
    <xf numFmtId="164" fontId="47" fillId="24" borderId="34" xfId="0" applyNumberFormat="1" applyFont="1" applyFill="1" applyBorder="1" applyAlignment="1">
      <alignment horizontal="center" vertical="top"/>
    </xf>
    <xf numFmtId="164" fontId="36" fillId="25" borderId="74" xfId="0" applyNumberFormat="1" applyFont="1" applyFill="1" applyBorder="1" applyAlignment="1">
      <alignment horizontal="center" vertical="top"/>
    </xf>
    <xf numFmtId="164" fontId="46" fillId="24" borderId="78" xfId="0" applyNumberFormat="1" applyFont="1" applyFill="1" applyBorder="1" applyAlignment="1">
      <alignment horizontal="center" vertical="top"/>
    </xf>
    <xf numFmtId="164" fontId="36" fillId="42" borderId="79" xfId="0" applyNumberFormat="1" applyFont="1" applyFill="1" applyBorder="1" applyAlignment="1">
      <alignment horizontal="center" vertical="top"/>
    </xf>
    <xf numFmtId="164" fontId="39" fillId="24" borderId="32" xfId="0" applyNumberFormat="1" applyFont="1" applyFill="1" applyBorder="1" applyAlignment="1">
      <alignment horizontal="center" vertical="top"/>
    </xf>
    <xf numFmtId="1" fontId="46" fillId="24" borderId="34" xfId="0" applyNumberFormat="1" applyFont="1" applyFill="1" applyBorder="1" applyAlignment="1">
      <alignment horizontal="center" vertical="top"/>
    </xf>
    <xf numFmtId="4" fontId="39" fillId="24" borderId="78" xfId="0" applyNumberFormat="1" applyFont="1" applyFill="1" applyBorder="1" applyAlignment="1">
      <alignment horizontal="center" vertical="top"/>
    </xf>
    <xf numFmtId="164" fontId="39" fillId="24" borderId="78" xfId="0" applyNumberFormat="1" applyFont="1" applyFill="1" applyBorder="1" applyAlignment="1">
      <alignment horizontal="center" vertical="top"/>
    </xf>
    <xf numFmtId="6" fontId="39" fillId="24" borderId="34" xfId="0" applyNumberFormat="1" applyFont="1" applyFill="1" applyBorder="1" applyAlignment="1">
      <alignment horizontal="center" vertical="top"/>
    </xf>
    <xf numFmtId="164" fontId="46" fillId="24" borderId="80" xfId="0" applyNumberFormat="1" applyFont="1" applyFill="1" applyBorder="1" applyAlignment="1">
      <alignment horizontal="center" vertical="top"/>
    </xf>
    <xf numFmtId="164" fontId="36" fillId="24" borderId="81" xfId="0" applyNumberFormat="1" applyFont="1" applyFill="1" applyBorder="1" applyAlignment="1">
      <alignment horizontal="center" vertical="top"/>
    </xf>
    <xf numFmtId="164" fontId="46" fillId="24" borderId="34" xfId="0" applyNumberFormat="1" applyFont="1" applyFill="1" applyBorder="1" applyAlignment="1">
      <alignment horizontal="left" vertical="top"/>
    </xf>
    <xf numFmtId="164" fontId="46" fillId="24" borderId="78" xfId="0" applyNumberFormat="1" applyFont="1" applyFill="1" applyBorder="1" applyAlignment="1">
      <alignment horizontal="left" vertical="top"/>
    </xf>
    <xf numFmtId="164" fontId="36" fillId="24" borderId="20" xfId="0" applyNumberFormat="1" applyFont="1" applyFill="1" applyBorder="1" applyAlignment="1">
      <alignment horizontal="center" vertical="top"/>
    </xf>
    <xf numFmtId="164" fontId="39" fillId="24" borderId="20" xfId="0" applyNumberFormat="1" applyFont="1" applyFill="1" applyBorder="1" applyAlignment="1">
      <alignment horizontal="center" vertical="top"/>
    </xf>
    <xf numFmtId="0" fontId="39" fillId="42" borderId="20" xfId="0" applyFont="1" applyFill="1" applyBorder="1" applyAlignment="1">
      <alignment horizontal="center" vertical="top"/>
    </xf>
    <xf numFmtId="0" fontId="39" fillId="42" borderId="19" xfId="0" applyFont="1" applyFill="1" applyBorder="1" applyAlignment="1">
      <alignment vertical="top"/>
    </xf>
    <xf numFmtId="164" fontId="36" fillId="42" borderId="74" xfId="0" applyNumberFormat="1" applyFont="1" applyFill="1" applyBorder="1" applyAlignment="1">
      <alignment horizontal="left" vertical="top" indent="2"/>
    </xf>
    <xf numFmtId="164" fontId="36" fillId="42" borderId="74" xfId="0" applyNumberFormat="1" applyFont="1" applyFill="1" applyBorder="1" applyAlignment="1">
      <alignment horizontal="left" vertical="top" indent="1"/>
    </xf>
    <xf numFmtId="164" fontId="36" fillId="42" borderId="74" xfId="0" applyNumberFormat="1" applyFont="1" applyFill="1" applyBorder="1" applyAlignment="1">
      <alignment horizontal="left" vertical="top"/>
    </xf>
    <xf numFmtId="0" fontId="36" fillId="45" borderId="19" xfId="0" applyFont="1" applyFill="1" applyBorder="1" applyAlignment="1">
      <alignment vertical="top"/>
    </xf>
    <xf numFmtId="0" fontId="36" fillId="45" borderId="20" xfId="0" applyFont="1" applyFill="1" applyBorder="1" applyAlignment="1">
      <alignment vertical="top"/>
    </xf>
    <xf numFmtId="164" fontId="36" fillId="45" borderId="20" xfId="0" applyNumberFormat="1" applyFont="1" applyFill="1" applyBorder="1" applyAlignment="1">
      <alignment horizontal="center" vertical="top"/>
    </xf>
    <xf numFmtId="164" fontId="36" fillId="45" borderId="35" xfId="0" applyNumberFormat="1" applyFont="1" applyFill="1" applyBorder="1" applyAlignment="1">
      <alignment horizontal="center" vertical="top"/>
    </xf>
    <xf numFmtId="1" fontId="46" fillId="24" borderId="0" xfId="0" applyNumberFormat="1" applyFont="1" applyFill="1" applyAlignment="1">
      <alignment horizontal="center" vertical="top"/>
    </xf>
    <xf numFmtId="164" fontId="36" fillId="24" borderId="35" xfId="0" applyNumberFormat="1" applyFont="1" applyFill="1" applyBorder="1" applyAlignment="1">
      <alignment horizontal="center" vertical="top"/>
    </xf>
    <xf numFmtId="164" fontId="39" fillId="24" borderId="35" xfId="0" applyNumberFormat="1" applyFont="1" applyFill="1" applyBorder="1" applyAlignment="1">
      <alignment horizontal="center" vertical="top"/>
    </xf>
    <xf numFmtId="0" fontId="36" fillId="42" borderId="72" xfId="0" applyFont="1" applyFill="1" applyBorder="1" applyAlignment="1">
      <alignment horizontal="center" vertical="top"/>
    </xf>
    <xf numFmtId="6" fontId="46" fillId="24" borderId="34" xfId="0" applyNumberFormat="1" applyFont="1" applyFill="1" applyBorder="1" applyAlignment="1">
      <alignment horizontal="center" vertical="top"/>
    </xf>
    <xf numFmtId="6" fontId="36" fillId="37" borderId="49" xfId="0" applyNumberFormat="1" applyFont="1" applyFill="1" applyBorder="1" applyAlignment="1">
      <alignment horizontal="center" vertical="top"/>
    </xf>
    <xf numFmtId="164" fontId="39" fillId="42" borderId="82" xfId="0" applyNumberFormat="1" applyFont="1" applyFill="1" applyBorder="1" applyAlignment="1">
      <alignment horizontal="left" vertical="top"/>
    </xf>
    <xf numFmtId="0" fontId="36" fillId="42" borderId="54" xfId="0" applyFont="1" applyFill="1" applyBorder="1" applyAlignment="1">
      <alignment horizontal="center" vertical="top"/>
    </xf>
    <xf numFmtId="0" fontId="46" fillId="24" borderId="83" xfId="0" applyFont="1" applyFill="1" applyBorder="1" applyAlignment="1">
      <alignment horizontal="center" vertical="top"/>
    </xf>
    <xf numFmtId="0" fontId="48" fillId="37" borderId="48" xfId="0" applyFont="1" applyFill="1" applyBorder="1" applyAlignment="1">
      <alignment horizontal="center" vertical="top"/>
    </xf>
    <xf numFmtId="0" fontId="39" fillId="42" borderId="24" xfId="0" applyFont="1" applyFill="1" applyBorder="1" applyAlignment="1">
      <alignment wrapText="1"/>
    </xf>
    <xf numFmtId="6" fontId="32" fillId="42" borderId="25" xfId="0" applyNumberFormat="1" applyFont="1" applyFill="1" applyBorder="1" applyAlignment="1">
      <alignment horizontal="center"/>
    </xf>
    <xf numFmtId="0" fontId="54" fillId="0" borderId="0" xfId="0" applyFont="1">
      <alignment vertical="center" wrapText="1"/>
    </xf>
    <xf numFmtId="0" fontId="63" fillId="0" borderId="16" xfId="0" applyFont="1" applyBorder="1" applyAlignment="1">
      <alignment horizontal="center" vertical="top" wrapText="1"/>
    </xf>
    <xf numFmtId="0" fontId="63" fillId="0" borderId="24" xfId="0" applyFont="1" applyBorder="1" applyAlignment="1">
      <alignment horizontal="center" vertical="top" wrapText="1"/>
    </xf>
    <xf numFmtId="0" fontId="54" fillId="0" borderId="24" xfId="0" applyFont="1" applyBorder="1">
      <alignment vertical="center" wrapText="1"/>
    </xf>
    <xf numFmtId="0" fontId="54" fillId="0" borderId="25" xfId="0" applyFont="1" applyBorder="1">
      <alignment vertical="center" wrapText="1"/>
    </xf>
    <xf numFmtId="6" fontId="39" fillId="24" borderId="37" xfId="0" applyNumberFormat="1" applyFont="1" applyFill="1" applyBorder="1" applyAlignment="1">
      <alignment horizontal="center" vertical="top" wrapText="1"/>
    </xf>
    <xf numFmtId="44" fontId="39" fillId="24" borderId="0" xfId="28" applyFont="1" applyFill="1" applyAlignment="1">
      <alignment horizontal="center" vertical="top" wrapText="1"/>
    </xf>
    <xf numFmtId="0" fontId="59" fillId="35" borderId="47" xfId="0" applyFont="1" applyFill="1" applyBorder="1" applyAlignment="1">
      <alignment horizontal="center" vertical="center"/>
    </xf>
    <xf numFmtId="0" fontId="0" fillId="24" borderId="39" xfId="0" applyFill="1" applyBorder="1" applyAlignment="1">
      <alignment horizontal="left" vertical="center" wrapText="1"/>
    </xf>
    <xf numFmtId="0" fontId="0" fillId="0" borderId="52" xfId="0" quotePrefix="1" applyBorder="1" applyAlignment="1">
      <alignment horizontal="left" vertical="center" wrapText="1" indent="1"/>
    </xf>
    <xf numFmtId="0" fontId="0" fillId="0" borderId="0" xfId="0" applyAlignment="1">
      <alignment vertical="center"/>
    </xf>
    <xf numFmtId="6" fontId="39" fillId="0" borderId="0" xfId="0" applyNumberFormat="1" applyFont="1">
      <alignment vertical="center" wrapText="1"/>
    </xf>
    <xf numFmtId="10" fontId="39" fillId="0" borderId="0" xfId="0" applyNumberFormat="1" applyFont="1">
      <alignment vertical="center" wrapText="1"/>
    </xf>
    <xf numFmtId="0" fontId="0" fillId="0" borderId="11" xfId="0" quotePrefix="1" applyBorder="1" applyAlignment="1">
      <alignment horizontal="left" indent="1"/>
    </xf>
    <xf numFmtId="0" fontId="39" fillId="0" borderId="31" xfId="0" applyFont="1" applyBorder="1" applyAlignment="1">
      <alignment horizontal="left" indent="1"/>
    </xf>
    <xf numFmtId="0" fontId="39" fillId="0" borderId="33" xfId="0" applyFont="1" applyBorder="1" applyAlignment="1">
      <alignment horizontal="center"/>
    </xf>
    <xf numFmtId="6" fontId="39" fillId="0" borderId="38" xfId="0" applyNumberFormat="1" applyFont="1" applyBorder="1" applyAlignment="1">
      <alignment horizontal="center"/>
    </xf>
    <xf numFmtId="6" fontId="63" fillId="44" borderId="37" xfId="0" applyNumberFormat="1" applyFont="1" applyFill="1" applyBorder="1" applyAlignment="1">
      <alignment horizontal="center"/>
    </xf>
    <xf numFmtId="0" fontId="0" fillId="0" borderId="11" xfId="0" quotePrefix="1" applyBorder="1" applyAlignment="1">
      <alignment horizontal="left" vertical="top" wrapText="1" indent="1"/>
    </xf>
    <xf numFmtId="165" fontId="39" fillId="0" borderId="0" xfId="0" quotePrefix="1" applyNumberFormat="1" applyFont="1" applyAlignment="1">
      <alignment horizontal="center" vertical="top" wrapText="1"/>
    </xf>
    <xf numFmtId="164" fontId="39" fillId="0" borderId="12" xfId="0" applyNumberFormat="1" applyFont="1" applyBorder="1" applyAlignment="1">
      <alignment horizontal="center" vertical="top"/>
    </xf>
    <xf numFmtId="0" fontId="0" fillId="0" borderId="11" xfId="0" quotePrefix="1" applyBorder="1" applyAlignment="1">
      <alignment horizontal="left" vertical="center" wrapText="1" indent="1"/>
    </xf>
    <xf numFmtId="9" fontId="39" fillId="0" borderId="0" xfId="42" applyFont="1" applyFill="1" applyBorder="1"/>
    <xf numFmtId="0" fontId="0" fillId="0" borderId="11" xfId="0" quotePrefix="1" applyBorder="1" applyAlignment="1">
      <alignment horizontal="left" vertical="top" indent="1"/>
    </xf>
    <xf numFmtId="9" fontId="39" fillId="0" borderId="0" xfId="0" quotePrefix="1" applyNumberFormat="1" applyFont="1" applyAlignment="1">
      <alignment horizontal="center" vertical="top" wrapText="1"/>
    </xf>
    <xf numFmtId="0" fontId="0" fillId="0" borderId="0" xfId="0" quotePrefix="1">
      <alignment vertical="center" wrapText="1"/>
    </xf>
    <xf numFmtId="0" fontId="0" fillId="0" borderId="51" xfId="0" quotePrefix="1" applyBorder="1" applyAlignment="1">
      <alignment horizontal="left" vertical="center" wrapText="1" indent="1"/>
    </xf>
    <xf numFmtId="0" fontId="36" fillId="42" borderId="84" xfId="0" applyFont="1" applyFill="1" applyBorder="1">
      <alignment vertical="center" wrapText="1"/>
    </xf>
    <xf numFmtId="0" fontId="36" fillId="0" borderId="85" xfId="0" applyFont="1" applyBorder="1">
      <alignment vertical="center" wrapText="1"/>
    </xf>
    <xf numFmtId="0" fontId="36" fillId="0" borderId="85" xfId="0" applyFont="1" applyBorder="1" applyAlignment="1">
      <alignment horizontal="left" vertical="center" wrapText="1"/>
    </xf>
    <xf numFmtId="0" fontId="36" fillId="0" borderId="85" xfId="0" quotePrefix="1" applyFont="1" applyBorder="1" applyAlignment="1">
      <alignment horizontal="left" vertical="center" wrapText="1"/>
    </xf>
    <xf numFmtId="0" fontId="0" fillId="0" borderId="85" xfId="0" quotePrefix="1" applyBorder="1" applyAlignment="1">
      <alignment horizontal="left" vertical="center" wrapText="1" indent="1"/>
    </xf>
    <xf numFmtId="0" fontId="0" fillId="0" borderId="86" xfId="0" applyBorder="1" applyAlignment="1">
      <alignment horizontal="left" vertical="center" wrapText="1" indent="1"/>
    </xf>
    <xf numFmtId="0" fontId="39" fillId="38" borderId="0" xfId="0" applyFont="1" applyFill="1" applyAlignment="1">
      <alignment vertical="center"/>
    </xf>
    <xf numFmtId="0" fontId="54" fillId="0" borderId="0" xfId="0" applyFont="1" applyAlignment="1">
      <alignment vertical="center"/>
    </xf>
    <xf numFmtId="165" fontId="39" fillId="0" borderId="0" xfId="42" applyNumberFormat="1" applyFont="1" applyFill="1" applyBorder="1" applyAlignment="1">
      <alignment horizontal="center"/>
    </xf>
    <xf numFmtId="165" fontId="36" fillId="24" borderId="38" xfId="42" applyNumberFormat="1" applyFont="1" applyFill="1" applyBorder="1" applyAlignment="1">
      <alignment horizontal="center"/>
    </xf>
    <xf numFmtId="165" fontId="36" fillId="0" borderId="38" xfId="0" applyNumberFormat="1" applyFont="1" applyBorder="1" applyAlignment="1">
      <alignment horizontal="center"/>
    </xf>
    <xf numFmtId="165" fontId="39" fillId="24" borderId="12" xfId="0" applyNumberFormat="1" applyFont="1" applyFill="1" applyBorder="1" applyAlignment="1">
      <alignment horizontal="center"/>
    </xf>
    <xf numFmtId="8" fontId="39" fillId="24" borderId="0" xfId="0" applyNumberFormat="1" applyFont="1" applyFill="1">
      <alignment vertical="center" wrapText="1"/>
    </xf>
    <xf numFmtId="165" fontId="47" fillId="24" borderId="0" xfId="0" applyNumberFormat="1" applyFont="1" applyFill="1" applyAlignment="1">
      <alignment horizontal="center"/>
    </xf>
    <xf numFmtId="0" fontId="36" fillId="0" borderId="11" xfId="0" applyFont="1" applyBorder="1" applyAlignment="1"/>
    <xf numFmtId="0" fontId="36" fillId="0" borderId="13" xfId="0" applyFont="1" applyBorder="1" applyAlignment="1"/>
    <xf numFmtId="0" fontId="0" fillId="0" borderId="12" xfId="0" applyBorder="1" applyAlignment="1">
      <alignment horizontal="center"/>
    </xf>
    <xf numFmtId="6" fontId="43" fillId="0" borderId="0" xfId="36" applyNumberFormat="1" applyFill="1" applyBorder="1" applyAlignment="1">
      <alignment horizontal="center"/>
    </xf>
    <xf numFmtId="0" fontId="43" fillId="0" borderId="0" xfId="36" applyFill="1" applyBorder="1" applyAlignment="1">
      <alignment horizontal="center"/>
    </xf>
    <xf numFmtId="6" fontId="0" fillId="0" borderId="12" xfId="0" applyNumberFormat="1" applyBorder="1" applyAlignment="1">
      <alignment horizontal="center"/>
    </xf>
    <xf numFmtId="0" fontId="36" fillId="0" borderId="14" xfId="0" applyFont="1" applyBorder="1" applyAlignment="1">
      <alignment horizontal="center"/>
    </xf>
    <xf numFmtId="6" fontId="36" fillId="0" borderId="14" xfId="0" applyNumberFormat="1" applyFont="1" applyBorder="1" applyAlignment="1">
      <alignment horizontal="center"/>
    </xf>
    <xf numFmtId="6" fontId="36" fillId="0" borderId="15" xfId="0" applyNumberFormat="1" applyFont="1" applyBorder="1" applyAlignment="1">
      <alignment horizontal="center"/>
    </xf>
    <xf numFmtId="6" fontId="36" fillId="0" borderId="0" xfId="0" applyNumberFormat="1" applyFont="1" applyAlignment="1">
      <alignment horizontal="center"/>
    </xf>
    <xf numFmtId="6" fontId="0" fillId="0" borderId="0" xfId="0" applyNumberFormat="1" applyAlignment="1">
      <alignment horizontal="center"/>
    </xf>
    <xf numFmtId="9" fontId="43" fillId="0" borderId="0" xfId="36" applyNumberFormat="1" applyFill="1" applyBorder="1" applyAlignment="1">
      <alignment horizontal="center"/>
    </xf>
    <xf numFmtId="0" fontId="43" fillId="0" borderId="11" xfId="36" applyFill="1" applyBorder="1" applyAlignment="1"/>
    <xf numFmtId="6" fontId="36" fillId="0" borderId="12" xfId="0" applyNumberFormat="1" applyFont="1" applyBorder="1" applyAlignment="1">
      <alignment horizontal="center"/>
    </xf>
    <xf numFmtId="0" fontId="36" fillId="0" borderId="31" xfId="0" applyFont="1" applyBorder="1" applyAlignment="1"/>
    <xf numFmtId="171" fontId="36" fillId="0" borderId="33" xfId="0" applyNumberFormat="1" applyFont="1" applyBorder="1" applyAlignment="1">
      <alignment horizontal="center"/>
    </xf>
    <xf numFmtId="164" fontId="11" fillId="0" borderId="33" xfId="0" applyNumberFormat="1" applyFont="1" applyBorder="1" applyAlignment="1">
      <alignment horizontal="center" vertical="top"/>
    </xf>
    <xf numFmtId="6" fontId="36" fillId="0" borderId="38" xfId="0" applyNumberFormat="1" applyFont="1" applyBorder="1" applyAlignment="1">
      <alignment horizontal="center"/>
    </xf>
    <xf numFmtId="0" fontId="36" fillId="49" borderId="23" xfId="0" applyFont="1" applyFill="1" applyBorder="1" applyAlignment="1">
      <alignment horizontal="left" vertical="top"/>
    </xf>
    <xf numFmtId="0" fontId="36" fillId="49" borderId="16" xfId="0" applyFont="1" applyFill="1" applyBorder="1" applyAlignment="1">
      <alignment horizontal="left" vertical="top"/>
    </xf>
    <xf numFmtId="0" fontId="36" fillId="0" borderId="33" xfId="0" applyFont="1" applyBorder="1" applyAlignment="1">
      <alignment horizontal="center"/>
    </xf>
    <xf numFmtId="6" fontId="36" fillId="0" borderId="33" xfId="0" applyNumberFormat="1" applyFont="1" applyBorder="1" applyAlignment="1">
      <alignment horizontal="center"/>
    </xf>
    <xf numFmtId="0" fontId="36" fillId="49" borderId="10" xfId="0" applyFont="1" applyFill="1" applyBorder="1" applyAlignment="1">
      <alignment horizontal="center" vertical="center"/>
    </xf>
    <xf numFmtId="0" fontId="36" fillId="49" borderId="29" xfId="0" applyFont="1" applyFill="1" applyBorder="1" applyAlignment="1">
      <alignment horizontal="center" vertical="center"/>
    </xf>
    <xf numFmtId="0" fontId="36" fillId="49" borderId="24" xfId="0" applyFont="1" applyFill="1" applyBorder="1" applyAlignment="1">
      <alignment horizontal="center" vertical="center"/>
    </xf>
    <xf numFmtId="0" fontId="36" fillId="49" borderId="25" xfId="0" applyFont="1" applyFill="1" applyBorder="1" applyAlignment="1">
      <alignment horizontal="center" vertical="center"/>
    </xf>
    <xf numFmtId="0" fontId="39" fillId="42" borderId="20" xfId="0" applyFont="1" applyFill="1" applyBorder="1" applyAlignment="1">
      <alignment vertical="top"/>
    </xf>
    <xf numFmtId="0" fontId="39" fillId="24" borderId="0" xfId="0" applyFont="1" applyFill="1" applyAlignment="1">
      <alignment vertical="top" wrapText="1"/>
    </xf>
    <xf numFmtId="0" fontId="36" fillId="42" borderId="70" xfId="0" applyFont="1" applyFill="1" applyBorder="1" applyAlignment="1">
      <alignment vertical="top"/>
    </xf>
    <xf numFmtId="0" fontId="58" fillId="24" borderId="0" xfId="0" applyFont="1" applyFill="1" applyAlignment="1">
      <alignment vertical="top" wrapText="1"/>
    </xf>
    <xf numFmtId="0" fontId="36" fillId="25" borderId="20" xfId="0" applyFont="1" applyFill="1" applyBorder="1" applyAlignment="1">
      <alignment vertical="top"/>
    </xf>
    <xf numFmtId="0" fontId="36" fillId="42" borderId="27" xfId="0" applyFont="1" applyFill="1" applyBorder="1" applyAlignment="1">
      <alignment vertical="top"/>
    </xf>
    <xf numFmtId="0" fontId="39" fillId="24" borderId="33" xfId="0" applyFont="1" applyFill="1" applyBorder="1" applyAlignment="1">
      <alignment vertical="top" wrapText="1"/>
    </xf>
    <xf numFmtId="0" fontId="39" fillId="24" borderId="0" xfId="0" applyFont="1" applyFill="1" applyAlignment="1">
      <alignment horizontal="left" vertical="top" wrapText="1" indent="1"/>
    </xf>
    <xf numFmtId="0" fontId="39" fillId="24" borderId="14" xfId="0" applyFont="1" applyFill="1" applyBorder="1" applyAlignment="1">
      <alignment vertical="top" wrapText="1"/>
    </xf>
    <xf numFmtId="0" fontId="39" fillId="24" borderId="33" xfId="0" applyFont="1" applyFill="1" applyBorder="1" applyAlignment="1">
      <alignment vertical="top"/>
    </xf>
    <xf numFmtId="0" fontId="39" fillId="24" borderId="14" xfId="0" applyFont="1" applyFill="1" applyBorder="1" applyAlignment="1">
      <alignment vertical="top"/>
    </xf>
    <xf numFmtId="0" fontId="43" fillId="22" borderId="0" xfId="36" applyFill="1" applyBorder="1" applyAlignment="1">
      <alignment vertical="top"/>
    </xf>
    <xf numFmtId="0" fontId="36" fillId="0" borderId="52" xfId="0" applyFont="1" applyBorder="1" applyAlignment="1">
      <alignment horizontal="left" vertical="center" wrapText="1" indent="1"/>
    </xf>
    <xf numFmtId="165" fontId="39" fillId="26" borderId="28" xfId="0" applyNumberFormat="1" applyFont="1" applyFill="1" applyBorder="1" applyAlignment="1">
      <alignment horizontal="center" vertical="top"/>
    </xf>
    <xf numFmtId="165" fontId="39" fillId="26" borderId="12" xfId="0" applyNumberFormat="1" applyFont="1" applyFill="1" applyBorder="1" applyAlignment="1">
      <alignment horizontal="center" vertical="top"/>
    </xf>
    <xf numFmtId="173" fontId="39" fillId="24" borderId="12" xfId="0" applyNumberFormat="1" applyFont="1" applyFill="1" applyBorder="1" applyAlignment="1">
      <alignment horizontal="center"/>
    </xf>
    <xf numFmtId="0" fontId="40" fillId="24" borderId="0" xfId="0" applyFont="1" applyFill="1" applyAlignment="1">
      <alignment horizontal="left" vertical="center"/>
    </xf>
    <xf numFmtId="170" fontId="48" fillId="24" borderId="0" xfId="0" applyNumberFormat="1" applyFont="1" applyFill="1" applyAlignment="1">
      <alignment horizontal="center" vertical="center" wrapText="1"/>
    </xf>
    <xf numFmtId="0" fontId="32" fillId="48" borderId="19" xfId="0" applyFont="1" applyFill="1" applyBorder="1" applyAlignment="1">
      <alignment horizontal="left"/>
    </xf>
    <xf numFmtId="0" fontId="32" fillId="48" borderId="20" xfId="0" applyFont="1" applyFill="1" applyBorder="1" applyAlignment="1">
      <alignment horizontal="center"/>
    </xf>
    <xf numFmtId="0" fontId="62" fillId="48" borderId="20" xfId="0" applyFont="1" applyFill="1" applyBorder="1" applyAlignment="1">
      <alignment horizontal="center"/>
    </xf>
    <xf numFmtId="165" fontId="39" fillId="26" borderId="12" xfId="0" applyNumberFormat="1" applyFont="1" applyFill="1" applyBorder="1" applyAlignment="1">
      <alignment horizontal="center"/>
    </xf>
    <xf numFmtId="0" fontId="39" fillId="0" borderId="27" xfId="0" applyFont="1" applyBorder="1" applyAlignment="1">
      <alignment horizontal="center" vertical="center" wrapText="1"/>
    </xf>
    <xf numFmtId="2" fontId="39" fillId="26" borderId="15" xfId="0" applyNumberFormat="1" applyFont="1" applyFill="1" applyBorder="1" applyAlignment="1">
      <alignment horizontal="center"/>
    </xf>
    <xf numFmtId="0" fontId="63" fillId="26" borderId="12" xfId="0" applyFont="1" applyFill="1" applyBorder="1" applyAlignment="1">
      <alignment horizontal="center"/>
    </xf>
    <xf numFmtId="165" fontId="63" fillId="44" borderId="15" xfId="0" applyNumberFormat="1" applyFont="1" applyFill="1" applyBorder="1" applyAlignment="1">
      <alignment horizontal="center"/>
    </xf>
    <xf numFmtId="165" fontId="63" fillId="44" borderId="37" xfId="0" applyNumberFormat="1" applyFont="1" applyFill="1" applyBorder="1" applyAlignment="1">
      <alignment horizontal="center"/>
    </xf>
    <xf numFmtId="165" fontId="47" fillId="24" borderId="0" xfId="36" applyNumberFormat="1" applyFont="1" applyFill="1" applyBorder="1" applyAlignment="1">
      <alignment horizontal="center"/>
    </xf>
    <xf numFmtId="165" fontId="0" fillId="0" borderId="12" xfId="0" applyNumberFormat="1" applyBorder="1" applyAlignment="1">
      <alignment horizontal="center" vertical="center"/>
    </xf>
    <xf numFmtId="165" fontId="0" fillId="0" borderId="15" xfId="0" applyNumberFormat="1" applyBorder="1" applyAlignment="1">
      <alignment horizontal="center" vertical="top"/>
    </xf>
    <xf numFmtId="0" fontId="39" fillId="0" borderId="11" xfId="0" applyFont="1" applyBorder="1" applyAlignment="1">
      <alignment horizontal="center"/>
    </xf>
    <xf numFmtId="0" fontId="0" fillId="0" borderId="11" xfId="0" applyBorder="1" applyAlignment="1">
      <alignment horizontal="left" indent="1"/>
    </xf>
    <xf numFmtId="0" fontId="32" fillId="51" borderId="13" xfId="0" applyFont="1" applyFill="1" applyBorder="1" applyAlignment="1">
      <alignment horizontal="left"/>
    </xf>
    <xf numFmtId="0" fontId="62" fillId="51" borderId="14" xfId="0" applyFont="1" applyFill="1" applyBorder="1" applyAlignment="1">
      <alignment horizontal="center"/>
    </xf>
    <xf numFmtId="165" fontId="32" fillId="51" borderId="15" xfId="0" applyNumberFormat="1" applyFont="1" applyFill="1" applyBorder="1" applyAlignment="1">
      <alignment horizontal="center"/>
    </xf>
    <xf numFmtId="0" fontId="32" fillId="51" borderId="14" xfId="0" applyFont="1" applyFill="1" applyBorder="1" applyAlignment="1">
      <alignment horizontal="center"/>
    </xf>
    <xf numFmtId="165" fontId="32" fillId="51" borderId="37" xfId="0" applyNumberFormat="1" applyFont="1" applyFill="1" applyBorder="1" applyAlignment="1">
      <alignment horizontal="center"/>
    </xf>
    <xf numFmtId="2" fontId="78" fillId="51" borderId="35" xfId="0" applyNumberFormat="1" applyFont="1" applyFill="1" applyBorder="1" applyAlignment="1">
      <alignment horizontal="center"/>
    </xf>
    <xf numFmtId="49" fontId="19" fillId="24" borderId="0" xfId="29" applyNumberFormat="1" applyFill="1" applyBorder="1" applyAlignment="1">
      <alignment horizontal="left" vertical="center"/>
    </xf>
    <xf numFmtId="0" fontId="19" fillId="24" borderId="0" xfId="29" applyFill="1" applyAlignment="1"/>
    <xf numFmtId="0" fontId="19" fillId="24" borderId="0" xfId="29" applyFill="1" applyAlignment="1">
      <alignment vertical="center" wrapText="1"/>
    </xf>
    <xf numFmtId="0" fontId="79" fillId="26" borderId="21" xfId="0" applyFont="1" applyFill="1" applyBorder="1" applyAlignment="1">
      <alignment horizontal="left" vertical="top" wrapText="1"/>
    </xf>
    <xf numFmtId="164" fontId="36" fillId="26" borderId="28" xfId="28" applyNumberFormat="1" applyFont="1" applyFill="1" applyBorder="1" applyAlignment="1">
      <alignment horizontal="center"/>
    </xf>
    <xf numFmtId="164" fontId="39" fillId="0" borderId="12" xfId="0" applyNumberFormat="1" applyFont="1" applyBorder="1" applyAlignment="1">
      <alignment horizontal="center" vertical="top" wrapText="1"/>
    </xf>
    <xf numFmtId="164" fontId="36" fillId="26" borderId="12" xfId="28" applyNumberFormat="1" applyFont="1" applyFill="1" applyBorder="1" applyAlignment="1">
      <alignment horizontal="center"/>
    </xf>
    <xf numFmtId="164" fontId="39" fillId="0" borderId="15" xfId="0" applyNumberFormat="1" applyFont="1" applyBorder="1" applyAlignment="1">
      <alignment horizontal="center" vertical="top" wrapText="1"/>
    </xf>
    <xf numFmtId="0" fontId="78" fillId="34" borderId="22" xfId="0" applyFont="1" applyFill="1" applyBorder="1" applyAlignment="1">
      <alignment horizontal="left" vertical="center" wrapText="1"/>
    </xf>
    <xf numFmtId="164" fontId="32" fillId="28" borderId="0" xfId="0" applyNumberFormat="1" applyFont="1" applyFill="1" applyAlignment="1">
      <alignment horizontal="left" vertical="center" wrapText="1"/>
    </xf>
    <xf numFmtId="164" fontId="36" fillId="25" borderId="20" xfId="0" applyNumberFormat="1" applyFont="1" applyFill="1" applyBorder="1" applyAlignment="1">
      <alignment horizontal="left" vertical="center" wrapText="1"/>
    </xf>
    <xf numFmtId="3" fontId="43" fillId="24" borderId="11" xfId="36" applyNumberFormat="1" applyFill="1" applyBorder="1" applyAlignment="1">
      <alignment horizontal="left" vertical="top"/>
    </xf>
    <xf numFmtId="164" fontId="43" fillId="24" borderId="11" xfId="36" applyNumberFormat="1" applyFill="1" applyBorder="1" applyAlignment="1">
      <alignment horizontal="left" vertical="top"/>
    </xf>
    <xf numFmtId="164" fontId="54" fillId="24" borderId="27" xfId="0" applyNumberFormat="1" applyFont="1" applyFill="1" applyBorder="1" applyAlignment="1">
      <alignment horizontal="left" vertical="top"/>
    </xf>
    <xf numFmtId="3" fontId="54" fillId="24" borderId="0" xfId="0" applyNumberFormat="1" applyFont="1" applyFill="1" applyAlignment="1">
      <alignment horizontal="left" vertical="top"/>
    </xf>
    <xf numFmtId="164" fontId="54" fillId="24" borderId="0" xfId="0" applyNumberFormat="1" applyFont="1" applyFill="1" applyAlignment="1">
      <alignment horizontal="left" vertical="top"/>
    </xf>
    <xf numFmtId="164" fontId="0" fillId="0" borderId="0" xfId="0" applyNumberFormat="1" applyAlignment="1">
      <alignment vertical="center"/>
    </xf>
    <xf numFmtId="0" fontId="81" fillId="0" borderId="0" xfId="0" applyFont="1" applyAlignment="1">
      <alignment vertical="center"/>
    </xf>
    <xf numFmtId="0" fontId="81" fillId="0" borderId="0" xfId="0" applyFont="1" applyAlignment="1">
      <alignment horizontal="center" vertical="center"/>
    </xf>
    <xf numFmtId="0" fontId="0" fillId="0" borderId="0" xfId="0" applyAlignment="1">
      <alignment horizontal="right" vertical="center"/>
    </xf>
    <xf numFmtId="164" fontId="36" fillId="0" borderId="0" xfId="0" applyNumberFormat="1" applyFont="1" applyAlignment="1">
      <alignment vertical="center"/>
    </xf>
    <xf numFmtId="164" fontId="0" fillId="0" borderId="0" xfId="0" applyNumberFormat="1" applyAlignment="1">
      <alignment horizontal="right" vertical="center"/>
    </xf>
    <xf numFmtId="164" fontId="36" fillId="0" borderId="0" xfId="0" applyNumberFormat="1" applyFont="1" applyAlignment="1">
      <alignment horizontal="right" vertical="center"/>
    </xf>
    <xf numFmtId="0" fontId="36" fillId="0" borderId="0" xfId="0" applyFont="1" applyAlignment="1">
      <alignment vertical="center"/>
    </xf>
    <xf numFmtId="10" fontId="0" fillId="0" borderId="0" xfId="0" applyNumberFormat="1" applyAlignment="1">
      <alignment horizontal="right" vertical="center"/>
    </xf>
    <xf numFmtId="0" fontId="0" fillId="42" borderId="10" xfId="0" applyFill="1" applyBorder="1" applyAlignment="1">
      <alignment vertical="center"/>
    </xf>
    <xf numFmtId="0" fontId="0" fillId="0" borderId="0" xfId="0" applyAlignment="1">
      <alignment horizontal="left" vertical="center" indent="1"/>
    </xf>
    <xf numFmtId="0" fontId="39" fillId="24" borderId="0" xfId="0" quotePrefix="1" applyFont="1" applyFill="1" applyAlignment="1">
      <alignment horizontal="left" indent="1"/>
    </xf>
    <xf numFmtId="0" fontId="0" fillId="0" borderId="0" xfId="0" applyAlignment="1">
      <alignment horizontal="left" vertical="center"/>
    </xf>
    <xf numFmtId="0" fontId="36" fillId="0" borderId="0" xfId="0" applyFont="1" applyAlignment="1">
      <alignment horizontal="left" vertical="center"/>
    </xf>
    <xf numFmtId="165" fontId="0" fillId="0" borderId="0" xfId="0" applyNumberFormat="1" applyAlignment="1">
      <alignment horizontal="right" vertical="center"/>
    </xf>
    <xf numFmtId="1" fontId="0" fillId="0" borderId="0" xfId="0" applyNumberFormat="1" applyAlignment="1">
      <alignment horizontal="right" vertical="center"/>
    </xf>
    <xf numFmtId="165" fontId="83" fillId="0" borderId="0" xfId="0" applyNumberFormat="1" applyFont="1" applyAlignment="1">
      <alignment horizontal="right" vertical="center"/>
    </xf>
    <xf numFmtId="0" fontId="81" fillId="0" borderId="0" xfId="0" applyFont="1" applyAlignment="1">
      <alignment horizontal="right" vertical="center"/>
    </xf>
    <xf numFmtId="0" fontId="0" fillId="42" borderId="10" xfId="0" applyFill="1" applyBorder="1" applyAlignment="1">
      <alignment horizontal="right" vertical="center"/>
    </xf>
    <xf numFmtId="0" fontId="0" fillId="0" borderId="0" xfId="0" applyAlignment="1">
      <alignment horizontal="right" vertical="center" indent="1"/>
    </xf>
    <xf numFmtId="165" fontId="83" fillId="0" borderId="0" xfId="0" applyNumberFormat="1" applyFont="1" applyAlignment="1">
      <alignment horizontal="right" vertical="center" indent="1"/>
    </xf>
    <xf numFmtId="165" fontId="80" fillId="0" borderId="0" xfId="0" applyNumberFormat="1" applyFont="1" applyAlignment="1">
      <alignment horizontal="right" vertical="center" indent="1"/>
    </xf>
    <xf numFmtId="0" fontId="81" fillId="0" borderId="0" xfId="0" applyFont="1" applyAlignment="1">
      <alignment horizontal="left" vertical="center" indent="1"/>
    </xf>
    <xf numFmtId="0" fontId="84" fillId="0" borderId="10" xfId="0" applyFont="1" applyBorder="1" applyAlignment="1">
      <alignment horizontal="left" vertical="center" indent="1"/>
    </xf>
    <xf numFmtId="0" fontId="0" fillId="0" borderId="10" xfId="0" applyBorder="1" applyAlignment="1">
      <alignment horizontal="right" vertical="center" indent="1"/>
    </xf>
    <xf numFmtId="0" fontId="84" fillId="0" borderId="10" xfId="0" applyFont="1" applyBorder="1" applyAlignment="1">
      <alignment horizontal="left" vertical="center"/>
    </xf>
    <xf numFmtId="0" fontId="84" fillId="0" borderId="10" xfId="0" applyFont="1" applyBorder="1" applyAlignment="1">
      <alignment horizontal="right" vertical="center"/>
    </xf>
    <xf numFmtId="0" fontId="0" fillId="0" borderId="10" xfId="0" applyBorder="1" applyAlignment="1">
      <alignment horizontal="right" vertical="center"/>
    </xf>
    <xf numFmtId="0" fontId="84" fillId="53" borderId="10" xfId="0" applyFont="1" applyFill="1" applyBorder="1" applyAlignment="1">
      <alignment horizontal="left" vertical="center" indent="1"/>
    </xf>
    <xf numFmtId="0" fontId="84" fillId="53" borderId="10" xfId="0" applyFont="1" applyFill="1" applyBorder="1" applyAlignment="1">
      <alignment horizontal="left" vertical="center"/>
    </xf>
    <xf numFmtId="0" fontId="84" fillId="53" borderId="10" xfId="0" applyFont="1" applyFill="1" applyBorder="1" applyAlignment="1">
      <alignment horizontal="right" vertical="center"/>
    </xf>
    <xf numFmtId="0" fontId="0" fillId="53" borderId="10" xfId="0" applyFill="1" applyBorder="1" applyAlignment="1">
      <alignment horizontal="right" vertical="center"/>
    </xf>
    <xf numFmtId="2" fontId="0" fillId="0" borderId="0" xfId="0" applyNumberFormat="1" applyAlignment="1">
      <alignment horizontal="right" vertical="center"/>
    </xf>
    <xf numFmtId="0" fontId="84" fillId="0" borderId="10" xfId="0" applyFont="1" applyBorder="1" applyAlignment="1">
      <alignment vertical="center"/>
    </xf>
    <xf numFmtId="0" fontId="84" fillId="0" borderId="22" xfId="0" applyFont="1" applyBorder="1" applyAlignment="1">
      <alignment horizontal="left" vertical="center" indent="1"/>
    </xf>
    <xf numFmtId="0" fontId="84" fillId="0" borderId="22" xfId="0" applyFont="1" applyBorder="1" applyAlignment="1">
      <alignment horizontal="left" vertical="center"/>
    </xf>
    <xf numFmtId="0" fontId="84" fillId="0" borderId="22" xfId="0" applyFont="1" applyBorder="1" applyAlignment="1">
      <alignment horizontal="right" vertical="center"/>
    </xf>
    <xf numFmtId="0" fontId="0" fillId="0" borderId="22" xfId="0" applyBorder="1" applyAlignment="1">
      <alignment horizontal="right" vertical="center"/>
    </xf>
    <xf numFmtId="0" fontId="85" fillId="0" borderId="10" xfId="0" applyFont="1" applyBorder="1" applyAlignment="1">
      <alignment horizontal="right" vertical="center"/>
    </xf>
    <xf numFmtId="0" fontId="36" fillId="42" borderId="10" xfId="0" applyFont="1" applyFill="1" applyBorder="1" applyAlignment="1">
      <alignment horizontal="left" vertical="center" indent="1"/>
    </xf>
    <xf numFmtId="0" fontId="0" fillId="42" borderId="10" xfId="0" applyFill="1" applyBorder="1" applyAlignment="1">
      <alignment horizontal="right" vertical="center" indent="1"/>
    </xf>
    <xf numFmtId="0" fontId="85" fillId="0" borderId="22" xfId="0" applyFont="1" applyBorder="1" applyAlignment="1">
      <alignment horizontal="right" vertical="center"/>
    </xf>
    <xf numFmtId="0" fontId="84" fillId="0" borderId="22" xfId="0" applyFont="1" applyBorder="1" applyAlignment="1">
      <alignment vertical="center"/>
    </xf>
    <xf numFmtId="0" fontId="85" fillId="0" borderId="22" xfId="0" applyFont="1" applyBorder="1" applyAlignment="1">
      <alignment horizontal="right" vertical="center" indent="1"/>
    </xf>
    <xf numFmtId="165" fontId="0" fillId="0" borderId="0" xfId="0" applyNumberFormat="1" applyAlignment="1">
      <alignment vertical="center"/>
    </xf>
    <xf numFmtId="0" fontId="36" fillId="42" borderId="10" xfId="0" applyFont="1" applyFill="1" applyBorder="1" applyAlignment="1">
      <alignment horizontal="left" vertical="center"/>
    </xf>
    <xf numFmtId="0" fontId="81" fillId="0" borderId="0" xfId="0" applyFont="1" applyAlignment="1">
      <alignment horizontal="left" vertical="center"/>
    </xf>
    <xf numFmtId="0" fontId="39" fillId="24" borderId="0" xfId="0" quotePrefix="1" applyFont="1" applyFill="1" applyAlignment="1">
      <alignment horizontal="left"/>
    </xf>
    <xf numFmtId="0" fontId="80" fillId="0" borderId="10" xfId="0" applyFont="1" applyBorder="1" applyAlignment="1">
      <alignment horizontal="right" vertical="center"/>
    </xf>
    <xf numFmtId="165" fontId="36" fillId="0" borderId="0" xfId="0" applyNumberFormat="1" applyFont="1" applyAlignment="1">
      <alignment horizontal="right" vertical="center"/>
    </xf>
    <xf numFmtId="0" fontId="89" fillId="0" borderId="0" xfId="0" applyFont="1" applyAlignment="1">
      <alignment horizontal="right" vertical="center"/>
    </xf>
    <xf numFmtId="0" fontId="84" fillId="0" borderId="0" xfId="0" applyFont="1" applyAlignment="1">
      <alignment horizontal="left" vertical="center"/>
    </xf>
    <xf numFmtId="0" fontId="88" fillId="0" borderId="0" xfId="0" applyFont="1" applyAlignment="1">
      <alignment horizontal="left" vertical="center"/>
    </xf>
    <xf numFmtId="0" fontId="88" fillId="0" borderId="0" xfId="0" applyFont="1" applyAlignment="1">
      <alignment vertical="center"/>
    </xf>
    <xf numFmtId="0" fontId="36" fillId="0" borderId="10" xfId="0" applyFont="1" applyBorder="1" applyAlignment="1">
      <alignment horizontal="right" vertical="center" indent="1"/>
    </xf>
    <xf numFmtId="164" fontId="88" fillId="0" borderId="0" xfId="0" applyNumberFormat="1" applyFont="1" applyAlignment="1">
      <alignment horizontal="right" vertical="center"/>
    </xf>
    <xf numFmtId="165" fontId="36" fillId="0" borderId="12" xfId="0" applyNumberFormat="1" applyFont="1" applyBorder="1" applyAlignment="1">
      <alignment horizontal="center"/>
    </xf>
    <xf numFmtId="165" fontId="39" fillId="24" borderId="34" xfId="0" applyNumberFormat="1" applyFont="1" applyFill="1" applyBorder="1" applyAlignment="1">
      <alignment horizontal="center" vertical="top"/>
    </xf>
    <xf numFmtId="165" fontId="39" fillId="24" borderId="0" xfId="0" applyNumberFormat="1" applyFont="1" applyFill="1" applyAlignment="1">
      <alignment horizontal="center" vertical="top"/>
    </xf>
    <xf numFmtId="165" fontId="46" fillId="24" borderId="32" xfId="42" applyNumberFormat="1" applyFont="1" applyFill="1" applyBorder="1" applyAlignment="1">
      <alignment horizontal="center" vertical="top"/>
    </xf>
    <xf numFmtId="165" fontId="46" fillId="24" borderId="34" xfId="42" applyNumberFormat="1" applyFont="1" applyFill="1" applyBorder="1" applyAlignment="1">
      <alignment horizontal="center" vertical="top"/>
    </xf>
    <xf numFmtId="165" fontId="46" fillId="24" borderId="0" xfId="42" applyNumberFormat="1" applyFont="1" applyFill="1" applyBorder="1" applyAlignment="1">
      <alignment horizontal="center" vertical="top"/>
    </xf>
    <xf numFmtId="165" fontId="36" fillId="44" borderId="20" xfId="0" applyNumberFormat="1" applyFont="1" applyFill="1" applyBorder="1" applyAlignment="1">
      <alignment horizontal="center" vertical="top"/>
    </xf>
    <xf numFmtId="165" fontId="39" fillId="44" borderId="20" xfId="0" applyNumberFormat="1" applyFont="1" applyFill="1" applyBorder="1">
      <alignment vertical="center" wrapText="1"/>
    </xf>
    <xf numFmtId="165" fontId="39" fillId="0" borderId="0" xfId="0" applyNumberFormat="1" applyFont="1" applyAlignment="1">
      <alignment horizontal="center" vertical="top"/>
    </xf>
    <xf numFmtId="165" fontId="39" fillId="38" borderId="12" xfId="0" applyNumberFormat="1" applyFont="1" applyFill="1" applyBorder="1" applyAlignment="1">
      <alignment horizontal="center"/>
    </xf>
    <xf numFmtId="165" fontId="47" fillId="24" borderId="12" xfId="0" applyNumberFormat="1" applyFont="1" applyFill="1" applyBorder="1" applyAlignment="1">
      <alignment horizontal="center"/>
    </xf>
    <xf numFmtId="165" fontId="39" fillId="29" borderId="0" xfId="0" applyNumberFormat="1" applyFont="1" applyFill="1" applyAlignment="1">
      <alignment horizontal="center" vertical="top"/>
    </xf>
    <xf numFmtId="165" fontId="39" fillId="29" borderId="0" xfId="0" applyNumberFormat="1" applyFont="1" applyFill="1" applyAlignment="1">
      <alignment horizontal="center" vertical="center"/>
    </xf>
    <xf numFmtId="165" fontId="0" fillId="0" borderId="0" xfId="0" applyNumberFormat="1">
      <alignment vertical="center" wrapText="1"/>
    </xf>
    <xf numFmtId="165" fontId="39" fillId="24" borderId="0" xfId="0" applyNumberFormat="1" applyFont="1" applyFill="1">
      <alignment vertical="center" wrapText="1"/>
    </xf>
    <xf numFmtId="165" fontId="39" fillId="24" borderId="0" xfId="0" applyNumberFormat="1" applyFont="1" applyFill="1" applyAlignment="1">
      <alignment horizontal="right"/>
    </xf>
    <xf numFmtId="165" fontId="32" fillId="24" borderId="0" xfId="42" applyNumberFormat="1" applyFont="1" applyFill="1" applyBorder="1" applyAlignment="1">
      <alignment horizontal="center"/>
    </xf>
    <xf numFmtId="174" fontId="0" fillId="0" borderId="0" xfId="0" applyNumberFormat="1" applyAlignment="1">
      <alignment horizontal="right" vertical="center"/>
    </xf>
    <xf numFmtId="174" fontId="78" fillId="51" borderId="35" xfId="0" applyNumberFormat="1" applyFont="1" applyFill="1" applyBorder="1" applyAlignment="1">
      <alignment horizontal="center"/>
    </xf>
    <xf numFmtId="0" fontId="0" fillId="0" borderId="10" xfId="0" applyBorder="1" applyAlignment="1">
      <alignment horizontal="left" vertical="center"/>
    </xf>
    <xf numFmtId="0" fontId="0" fillId="0" borderId="10" xfId="0" applyBorder="1" applyAlignment="1">
      <alignment horizontal="left" vertical="center" indent="1"/>
    </xf>
    <xf numFmtId="0" fontId="0" fillId="0" borderId="10" xfId="0" applyBorder="1" applyAlignment="1">
      <alignment vertical="center"/>
    </xf>
    <xf numFmtId="10" fontId="90" fillId="29" borderId="0" xfId="0" applyNumberFormat="1" applyFont="1" applyFill="1" applyAlignment="1">
      <alignment horizontal="center" vertical="top"/>
    </xf>
    <xf numFmtId="164" fontId="78" fillId="29" borderId="0" xfId="0" applyNumberFormat="1" applyFont="1" applyFill="1" applyAlignment="1">
      <alignment horizontal="center" vertical="top"/>
    </xf>
    <xf numFmtId="164" fontId="90" fillId="29" borderId="0" xfId="0" applyNumberFormat="1" applyFont="1" applyFill="1" applyAlignment="1">
      <alignment horizontal="left" vertical="top"/>
    </xf>
    <xf numFmtId="0" fontId="54" fillId="29" borderId="11" xfId="0" applyNumberFormat="1" applyFont="1" applyFill="1" applyBorder="1" applyAlignment="1">
      <alignment horizontal="left" vertical="top" indent="2"/>
    </xf>
    <xf numFmtId="10" fontId="43" fillId="24" borderId="0" xfId="0" applyNumberFormat="1" applyFont="1" applyFill="1" applyAlignment="1">
      <alignment horizontal="center"/>
    </xf>
    <xf numFmtId="10" fontId="43" fillId="24" borderId="14" xfId="0" applyNumberFormat="1" applyFont="1" applyFill="1" applyBorder="1" applyAlignment="1">
      <alignment horizontal="center"/>
    </xf>
    <xf numFmtId="10" fontId="91" fillId="24" borderId="0" xfId="0" applyNumberFormat="1" applyFont="1" applyFill="1" applyAlignment="1">
      <alignment horizontal="center" vertical="top"/>
    </xf>
    <xf numFmtId="10" fontId="91" fillId="24" borderId="12" xfId="0" applyNumberFormat="1" applyFont="1" applyFill="1" applyBorder="1" applyAlignment="1">
      <alignment horizontal="center" vertical="top"/>
    </xf>
    <xf numFmtId="2" fontId="39" fillId="24" borderId="14" xfId="0" applyNumberFormat="1" applyFont="1" applyFill="1" applyBorder="1" applyAlignment="1">
      <alignment horizontal="center"/>
    </xf>
    <xf numFmtId="10" fontId="46" fillId="24" borderId="34" xfId="0" applyNumberFormat="1" applyFont="1" applyFill="1" applyBorder="1" applyAlignment="1">
      <alignment horizontal="center" vertical="top"/>
    </xf>
    <xf numFmtId="0" fontId="49" fillId="27" borderId="0" xfId="51">
      <alignment horizontal="center" vertical="center"/>
    </xf>
    <xf numFmtId="0" fontId="36" fillId="25" borderId="42" xfId="0" applyFont="1" applyFill="1" applyBorder="1" applyAlignment="1">
      <alignment horizontal="left" vertical="center" wrapText="1"/>
    </xf>
    <xf numFmtId="0" fontId="36" fillId="25" borderId="44" xfId="0" applyFont="1" applyFill="1" applyBorder="1" applyAlignment="1">
      <alignment horizontal="left" vertical="center" wrapText="1"/>
    </xf>
    <xf numFmtId="0" fontId="0" fillId="25" borderId="44" xfId="0" applyFill="1" applyBorder="1" applyAlignment="1">
      <alignment vertical="center"/>
    </xf>
    <xf numFmtId="0" fontId="0" fillId="0" borderId="46" xfId="0" applyBorder="1" applyAlignment="1">
      <alignment vertical="center"/>
    </xf>
    <xf numFmtId="0" fontId="74" fillId="27" borderId="26" xfId="39" applyFont="1" applyFill="1" applyBorder="1" applyAlignment="1">
      <alignment horizontal="center" vertical="center"/>
    </xf>
    <xf numFmtId="0" fontId="74" fillId="27" borderId="27" xfId="39" applyFont="1" applyFill="1" applyBorder="1" applyAlignment="1">
      <alignment horizontal="center" vertical="center"/>
    </xf>
    <xf numFmtId="0" fontId="74" fillId="27" borderId="28" xfId="39" applyFont="1" applyFill="1" applyBorder="1" applyAlignment="1">
      <alignment horizontal="center" vertical="center"/>
    </xf>
    <xf numFmtId="0" fontId="0" fillId="24" borderId="41" xfId="0" applyFill="1" applyBorder="1" applyAlignment="1">
      <alignment horizontal="left" vertical="center" wrapText="1"/>
    </xf>
    <xf numFmtId="0" fontId="36" fillId="24" borderId="54" xfId="0" applyFont="1" applyFill="1" applyBorder="1" applyAlignment="1">
      <alignment horizontal="left" vertical="center" wrapText="1"/>
    </xf>
    <xf numFmtId="0" fontId="0" fillId="24" borderId="54" xfId="0" applyFill="1" applyBorder="1" applyAlignment="1">
      <alignment vertical="center"/>
    </xf>
    <xf numFmtId="0" fontId="0" fillId="0" borderId="55" xfId="0" applyBorder="1" applyAlignment="1">
      <alignment vertical="center"/>
    </xf>
    <xf numFmtId="0" fontId="36" fillId="25" borderId="21" xfId="0" applyFont="1" applyFill="1" applyBorder="1" applyAlignment="1">
      <alignment horizontal="left" vertical="center" wrapText="1"/>
    </xf>
    <xf numFmtId="0" fontId="36" fillId="25" borderId="22" xfId="0" applyFont="1" applyFill="1" applyBorder="1" applyAlignment="1">
      <alignment horizontal="left" vertical="center" wrapText="1"/>
    </xf>
    <xf numFmtId="0" fontId="36" fillId="25" borderId="40" xfId="0" applyFont="1" applyFill="1" applyBorder="1" applyAlignment="1">
      <alignment horizontal="left" vertical="center" wrapText="1"/>
    </xf>
    <xf numFmtId="0" fontId="0" fillId="0" borderId="59" xfId="0" applyBorder="1" applyAlignment="1">
      <alignment horizontal="left" vertical="center" wrapText="1"/>
    </xf>
    <xf numFmtId="0" fontId="0" fillId="0" borderId="57" xfId="0" applyBorder="1">
      <alignment vertical="center" wrapText="1"/>
    </xf>
    <xf numFmtId="0" fontId="0" fillId="0" borderId="58" xfId="0" applyBorder="1">
      <alignment vertical="center" wrapText="1"/>
    </xf>
    <xf numFmtId="0" fontId="0" fillId="0" borderId="42" xfId="0" applyBorder="1" applyAlignment="1">
      <alignment horizontal="left" vertical="center" wrapText="1"/>
    </xf>
    <xf numFmtId="0" fontId="0" fillId="0" borderId="44" xfId="0" applyBorder="1">
      <alignment vertical="center" wrapText="1"/>
    </xf>
    <xf numFmtId="0" fontId="0" fillId="0" borderId="46" xfId="0" applyBorder="1">
      <alignment vertical="center" wrapText="1"/>
    </xf>
    <xf numFmtId="0" fontId="36" fillId="26" borderId="42" xfId="0" applyFont="1" applyFill="1" applyBorder="1" applyAlignment="1">
      <alignment horizontal="left" vertical="center" wrapText="1"/>
    </xf>
    <xf numFmtId="0" fontId="0" fillId="0" borderId="44" xfId="0" applyBorder="1" applyAlignment="1">
      <alignment vertical="center"/>
    </xf>
    <xf numFmtId="0" fontId="0" fillId="24" borderId="39" xfId="0" applyFill="1" applyBorder="1" applyAlignment="1">
      <alignment horizontal="left" vertical="center" wrapText="1"/>
    </xf>
    <xf numFmtId="0" fontId="0" fillId="0" borderId="37" xfId="0" applyBorder="1" applyAlignment="1">
      <alignment vertical="center"/>
    </xf>
    <xf numFmtId="0" fontId="0" fillId="24" borderId="0" xfId="0" applyFill="1" applyAlignment="1">
      <alignment horizontal="left" vertical="center" wrapText="1"/>
    </xf>
    <xf numFmtId="0" fontId="0" fillId="0" borderId="12" xfId="0" applyBorder="1" applyAlignment="1">
      <alignment vertical="center"/>
    </xf>
    <xf numFmtId="0" fontId="0" fillId="25" borderId="22" xfId="0" applyFill="1" applyBorder="1" applyAlignment="1">
      <alignment vertical="center"/>
    </xf>
    <xf numFmtId="0" fontId="0" fillId="0" borderId="40" xfId="0" applyBorder="1" applyAlignment="1">
      <alignment vertical="center"/>
    </xf>
    <xf numFmtId="0" fontId="36" fillId="25" borderId="42" xfId="0" applyFont="1" applyFill="1" applyBorder="1" applyAlignment="1">
      <alignment horizontal="left" vertical="center"/>
    </xf>
    <xf numFmtId="0" fontId="36" fillId="26" borderId="44" xfId="0" applyFont="1" applyFill="1" applyBorder="1" applyAlignment="1">
      <alignment horizontal="left" vertical="center" wrapText="1"/>
    </xf>
    <xf numFmtId="0" fontId="36" fillId="26" borderId="44" xfId="0" applyFont="1" applyFill="1" applyBorder="1">
      <alignment vertical="center" wrapText="1"/>
    </xf>
    <xf numFmtId="0" fontId="36" fillId="26" borderId="44" xfId="0" applyFont="1" applyFill="1" applyBorder="1" applyAlignment="1">
      <alignment vertical="center"/>
    </xf>
    <xf numFmtId="164" fontId="56" fillId="24" borderId="0" xfId="0" applyNumberFormat="1" applyFont="1" applyFill="1" applyAlignment="1">
      <alignment horizontal="center" vertical="top"/>
    </xf>
    <xf numFmtId="0" fontId="36" fillId="42" borderId="45" xfId="0" applyFont="1" applyFill="1" applyBorder="1" applyAlignment="1">
      <alignment horizontal="center" vertical="top"/>
    </xf>
    <xf numFmtId="0" fontId="36" fillId="42" borderId="40" xfId="0" applyFont="1" applyFill="1" applyBorder="1" applyAlignment="1">
      <alignment horizontal="center" vertical="top"/>
    </xf>
    <xf numFmtId="164" fontId="59" fillId="42" borderId="79" xfId="0" applyNumberFormat="1" applyFont="1" applyFill="1" applyBorder="1" applyAlignment="1">
      <alignment horizontal="center" vertical="top"/>
    </xf>
    <xf numFmtId="164" fontId="59" fillId="42" borderId="27" xfId="0" applyNumberFormat="1" applyFont="1" applyFill="1" applyBorder="1" applyAlignment="1">
      <alignment horizontal="center" vertical="top"/>
    </xf>
    <xf numFmtId="164" fontId="59" fillId="42" borderId="28" xfId="0" applyNumberFormat="1" applyFont="1" applyFill="1" applyBorder="1" applyAlignment="1">
      <alignment horizontal="center" vertical="top"/>
    </xf>
    <xf numFmtId="0" fontId="36" fillId="42" borderId="43" xfId="0" applyFont="1" applyFill="1" applyBorder="1" applyAlignment="1">
      <alignment horizontal="center" vertical="top"/>
    </xf>
    <xf numFmtId="0" fontId="36" fillId="42" borderId="45" xfId="0" applyFont="1" applyFill="1" applyBorder="1" applyAlignment="1">
      <alignment horizontal="center" vertical="top" wrapText="1"/>
    </xf>
    <xf numFmtId="0" fontId="36" fillId="42" borderId="22" xfId="0" applyFont="1" applyFill="1" applyBorder="1" applyAlignment="1">
      <alignment horizontal="center" vertical="top" wrapText="1"/>
    </xf>
    <xf numFmtId="0" fontId="36" fillId="42" borderId="43" xfId="0" applyFont="1" applyFill="1" applyBorder="1" applyAlignment="1">
      <alignment horizontal="center" vertical="top" wrapText="1"/>
    </xf>
    <xf numFmtId="6" fontId="39" fillId="24" borderId="0" xfId="0" applyNumberFormat="1" applyFont="1" applyFill="1" applyAlignment="1">
      <alignment horizontal="left" vertical="center" wrapText="1" indent="1"/>
    </xf>
    <xf numFmtId="0" fontId="49" fillId="27" borderId="0" xfId="51" applyBorder="1">
      <alignment horizontal="center" vertical="center"/>
    </xf>
    <xf numFmtId="164" fontId="0" fillId="50" borderId="32" xfId="0" applyNumberFormat="1" applyFill="1" applyBorder="1" applyAlignment="1">
      <alignment horizontal="left" vertical="center" wrapText="1" indent="1"/>
    </xf>
    <xf numFmtId="164" fontId="0" fillId="50" borderId="33" xfId="0" applyNumberFormat="1" applyFill="1" applyBorder="1" applyAlignment="1">
      <alignment horizontal="left" vertical="center" wrapText="1" indent="1"/>
    </xf>
    <xf numFmtId="164" fontId="0" fillId="50" borderId="87" xfId="0" applyNumberFormat="1" applyFill="1" applyBorder="1" applyAlignment="1">
      <alignment horizontal="left" vertical="center" wrapText="1" indent="1"/>
    </xf>
    <xf numFmtId="164" fontId="0" fillId="50" borderId="34" xfId="0" applyNumberFormat="1" applyFill="1" applyBorder="1" applyAlignment="1">
      <alignment horizontal="left" vertical="center" wrapText="1" indent="1"/>
    </xf>
    <xf numFmtId="164" fontId="0" fillId="50" borderId="0" xfId="0" applyNumberFormat="1" applyFill="1" applyAlignment="1">
      <alignment horizontal="left" vertical="center" wrapText="1" indent="1"/>
    </xf>
    <xf numFmtId="164" fontId="0" fillId="50" borderId="88" xfId="0" applyNumberFormat="1" applyFill="1" applyBorder="1" applyAlignment="1">
      <alignment horizontal="left" vertical="center" wrapText="1" indent="1"/>
    </xf>
    <xf numFmtId="164" fontId="0" fillId="50" borderId="72" xfId="0" applyNumberFormat="1" applyFill="1" applyBorder="1" applyAlignment="1">
      <alignment horizontal="left" vertical="center" wrapText="1" indent="1"/>
    </xf>
    <xf numFmtId="164" fontId="0" fillId="50" borderId="10" xfId="0" applyNumberFormat="1" applyFill="1" applyBorder="1" applyAlignment="1">
      <alignment horizontal="left" vertical="center" wrapText="1" indent="1"/>
    </xf>
    <xf numFmtId="164" fontId="0" fillId="50" borderId="89" xfId="0" applyNumberFormat="1" applyFill="1" applyBorder="1" applyAlignment="1">
      <alignment horizontal="left" vertical="center" wrapText="1" indent="1"/>
    </xf>
    <xf numFmtId="0" fontId="82" fillId="52" borderId="0" xfId="0" applyFont="1" applyFill="1" applyAlignment="1">
      <alignment horizontal="center" vertical="center"/>
    </xf>
    <xf numFmtId="0" fontId="86" fillId="0" borderId="33" xfId="0" applyFont="1" applyBorder="1" applyAlignment="1">
      <alignment horizontal="right" vertical="center"/>
    </xf>
    <xf numFmtId="0" fontId="86" fillId="0" borderId="0" xfId="0" applyFont="1" applyAlignment="1">
      <alignment horizontal="right" vertical="center"/>
    </xf>
    <xf numFmtId="0" fontId="49" fillId="27" borderId="19" xfId="51" applyBorder="1">
      <alignment horizontal="center" vertical="center"/>
    </xf>
    <xf numFmtId="0" fontId="49" fillId="27" borderId="35" xfId="51" applyBorder="1">
      <alignment horizontal="center" vertical="center"/>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Big Number" xfId="52" xr:uid="{AE3C6FF0-5040-6E40-B614-0BB34CE6AA43}"/>
    <cellStyle name="Calculation" xfId="26" builtinId="22" customBuiltin="1"/>
    <cellStyle name="Check Cell" xfId="27" builtinId="23" customBuiltin="1"/>
    <cellStyle name="Comma" xfId="47" builtinId="3"/>
    <cellStyle name="Currency" xfId="28" builtinId="4"/>
    <cellStyle name="Currency 2" xfId="48" xr:uid="{00000000-0005-0000-0000-00001D000000}"/>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ustomBuiltin="1"/>
    <cellStyle name="Normal 2" xfId="46" xr:uid="{00000000-0005-0000-0000-000029000000}"/>
    <cellStyle name="Normal_simple-amortization" xfId="39" xr:uid="{00000000-0005-0000-0000-00002A000000}"/>
    <cellStyle name="Note" xfId="40" builtinId="10" customBuiltin="1"/>
    <cellStyle name="Output" xfId="41" builtinId="21" customBuiltin="1"/>
    <cellStyle name="Percent" xfId="42" builtinId="5"/>
    <cellStyle name="Percent 2" xfId="49" xr:uid="{00000000-0005-0000-0000-00002E000000}"/>
    <cellStyle name="Style 1" xfId="51" xr:uid="{7509832A-61C7-7044-B352-D20AC62CDCB7}"/>
    <cellStyle name="Table head 1" xfId="50" xr:uid="{EBC3C934-56F6-934B-B122-AD190CE2A6C3}"/>
    <cellStyle name="Title" xfId="43" builtinId="15" customBuiltin="1"/>
    <cellStyle name="Total" xfId="44" builtinId="25" customBuiltin="1"/>
    <cellStyle name="Warning Text" xfId="45" builtinId="11" customBuiltin="1"/>
  </cellStyles>
  <dxfs count="75">
    <dxf>
      <fill>
        <patternFill>
          <bgColor indexed="26"/>
        </patternFill>
      </fill>
    </dxf>
    <dxf>
      <fill>
        <patternFill>
          <bgColor indexed="26"/>
        </patternFill>
      </fill>
    </dxf>
    <dxf>
      <fill>
        <patternFill patternType="none"/>
      </fill>
      <border>
        <left/>
        <right/>
        <top/>
        <bottom/>
      </border>
    </dxf>
    <dxf>
      <fill>
        <patternFill>
          <bgColor indexed="13"/>
        </patternFill>
      </fill>
    </dxf>
    <dxf>
      <fill>
        <patternFill>
          <bgColor indexed="13"/>
        </patternFill>
      </fill>
    </dxf>
    <dxf>
      <fill>
        <patternFill>
          <bgColor indexed="29"/>
        </patternFill>
      </fill>
    </dxf>
    <dxf>
      <fill>
        <patternFill>
          <bgColor indexed="11"/>
        </patternFill>
      </fill>
    </dxf>
    <dxf>
      <fill>
        <patternFill>
          <bgColor indexed="29"/>
        </patternFill>
      </fill>
    </dxf>
    <dxf>
      <fill>
        <patternFill>
          <bgColor indexed="11"/>
        </patternFill>
      </fill>
    </dxf>
    <dxf>
      <fill>
        <patternFill>
          <bgColor indexed="11"/>
        </patternFill>
      </fill>
    </dxf>
    <dxf>
      <fill>
        <patternFill>
          <bgColor indexed="29"/>
        </patternFill>
      </fill>
    </dxf>
    <dxf>
      <fill>
        <patternFill>
          <bgColor indexed="13"/>
        </patternFill>
      </fill>
    </dxf>
    <dxf>
      <fill>
        <patternFill>
          <bgColor indexed="13"/>
        </patternFill>
      </fill>
    </dxf>
    <dxf>
      <fill>
        <patternFill>
          <bgColor indexed="29"/>
        </patternFill>
      </fill>
    </dxf>
    <dxf>
      <fill>
        <patternFill>
          <bgColor indexed="11"/>
        </patternFill>
      </fill>
    </dxf>
    <dxf>
      <fill>
        <patternFill>
          <bgColor indexed="11"/>
        </patternFill>
      </fill>
    </dxf>
    <dxf>
      <fill>
        <patternFill>
          <bgColor indexed="29"/>
        </patternFill>
      </fill>
    </dxf>
    <dxf>
      <fill>
        <patternFill>
          <bgColor indexed="11"/>
        </patternFill>
      </fill>
    </dxf>
    <dxf>
      <fill>
        <patternFill>
          <bgColor indexed="29"/>
        </patternFill>
      </fill>
    </dxf>
    <dxf>
      <fill>
        <patternFill patternType="darkTrellis"/>
      </fill>
    </dxf>
    <dxf>
      <fill>
        <patternFill>
          <bgColor rgb="FFFFFF00"/>
        </patternFill>
      </fill>
    </dxf>
    <dxf>
      <fill>
        <patternFill>
          <bgColor indexed="11"/>
        </patternFill>
      </fill>
    </dxf>
    <dxf>
      <fill>
        <patternFill>
          <bgColor rgb="FFFFC000"/>
        </patternFill>
      </fill>
    </dxf>
    <dxf>
      <fill>
        <patternFill>
          <bgColor indexed="11"/>
        </patternFill>
      </fill>
    </dxf>
    <dxf>
      <fill>
        <patternFill>
          <bgColor indexed="29"/>
        </patternFill>
      </fill>
    </dxf>
    <dxf>
      <fill>
        <patternFill>
          <bgColor indexed="11"/>
        </patternFill>
      </fill>
    </dxf>
    <dxf>
      <fill>
        <patternFill>
          <bgColor rgb="FFFFC000"/>
        </patternFill>
      </fill>
    </dxf>
    <dxf>
      <fill>
        <patternFill>
          <bgColor indexed="13"/>
        </patternFill>
      </fill>
    </dxf>
    <dxf>
      <fill>
        <patternFill>
          <bgColor indexed="13"/>
        </patternFill>
      </fill>
    </dxf>
    <dxf>
      <fill>
        <patternFill>
          <bgColor indexed="11"/>
        </patternFill>
      </fill>
    </dxf>
    <dxf>
      <fill>
        <patternFill>
          <bgColor indexed="29"/>
        </patternFill>
      </fill>
    </dxf>
    <dxf>
      <fill>
        <patternFill>
          <bgColor indexed="11"/>
        </patternFill>
      </fill>
    </dxf>
    <dxf>
      <fill>
        <patternFill>
          <bgColor indexed="29"/>
        </patternFill>
      </fill>
    </dxf>
    <dxf>
      <fill>
        <patternFill>
          <bgColor indexed="11"/>
        </patternFill>
      </fill>
    </dxf>
    <dxf>
      <fill>
        <patternFill>
          <bgColor indexed="29"/>
        </patternFill>
      </fill>
    </dxf>
    <dxf>
      <fill>
        <patternFill>
          <bgColor indexed="11"/>
        </patternFill>
      </fill>
    </dxf>
    <dxf>
      <fill>
        <patternFill>
          <bgColor indexed="29"/>
        </patternFill>
      </fill>
    </dxf>
    <dxf>
      <fill>
        <patternFill>
          <bgColor rgb="FFFF7F7F"/>
        </patternFill>
      </fill>
    </dxf>
    <dxf>
      <fill>
        <patternFill>
          <bgColor indexed="11"/>
        </patternFill>
      </fill>
    </dxf>
    <dxf>
      <fill>
        <patternFill>
          <bgColor theme="7"/>
        </patternFill>
      </fill>
    </dxf>
    <dxf>
      <fill>
        <patternFill>
          <bgColor indexed="11"/>
        </patternFill>
      </fill>
    </dxf>
    <dxf>
      <fill>
        <patternFill>
          <bgColor rgb="FFFFC000"/>
        </patternFill>
      </fill>
    </dxf>
    <dxf>
      <fill>
        <patternFill>
          <bgColor indexed="11"/>
        </patternFill>
      </fill>
    </dxf>
    <dxf>
      <fill>
        <patternFill>
          <bgColor indexed="29"/>
        </patternFill>
      </fill>
    </dxf>
    <dxf>
      <fill>
        <patternFill>
          <bgColor indexed="29"/>
        </patternFill>
      </fill>
    </dxf>
    <dxf>
      <fill>
        <patternFill>
          <bgColor indexed="11"/>
        </patternFill>
      </fill>
    </dxf>
    <dxf>
      <fill>
        <patternFill>
          <bgColor indexed="11"/>
        </patternFill>
      </fill>
    </dxf>
    <dxf>
      <fill>
        <patternFill>
          <bgColor indexed="29"/>
        </patternFill>
      </fill>
    </dxf>
    <dxf>
      <fill>
        <patternFill>
          <bgColor rgb="FFFFC000"/>
        </patternFill>
      </fill>
    </dxf>
    <dxf>
      <fill>
        <patternFill>
          <bgColor indexed="11"/>
        </patternFill>
      </fill>
    </dxf>
    <dxf>
      <fill>
        <patternFill>
          <bgColor indexed="11"/>
        </patternFill>
      </fill>
    </dxf>
    <dxf>
      <fill>
        <patternFill>
          <bgColor indexed="29"/>
        </patternFill>
      </fill>
    </dxf>
    <dxf>
      <font>
        <color rgb="FF0000FF"/>
      </font>
      <fill>
        <patternFill patternType="none">
          <bgColor auto="1"/>
        </patternFill>
      </fill>
    </dxf>
    <dxf>
      <fill>
        <patternFill>
          <bgColor indexed="11"/>
        </patternFill>
      </fill>
    </dxf>
    <dxf>
      <fill>
        <patternFill>
          <bgColor rgb="FFFFC000"/>
        </patternFill>
      </fill>
    </dxf>
    <dxf>
      <fill>
        <patternFill>
          <bgColor indexed="11"/>
        </patternFill>
      </fill>
    </dxf>
    <dxf>
      <fill>
        <patternFill>
          <bgColor rgb="FFFFC000"/>
        </patternFill>
      </fill>
    </dxf>
    <dxf>
      <fill>
        <patternFill>
          <bgColor indexed="11"/>
        </patternFill>
      </fill>
    </dxf>
    <dxf>
      <fill>
        <patternFill>
          <bgColor rgb="FFFFC000"/>
        </patternFill>
      </fill>
    </dxf>
    <dxf>
      <fill>
        <patternFill>
          <bgColor rgb="FFFFC000"/>
        </patternFill>
      </fill>
    </dxf>
    <dxf>
      <fill>
        <patternFill>
          <bgColor indexed="11"/>
        </patternFill>
      </fill>
    </dxf>
    <dxf>
      <fill>
        <patternFill>
          <bgColor indexed="11"/>
        </patternFill>
      </fill>
    </dxf>
    <dxf>
      <fill>
        <patternFill>
          <bgColor rgb="FFFFC000"/>
        </patternFill>
      </fill>
    </dxf>
    <dxf>
      <fill>
        <patternFill>
          <bgColor indexed="29"/>
        </patternFill>
      </fill>
    </dxf>
    <dxf>
      <fill>
        <patternFill>
          <bgColor indexed="11"/>
        </patternFill>
      </fill>
    </dxf>
    <dxf>
      <fill>
        <patternFill>
          <bgColor indexed="11"/>
        </patternFill>
      </fill>
    </dxf>
    <dxf>
      <fill>
        <patternFill>
          <bgColor indexed="29"/>
        </patternFill>
      </fill>
    </dxf>
    <dxf>
      <fill>
        <patternFill>
          <bgColor indexed="11"/>
        </patternFill>
      </fill>
    </dxf>
    <dxf>
      <fill>
        <patternFill>
          <bgColor indexed="29"/>
        </patternFill>
      </fill>
    </dxf>
    <dxf>
      <fill>
        <patternFill>
          <bgColor indexed="29"/>
        </patternFill>
      </fill>
    </dxf>
    <dxf>
      <fill>
        <patternFill>
          <bgColor indexed="11"/>
        </patternFill>
      </fill>
    </dxf>
    <dxf>
      <fill>
        <patternFill>
          <bgColor indexed="11"/>
        </patternFill>
      </fill>
    </dxf>
    <dxf>
      <fill>
        <patternFill>
          <bgColor indexed="29"/>
        </patternFill>
      </fill>
    </dxf>
    <dxf>
      <fill>
        <patternFill>
          <bgColor indexed="29"/>
        </patternFill>
      </fill>
    </dxf>
    <dxf>
      <fill>
        <patternFill>
          <bgColor indexed="1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EE5D8B"/>
      <rgbColor rgb="0053D4C9"/>
      <rgbColor rgb="00631F34"/>
      <rgbColor rgb="00008000"/>
      <rgbColor rgb="00002850"/>
      <rgbColor rgb="00819C00"/>
      <rgbColor rgb="00B17B4E"/>
      <rgbColor rgb="00007F74"/>
      <rgbColor rgb="00EEEEEE"/>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CCFFCC"/>
      <rgbColor rgb="00FFFFCC"/>
      <rgbColor rgb="00BBCCDD"/>
      <rgbColor rgb="00F9C7D7"/>
      <rgbColor rgb="00EFE5DC"/>
      <rgbColor rgb="00E0E3EC"/>
      <rgbColor rgb="003E70A1"/>
      <rgbColor rgb="0036ACA2"/>
      <rgbColor rgb="00AEC53D"/>
      <rgbColor rgb="00BBC1D5"/>
      <rgbColor rgb="007D89AF"/>
      <rgbColor rgb="004C577C"/>
      <rgbColor rgb="006A4A2F"/>
      <rgbColor rgb="00B2B2B2"/>
      <rgbColor rgb="00003366"/>
      <rgbColor rgb="0036AD36"/>
      <rgbColor rgb="001B571B"/>
      <rgbColor rgb="0058631F"/>
      <rgbColor rgb="0030374E"/>
      <rgbColor rgb="00D0B095"/>
      <rgbColor rgb="00231910"/>
      <rgbColor rgb="00333333"/>
    </indexedColors>
    <mruColors>
      <color rgb="FF0000FF"/>
      <color rgb="FF757171"/>
      <color rgb="FFFF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xdr:col>
      <xdr:colOff>0</xdr:colOff>
      <xdr:row>11</xdr:row>
      <xdr:rowOff>209550</xdr:rowOff>
    </xdr:from>
    <xdr:to>
      <xdr:col>1</xdr:col>
      <xdr:colOff>2143125</xdr:colOff>
      <xdr:row>16</xdr:row>
      <xdr:rowOff>123825</xdr:rowOff>
    </xdr:to>
    <xdr:pic>
      <xdr:nvPicPr>
        <xdr:cNvPr id="2" name="image1.jpg" descr="Signature">
          <a:extLst>
            <a:ext uri="{FF2B5EF4-FFF2-40B4-BE49-F238E27FC236}">
              <a16:creationId xmlns:a16="http://schemas.microsoft.com/office/drawing/2014/main" id="{D26CAE8D-9617-4D4D-B040-98F857F36BE7}"/>
            </a:ext>
          </a:extLst>
        </xdr:cNvPr>
        <xdr:cNvPicPr preferRelativeResize="0"/>
      </xdr:nvPicPr>
      <xdr:blipFill>
        <a:blip xmlns:r="http://schemas.openxmlformats.org/officeDocument/2006/relationships" r:embed="rId1" cstate="print"/>
        <a:stretch>
          <a:fillRect/>
        </a:stretch>
      </xdr:blipFill>
      <xdr:spPr>
        <a:xfrm>
          <a:off x="609600" y="3124200"/>
          <a:ext cx="2143125" cy="828675"/>
        </a:xfrm>
        <a:prstGeom prst="rect">
          <a:avLst/>
        </a:prstGeom>
        <a:noFill/>
      </xdr:spPr>
    </xdr:pic>
    <xdr:clientData fLocksWithSheet="0"/>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FACF251-F025-A94C-87BA-522F7D0AE6E7}">
  <we:reference id="wa200009404" version="1.0.0.8" store="en-US" storeType="OMEX"/>
  <we:alternateReferences>
    <we:reference id="wa200009404" version="1.0.0.8" store="" storeType="OMEX"/>
  </we:alternateReferences>
  <we:properties>
    <we:property name="claude.fileId" value="&quot;9292ec4b-accf-4c1b-902b-0cfe4ee275f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nar.realtor/smart_growth.nsf/docfiles/TransferTaxRates(8-05).pdf/$FILE/TransferTaxRates(8-05).pdf" TargetMode="External"/><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4" Type="http://schemas.openxmlformats.org/officeDocument/2006/relationships/printerSettings" Target="../printerSettings/printerSettings1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Z1003"/>
  <sheetViews>
    <sheetView showGridLines="0" tabSelected="1" zoomScaleNormal="100" workbookViewId="0"/>
  </sheetViews>
  <sheetFormatPr baseColWidth="10" defaultColWidth="0" defaultRowHeight="15" customHeight="1" zeroHeight="1" x14ac:dyDescent="0.15"/>
  <cols>
    <col min="1" max="1" width="3.42578125" style="8" customWidth="1"/>
    <col min="2" max="2" width="100.5703125" style="8" customWidth="1"/>
    <col min="3" max="13" width="9" style="8" customWidth="1"/>
    <col min="14" max="26" width="8.5703125" style="8" customWidth="1"/>
    <col min="27" max="16384" width="12.42578125" style="8" hidden="1"/>
  </cols>
  <sheetData>
    <row r="1" spans="1:26" s="788" customFormat="1" ht="23" customHeight="1" x14ac:dyDescent="0.2">
      <c r="A1" s="783"/>
      <c r="B1" s="519" t="s">
        <v>495</v>
      </c>
      <c r="C1" s="784" t="s">
        <v>659</v>
      </c>
      <c r="D1" s="785"/>
      <c r="E1" s="785"/>
      <c r="F1" s="785"/>
      <c r="G1" s="785"/>
      <c r="H1" s="786"/>
      <c r="I1" s="787"/>
      <c r="J1" s="787"/>
      <c r="K1" s="787"/>
      <c r="L1" s="787"/>
      <c r="M1" s="787"/>
      <c r="N1" s="786"/>
      <c r="O1" s="786"/>
      <c r="P1" s="786"/>
      <c r="Q1" s="786"/>
      <c r="R1" s="786"/>
      <c r="S1" s="786"/>
      <c r="T1" s="786"/>
      <c r="U1" s="786"/>
      <c r="V1" s="786"/>
      <c r="W1" s="786"/>
      <c r="X1" s="786"/>
      <c r="Y1" s="786"/>
      <c r="Z1" s="786"/>
    </row>
    <row r="2" spans="1:26" customFormat="1" ht="16" x14ac:dyDescent="0.2"/>
    <row r="3" spans="1:26" customFormat="1" ht="18" x14ac:dyDescent="0.2">
      <c r="B3" s="46" t="s">
        <v>496</v>
      </c>
    </row>
    <row r="4" spans="1:26" ht="12.75" customHeight="1" x14ac:dyDescent="0.15">
      <c r="A4" s="6"/>
      <c r="B4" s="6"/>
      <c r="C4" s="5"/>
      <c r="D4" s="6"/>
      <c r="E4" s="6"/>
      <c r="F4" s="6"/>
      <c r="G4" s="6"/>
      <c r="H4" s="7"/>
      <c r="I4" s="7"/>
      <c r="J4" s="7"/>
      <c r="K4" s="7"/>
      <c r="L4" s="7"/>
      <c r="M4" s="7"/>
      <c r="N4" s="6"/>
      <c r="O4" s="6"/>
      <c r="P4" s="6"/>
      <c r="Q4" s="6"/>
      <c r="R4" s="6"/>
      <c r="S4" s="6"/>
      <c r="T4" s="6"/>
      <c r="U4" s="6"/>
      <c r="V4" s="6"/>
      <c r="W4" s="6"/>
      <c r="X4" s="6"/>
      <c r="Y4" s="6"/>
      <c r="Z4" s="6"/>
    </row>
    <row r="5" spans="1:26" ht="153" x14ac:dyDescent="0.15">
      <c r="A5" s="6"/>
      <c r="B5" t="s">
        <v>497</v>
      </c>
      <c r="C5" s="5"/>
      <c r="D5" s="6"/>
      <c r="E5" s="6"/>
      <c r="F5" s="6"/>
      <c r="G5" s="6"/>
      <c r="H5" s="7"/>
      <c r="I5" s="7"/>
      <c r="J5" s="7"/>
      <c r="K5" s="7"/>
      <c r="L5" s="7"/>
      <c r="M5" s="7"/>
      <c r="N5" s="6"/>
      <c r="O5" s="6"/>
      <c r="P5" s="6"/>
      <c r="Q5" s="6"/>
      <c r="R5" s="6"/>
      <c r="S5" s="6"/>
      <c r="T5" s="6"/>
      <c r="U5" s="6"/>
      <c r="V5" s="6"/>
      <c r="W5" s="6"/>
      <c r="X5" s="6"/>
      <c r="Y5" s="6"/>
      <c r="Z5" s="6"/>
    </row>
    <row r="6" spans="1:26" ht="17" x14ac:dyDescent="0.15">
      <c r="A6" s="6"/>
      <c r="B6" s="42" t="str">
        <f>HYPERLINK("https://courses.themichaelblank.com/users/sign_in","To get started, please watch the training videos, which you can access here.")</f>
        <v>To get started, please watch the training videos, which you can access here.</v>
      </c>
      <c r="C6" s="5"/>
      <c r="D6" s="6"/>
      <c r="E6" s="6"/>
      <c r="F6" s="6"/>
      <c r="G6" s="6"/>
      <c r="H6" s="7"/>
      <c r="I6" s="7"/>
      <c r="J6" s="7"/>
      <c r="K6" s="7"/>
      <c r="L6" s="7"/>
      <c r="M6" s="7"/>
      <c r="N6" s="6"/>
      <c r="O6" s="6"/>
      <c r="P6" s="6"/>
      <c r="Q6" s="6"/>
      <c r="R6" s="6"/>
      <c r="S6" s="6"/>
      <c r="T6" s="6"/>
      <c r="U6" s="6"/>
      <c r="V6" s="6"/>
      <c r="W6" s="6"/>
      <c r="X6" s="6"/>
      <c r="Y6" s="6"/>
      <c r="Z6" s="6"/>
    </row>
    <row r="7" spans="1:26" ht="51" x14ac:dyDescent="0.15">
      <c r="A7" s="6"/>
      <c r="B7" t="s">
        <v>246</v>
      </c>
      <c r="C7" s="5"/>
      <c r="D7" s="6"/>
      <c r="E7" s="6"/>
      <c r="F7" s="6"/>
      <c r="G7" s="6"/>
      <c r="H7" s="7"/>
      <c r="I7" s="7"/>
      <c r="J7" s="7"/>
      <c r="K7" s="7"/>
      <c r="L7" s="7"/>
      <c r="M7" s="7"/>
      <c r="N7" s="6"/>
      <c r="O7" s="6"/>
      <c r="P7" s="6"/>
      <c r="Q7" s="6"/>
      <c r="R7" s="6"/>
      <c r="S7" s="6"/>
      <c r="T7" s="6"/>
      <c r="U7" s="6"/>
      <c r="V7" s="6"/>
      <c r="W7" s="6"/>
      <c r="X7" s="6"/>
      <c r="Y7" s="6"/>
      <c r="Z7" s="6"/>
    </row>
    <row r="8" spans="1:26" ht="14" x14ac:dyDescent="0.15">
      <c r="A8" s="6"/>
      <c r="B8" s="17" t="str">
        <f>HYPERLINK("http://www.themichaelblank.com/dmm","Learn More About the Deal Maker's Mastermind.")</f>
        <v>Learn More About the Deal Maker's Mastermind.</v>
      </c>
      <c r="C8" s="5"/>
      <c r="D8" s="6"/>
      <c r="E8" s="6"/>
      <c r="F8" s="6"/>
      <c r="G8" s="6"/>
      <c r="H8" s="7"/>
      <c r="I8" s="7"/>
      <c r="J8" s="7"/>
      <c r="K8" s="7"/>
      <c r="L8" s="7"/>
      <c r="M8" s="7"/>
      <c r="N8" s="6"/>
      <c r="O8" s="6"/>
      <c r="P8" s="6"/>
      <c r="Q8" s="6"/>
      <c r="R8" s="6"/>
      <c r="S8" s="6"/>
      <c r="T8" s="6"/>
      <c r="U8" s="6"/>
      <c r="V8" s="6"/>
      <c r="W8" s="6"/>
      <c r="X8" s="6"/>
      <c r="Y8" s="6"/>
      <c r="Z8" s="6"/>
    </row>
    <row r="9" spans="1:26" ht="16" x14ac:dyDescent="0.15">
      <c r="A9" s="14"/>
      <c r="B9"/>
      <c r="C9" s="5"/>
      <c r="D9" s="14"/>
      <c r="E9" s="14"/>
      <c r="F9" s="14"/>
      <c r="G9" s="14"/>
      <c r="H9" s="7"/>
      <c r="I9" s="7"/>
      <c r="J9" s="7"/>
      <c r="K9" s="7"/>
      <c r="L9" s="7"/>
      <c r="M9" s="7"/>
      <c r="N9" s="14"/>
      <c r="O9" s="14"/>
      <c r="P9" s="14"/>
      <c r="Q9" s="14"/>
      <c r="R9" s="14"/>
      <c r="S9" s="14"/>
      <c r="T9" s="14"/>
      <c r="U9" s="14"/>
      <c r="V9" s="14"/>
      <c r="W9" s="14"/>
      <c r="X9" s="14"/>
      <c r="Y9" s="14"/>
      <c r="Z9" s="14"/>
    </row>
    <row r="10" spans="1:26" ht="16" x14ac:dyDescent="0.15">
      <c r="A10" s="14"/>
      <c r="B10"/>
      <c r="C10" s="5"/>
      <c r="D10" s="14"/>
      <c r="E10" s="14"/>
      <c r="F10" s="14"/>
      <c r="G10" s="14"/>
      <c r="H10" s="7"/>
      <c r="I10" s="7"/>
      <c r="J10" s="7"/>
      <c r="K10" s="7"/>
      <c r="L10" s="7"/>
      <c r="M10" s="7"/>
      <c r="N10" s="14"/>
      <c r="O10" s="14"/>
      <c r="P10" s="14"/>
      <c r="Q10" s="14"/>
      <c r="R10" s="14"/>
      <c r="S10" s="14"/>
      <c r="T10" s="14"/>
      <c r="U10" s="14"/>
      <c r="V10" s="14"/>
      <c r="W10" s="14"/>
      <c r="X10" s="14"/>
      <c r="Y10" s="14"/>
      <c r="Z10" s="14"/>
    </row>
    <row r="11" spans="1:26" ht="13" x14ac:dyDescent="0.15">
      <c r="A11" s="14"/>
      <c r="B11" s="17"/>
      <c r="C11" s="5"/>
      <c r="D11" s="14"/>
      <c r="E11" s="14"/>
      <c r="F11" s="14"/>
      <c r="G11" s="14"/>
      <c r="H11" s="7"/>
      <c r="I11" s="7"/>
      <c r="J11" s="7"/>
      <c r="K11" s="7"/>
      <c r="L11" s="7"/>
      <c r="M11" s="7"/>
      <c r="N11" s="14"/>
      <c r="O11" s="14"/>
      <c r="P11" s="14"/>
      <c r="Q11" s="14"/>
      <c r="R11" s="14"/>
      <c r="S11" s="14"/>
      <c r="T11" s="14"/>
      <c r="U11" s="14"/>
      <c r="V11" s="14"/>
      <c r="W11" s="14"/>
      <c r="X11" s="14"/>
      <c r="Y11" s="14"/>
      <c r="Z11" s="14"/>
    </row>
    <row r="12" spans="1:26" ht="14" x14ac:dyDescent="0.15">
      <c r="A12" s="6"/>
      <c r="B12" s="9" t="s">
        <v>247</v>
      </c>
      <c r="C12" s="5"/>
      <c r="D12" s="6"/>
      <c r="E12" s="6"/>
      <c r="F12" s="6"/>
      <c r="G12" s="6"/>
      <c r="H12" s="7"/>
      <c r="I12" s="7"/>
      <c r="J12" s="7"/>
      <c r="K12" s="7"/>
      <c r="L12" s="7"/>
      <c r="M12" s="7"/>
      <c r="N12" s="6"/>
      <c r="O12" s="6"/>
      <c r="P12" s="6"/>
      <c r="Q12" s="6"/>
      <c r="R12" s="6"/>
      <c r="S12" s="6"/>
      <c r="T12" s="6"/>
      <c r="U12" s="6"/>
      <c r="V12" s="6"/>
      <c r="W12" s="6"/>
      <c r="X12" s="6"/>
      <c r="Y12" s="6"/>
      <c r="Z12" s="6"/>
    </row>
    <row r="13" spans="1:26" ht="13" x14ac:dyDescent="0.15">
      <c r="A13" s="6"/>
      <c r="B13" s="45"/>
      <c r="C13" s="5"/>
      <c r="D13" s="6"/>
      <c r="E13" s="6"/>
      <c r="F13" s="6"/>
      <c r="G13" s="6"/>
      <c r="H13" s="7"/>
      <c r="I13" s="7"/>
      <c r="J13" s="7"/>
      <c r="K13" s="7"/>
      <c r="L13" s="7"/>
      <c r="M13" s="7"/>
      <c r="N13" s="6"/>
      <c r="O13" s="6"/>
      <c r="P13" s="6"/>
      <c r="Q13" s="6"/>
      <c r="R13" s="6"/>
      <c r="S13" s="6"/>
      <c r="T13" s="6"/>
      <c r="U13" s="6"/>
      <c r="V13" s="6"/>
      <c r="W13" s="6"/>
      <c r="X13" s="6"/>
      <c r="Y13" s="6"/>
      <c r="Z13" s="6"/>
    </row>
    <row r="14" spans="1:26" ht="13" x14ac:dyDescent="0.15">
      <c r="A14" s="6"/>
      <c r="B14" s="45"/>
      <c r="C14" s="5"/>
      <c r="D14" s="6"/>
      <c r="E14" s="6"/>
      <c r="F14" s="6"/>
      <c r="G14" s="6"/>
      <c r="H14" s="7"/>
      <c r="I14" s="7"/>
      <c r="J14" s="7"/>
      <c r="K14" s="7"/>
      <c r="L14" s="7"/>
      <c r="M14" s="7"/>
      <c r="N14" s="6"/>
      <c r="O14" s="6"/>
      <c r="P14" s="6"/>
      <c r="Q14" s="6"/>
      <c r="R14" s="6"/>
      <c r="S14" s="6"/>
      <c r="T14" s="6"/>
      <c r="U14" s="6"/>
      <c r="V14" s="6"/>
      <c r="W14" s="6"/>
      <c r="X14" s="6"/>
      <c r="Y14" s="6"/>
      <c r="Z14" s="6"/>
    </row>
    <row r="15" spans="1:26" ht="13" x14ac:dyDescent="0.15">
      <c r="A15" s="6"/>
      <c r="B15" s="45"/>
      <c r="C15" s="5"/>
      <c r="D15" s="6"/>
      <c r="E15" s="6"/>
      <c r="F15" s="6"/>
      <c r="G15" s="6"/>
      <c r="H15" s="7"/>
      <c r="I15" s="7"/>
      <c r="J15" s="7"/>
      <c r="K15" s="7"/>
      <c r="L15" s="7"/>
      <c r="M15" s="7"/>
      <c r="N15" s="6"/>
      <c r="O15" s="6"/>
      <c r="P15" s="6"/>
      <c r="Q15" s="6"/>
      <c r="R15" s="6"/>
      <c r="S15" s="6"/>
      <c r="T15" s="6"/>
      <c r="U15" s="6"/>
      <c r="V15" s="6"/>
      <c r="W15" s="6"/>
      <c r="X15" s="6"/>
      <c r="Y15" s="6"/>
      <c r="Z15" s="6"/>
    </row>
    <row r="16" spans="1:26" ht="13" x14ac:dyDescent="0.15">
      <c r="A16" s="6"/>
      <c r="B16" s="45"/>
      <c r="C16" s="5"/>
      <c r="D16" s="6"/>
      <c r="E16" s="6"/>
      <c r="F16" s="6"/>
      <c r="G16" s="6"/>
      <c r="H16" s="7"/>
      <c r="I16" s="7"/>
      <c r="J16" s="7"/>
      <c r="K16" s="7"/>
      <c r="L16" s="7"/>
      <c r="M16" s="7"/>
      <c r="N16" s="6"/>
      <c r="O16" s="6"/>
      <c r="P16" s="6"/>
      <c r="Q16" s="6"/>
      <c r="R16" s="6"/>
      <c r="S16" s="6"/>
      <c r="T16" s="6"/>
      <c r="U16" s="6"/>
      <c r="V16" s="6"/>
      <c r="W16" s="6"/>
      <c r="X16" s="6"/>
      <c r="Y16" s="6"/>
      <c r="Z16" s="6"/>
    </row>
    <row r="17" spans="1:26" ht="13" x14ac:dyDescent="0.15">
      <c r="A17" s="6"/>
      <c r="B17" s="45"/>
      <c r="C17" s="5"/>
      <c r="D17" s="6"/>
      <c r="E17" s="6"/>
      <c r="F17" s="6"/>
      <c r="G17" s="6"/>
      <c r="H17" s="7"/>
      <c r="I17" s="7"/>
      <c r="J17" s="7"/>
      <c r="K17" s="7"/>
      <c r="L17" s="7"/>
      <c r="M17" s="7"/>
      <c r="N17" s="6"/>
      <c r="O17" s="6"/>
      <c r="P17" s="6"/>
      <c r="Q17" s="6"/>
      <c r="R17" s="6"/>
      <c r="S17" s="6"/>
      <c r="T17" s="6"/>
      <c r="U17" s="6"/>
      <c r="V17" s="6"/>
      <c r="W17" s="6"/>
      <c r="X17" s="6"/>
      <c r="Y17" s="6"/>
      <c r="Z17" s="6"/>
    </row>
    <row r="18" spans="1:26" ht="14" x14ac:dyDescent="0.15">
      <c r="A18" s="6"/>
      <c r="B18" s="45" t="s">
        <v>238</v>
      </c>
      <c r="C18" s="5"/>
      <c r="D18" s="6"/>
      <c r="E18" s="6"/>
      <c r="F18" s="6"/>
      <c r="G18" s="6"/>
      <c r="H18" s="7"/>
      <c r="I18" s="7"/>
      <c r="J18" s="7"/>
      <c r="K18" s="7"/>
      <c r="L18" s="7"/>
      <c r="M18" s="7"/>
      <c r="N18" s="6"/>
      <c r="O18" s="6"/>
      <c r="P18" s="6"/>
      <c r="Q18" s="6"/>
      <c r="R18" s="6"/>
      <c r="S18" s="6"/>
      <c r="T18" s="6"/>
      <c r="U18" s="6"/>
      <c r="V18" s="6"/>
      <c r="W18" s="6"/>
      <c r="X18" s="6"/>
      <c r="Y18" s="6"/>
      <c r="Z18" s="6"/>
    </row>
    <row r="19" spans="1:26" ht="13" x14ac:dyDescent="0.15">
      <c r="A19" s="6"/>
      <c r="B19" s="45"/>
      <c r="C19" s="5"/>
      <c r="D19" s="6"/>
      <c r="E19" s="6"/>
      <c r="F19" s="6"/>
      <c r="G19" s="6"/>
      <c r="H19" s="7"/>
      <c r="I19" s="7"/>
      <c r="J19" s="7"/>
      <c r="K19" s="7"/>
      <c r="L19" s="7"/>
      <c r="M19" s="7"/>
      <c r="N19" s="6"/>
      <c r="O19" s="6"/>
      <c r="P19" s="6"/>
      <c r="Q19" s="6"/>
      <c r="R19" s="6"/>
      <c r="S19" s="6"/>
      <c r="T19" s="6"/>
      <c r="U19" s="6"/>
      <c r="V19" s="6"/>
      <c r="W19" s="6"/>
      <c r="X19" s="6"/>
      <c r="Y19" s="6"/>
      <c r="Z19" s="6"/>
    </row>
    <row r="20" spans="1:26" ht="13" x14ac:dyDescent="0.15">
      <c r="A20" s="6"/>
      <c r="B20" s="45"/>
      <c r="C20" s="5"/>
      <c r="D20" s="6"/>
      <c r="E20" s="6"/>
      <c r="F20" s="6"/>
      <c r="G20" s="6"/>
      <c r="H20" s="7"/>
      <c r="I20" s="7"/>
      <c r="J20" s="7"/>
      <c r="K20" s="7"/>
      <c r="L20" s="7"/>
      <c r="M20" s="7"/>
      <c r="N20" s="6"/>
      <c r="O20" s="6"/>
      <c r="P20" s="6"/>
      <c r="Q20" s="6"/>
      <c r="R20" s="6"/>
      <c r="S20" s="6"/>
      <c r="T20" s="6"/>
      <c r="U20" s="6"/>
      <c r="V20" s="6"/>
      <c r="W20" s="6"/>
      <c r="X20" s="6"/>
      <c r="Y20" s="6"/>
      <c r="Z20" s="6"/>
    </row>
    <row r="21" spans="1:26" ht="13" x14ac:dyDescent="0.15">
      <c r="A21" s="6"/>
      <c r="B21" s="45"/>
      <c r="C21" s="5"/>
      <c r="D21" s="6"/>
      <c r="E21" s="6"/>
      <c r="F21" s="6"/>
      <c r="G21" s="6"/>
      <c r="H21" s="7"/>
      <c r="I21" s="7"/>
      <c r="J21" s="7"/>
      <c r="K21" s="7"/>
      <c r="L21" s="7"/>
      <c r="M21" s="7"/>
      <c r="N21" s="6"/>
      <c r="O21" s="6"/>
      <c r="P21" s="6"/>
      <c r="Q21" s="6"/>
      <c r="R21" s="6"/>
      <c r="S21" s="6"/>
      <c r="T21" s="6"/>
      <c r="U21" s="6"/>
      <c r="V21" s="6"/>
      <c r="W21" s="6"/>
      <c r="X21" s="6"/>
      <c r="Y21" s="6"/>
      <c r="Z21" s="6"/>
    </row>
    <row r="22" spans="1:26" ht="13" x14ac:dyDescent="0.15">
      <c r="A22" s="6"/>
      <c r="B22" s="45"/>
      <c r="C22" s="5"/>
      <c r="D22" s="6"/>
      <c r="E22" s="6"/>
      <c r="F22" s="6"/>
      <c r="G22" s="6"/>
      <c r="H22" s="7"/>
      <c r="I22" s="7"/>
      <c r="J22" s="7"/>
      <c r="K22" s="7"/>
      <c r="L22" s="7"/>
      <c r="M22" s="7"/>
      <c r="N22" s="6"/>
      <c r="O22" s="6"/>
      <c r="P22" s="6"/>
      <c r="Q22" s="6"/>
      <c r="R22" s="6"/>
      <c r="S22" s="6"/>
      <c r="T22" s="6"/>
      <c r="U22" s="6"/>
      <c r="V22" s="6"/>
      <c r="W22" s="6"/>
      <c r="X22" s="6"/>
      <c r="Y22" s="6"/>
      <c r="Z22" s="6"/>
    </row>
    <row r="23" spans="1:26" ht="12.75" customHeight="1" x14ac:dyDescent="0.15">
      <c r="A23" s="6"/>
      <c r="B23" s="6"/>
      <c r="C23" s="5"/>
      <c r="D23" s="6"/>
      <c r="E23" s="6"/>
      <c r="F23" s="6"/>
      <c r="G23" s="6"/>
      <c r="H23" s="7"/>
      <c r="I23" s="7"/>
      <c r="J23" s="7"/>
      <c r="K23" s="7"/>
      <c r="L23" s="7"/>
      <c r="M23" s="7"/>
      <c r="N23" s="6"/>
      <c r="O23" s="6"/>
      <c r="P23" s="6"/>
      <c r="Q23" s="6"/>
      <c r="R23" s="6"/>
      <c r="S23" s="6"/>
      <c r="T23" s="6"/>
      <c r="U23" s="6"/>
      <c r="V23" s="6"/>
      <c r="W23" s="6"/>
      <c r="X23" s="6"/>
      <c r="Y23" s="6"/>
      <c r="Z23" s="6"/>
    </row>
    <row r="24" spans="1:26" ht="12.75" customHeight="1" x14ac:dyDescent="0.15">
      <c r="A24" s="6"/>
      <c r="B24" s="6"/>
      <c r="C24" s="5"/>
      <c r="D24" s="6"/>
      <c r="E24" s="6"/>
      <c r="F24" s="6"/>
      <c r="G24" s="6"/>
      <c r="H24" s="7"/>
      <c r="I24" s="7"/>
      <c r="J24" s="7"/>
      <c r="K24" s="7"/>
      <c r="L24" s="7"/>
      <c r="M24" s="7"/>
      <c r="N24" s="6"/>
      <c r="O24" s="6"/>
      <c r="P24" s="6"/>
      <c r="Q24" s="6"/>
      <c r="R24" s="6"/>
      <c r="S24" s="6"/>
      <c r="T24" s="6"/>
      <c r="U24" s="6"/>
      <c r="V24" s="6"/>
      <c r="W24" s="6"/>
      <c r="X24" s="6"/>
      <c r="Y24" s="6"/>
      <c r="Z24" s="6"/>
    </row>
    <row r="25" spans="1:26" ht="12.75" customHeight="1" x14ac:dyDescent="0.15">
      <c r="A25" s="6"/>
      <c r="B25" s="6"/>
      <c r="C25" s="5"/>
      <c r="D25" s="6"/>
      <c r="E25" s="6"/>
      <c r="F25" s="6"/>
      <c r="G25" s="6"/>
      <c r="H25" s="7"/>
      <c r="I25" s="7"/>
      <c r="J25" s="7"/>
      <c r="K25" s="7"/>
      <c r="L25" s="7"/>
      <c r="M25" s="7"/>
      <c r="N25" s="6"/>
      <c r="O25" s="6"/>
      <c r="P25" s="6"/>
      <c r="Q25" s="6"/>
      <c r="R25" s="6"/>
      <c r="S25" s="6"/>
      <c r="T25" s="6"/>
      <c r="U25" s="6"/>
      <c r="V25" s="6"/>
      <c r="W25" s="6"/>
      <c r="X25" s="6"/>
      <c r="Y25" s="6"/>
      <c r="Z25" s="6"/>
    </row>
    <row r="26" spans="1:26" ht="12.75" customHeight="1" x14ac:dyDescent="0.1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2.75" customHeight="1" x14ac:dyDescent="0.1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2.75" customHeight="1" x14ac:dyDescent="0.1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2.75" customHeight="1" x14ac:dyDescent="0.1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2.75" customHeight="1" x14ac:dyDescent="0.1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2.75" customHeight="1" x14ac:dyDescent="0.15">
      <c r="A31" s="6"/>
      <c r="B31" s="14"/>
      <c r="C31" s="6"/>
      <c r="D31" s="6"/>
      <c r="E31" s="6"/>
      <c r="F31" s="6"/>
      <c r="G31" s="6"/>
      <c r="H31" s="6"/>
      <c r="I31" s="6"/>
      <c r="J31" s="6"/>
      <c r="K31" s="6"/>
      <c r="L31" s="6"/>
      <c r="M31" s="6"/>
      <c r="N31" s="6"/>
      <c r="O31" s="6"/>
      <c r="P31" s="6"/>
      <c r="Q31" s="6"/>
      <c r="R31" s="6"/>
      <c r="S31" s="6"/>
      <c r="T31" s="6"/>
      <c r="U31" s="6"/>
      <c r="V31" s="6"/>
      <c r="W31" s="6"/>
      <c r="X31" s="6"/>
      <c r="Y31" s="6"/>
      <c r="Z31" s="6"/>
    </row>
    <row r="32" spans="1:26" ht="12.75" customHeight="1" x14ac:dyDescent="0.1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2.75" customHeight="1" x14ac:dyDescent="0.1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2.75" customHeight="1" x14ac:dyDescent="0.1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2.7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2.75" customHeight="1" x14ac:dyDescent="0.1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2.75" customHeight="1" x14ac:dyDescent="0.1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2.75" customHeight="1" x14ac:dyDescent="0.1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2.75" customHeight="1" x14ac:dyDescent="0.1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2.75" customHeight="1" x14ac:dyDescent="0.1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2.75" customHeight="1" x14ac:dyDescent="0.1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2.75" customHeight="1" x14ac:dyDescent="0.1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2.75" customHeight="1" x14ac:dyDescent="0.1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2.75" customHeight="1" x14ac:dyDescent="0.1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2.75" customHeight="1" x14ac:dyDescent="0.1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2.75" customHeight="1" x14ac:dyDescent="0.1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2.75" customHeight="1" x14ac:dyDescent="0.1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2.75" customHeight="1" x14ac:dyDescent="0.1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2.75" customHeight="1" x14ac:dyDescent="0.1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2.75" customHeight="1" x14ac:dyDescent="0.1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2.75" customHeight="1" x14ac:dyDescent="0.1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2.75" customHeight="1" x14ac:dyDescent="0.1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2.75" customHeight="1" x14ac:dyDescent="0.1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2.75" customHeight="1" x14ac:dyDescent="0.1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2.75" customHeight="1" x14ac:dyDescent="0.1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2.75" customHeight="1" x14ac:dyDescent="0.1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2.75" customHeight="1" x14ac:dyDescent="0.1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2.75" customHeight="1" x14ac:dyDescent="0.1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2.75" customHeight="1" x14ac:dyDescent="0.1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2.75" customHeight="1" x14ac:dyDescent="0.1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2.75" customHeight="1" x14ac:dyDescent="0.1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2.75" customHeight="1" x14ac:dyDescent="0.1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2.75" customHeight="1" x14ac:dyDescent="0.1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2.75" customHeight="1" x14ac:dyDescent="0.1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2.75" customHeight="1" x14ac:dyDescent="0.1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2.75" customHeight="1" x14ac:dyDescent="0.1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2.75" customHeight="1" x14ac:dyDescent="0.1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2.75" customHeight="1" x14ac:dyDescent="0.1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2.75" customHeight="1" x14ac:dyDescent="0.1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2.75" customHeight="1" x14ac:dyDescent="0.1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2.75" customHeight="1" x14ac:dyDescent="0.1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2.75" customHeight="1" x14ac:dyDescent="0.1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2.75" customHeight="1" x14ac:dyDescent="0.1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2.75" customHeight="1" x14ac:dyDescent="0.1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2.75" customHeight="1" x14ac:dyDescent="0.1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2.75" customHeight="1" x14ac:dyDescent="0.1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2.75" customHeight="1" x14ac:dyDescent="0.1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2.75" customHeight="1" x14ac:dyDescent="0.1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2.75" customHeight="1" x14ac:dyDescent="0.1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2.75" customHeight="1" x14ac:dyDescent="0.1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2.75" hidden="1" customHeight="1" x14ac:dyDescent="0.1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2.75" hidden="1" customHeight="1" x14ac:dyDescent="0.1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2.75" hidden="1" customHeight="1" x14ac:dyDescent="0.1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2.75" hidden="1" customHeight="1" x14ac:dyDescent="0.1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2.75" hidden="1" customHeight="1" x14ac:dyDescent="0.1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2.75" hidden="1" customHeight="1" x14ac:dyDescent="0.1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2.75" hidden="1" customHeight="1" x14ac:dyDescent="0.1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2.75" hidden="1" customHeight="1" x14ac:dyDescent="0.1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2.75" hidden="1" customHeight="1" x14ac:dyDescent="0.1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2.75" hidden="1" customHeight="1" x14ac:dyDescent="0.1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2.75" hidden="1" customHeight="1" x14ac:dyDescent="0.1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2.75" hidden="1" customHeight="1" x14ac:dyDescent="0.1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2.75" hidden="1" customHeight="1" x14ac:dyDescent="0.1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2.75" hidden="1" customHeight="1" x14ac:dyDescent="0.1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2.75" hidden="1" customHeight="1" x14ac:dyDescent="0.1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2.75" hidden="1" customHeight="1" x14ac:dyDescent="0.1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2.75" hidden="1" customHeight="1" x14ac:dyDescent="0.1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2.75" hidden="1" customHeight="1" x14ac:dyDescent="0.1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2.75" hidden="1" customHeight="1" x14ac:dyDescent="0.1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2.75" hidden="1" customHeight="1" x14ac:dyDescent="0.1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2.75" hidden="1" customHeight="1" x14ac:dyDescent="0.1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2.75" hidden="1" customHeight="1" x14ac:dyDescent="0.1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2.75" hidden="1" customHeight="1" x14ac:dyDescent="0.1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2.75" hidden="1" customHeight="1" x14ac:dyDescent="0.1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2.75" hidden="1" customHeight="1" x14ac:dyDescent="0.1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2.75" hidden="1" customHeight="1" x14ac:dyDescent="0.1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2.75" hidden="1" customHeight="1" x14ac:dyDescent="0.1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2.75" hidden="1" customHeight="1" x14ac:dyDescent="0.1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2.75" hidden="1" customHeight="1" x14ac:dyDescent="0.1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2.75" hidden="1" customHeight="1" x14ac:dyDescent="0.1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2.75" hidden="1" customHeight="1" x14ac:dyDescent="0.1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2.75" hidden="1" customHeight="1" x14ac:dyDescent="0.1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2.75" hidden="1" customHeight="1" x14ac:dyDescent="0.1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2.75" hidden="1" customHeight="1" x14ac:dyDescent="0.1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2.75" hidden="1" customHeight="1" x14ac:dyDescent="0.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2.75" hidden="1" customHeight="1" x14ac:dyDescent="0.1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2.75" hidden="1" customHeight="1" x14ac:dyDescent="0.1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2.75" hidden="1" customHeight="1" x14ac:dyDescent="0.1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2.75" hidden="1" customHeight="1" x14ac:dyDescent="0.1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2.75" hidden="1" customHeight="1" x14ac:dyDescent="0.1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2.75" hidden="1" customHeight="1" x14ac:dyDescent="0.1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2.75" hidden="1" customHeight="1" x14ac:dyDescent="0.1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2.75" hidden="1" customHeight="1" x14ac:dyDescent="0.1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2.75" hidden="1" customHeight="1" x14ac:dyDescent="0.1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2.75" hidden="1" customHeight="1" x14ac:dyDescent="0.1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2.75" hidden="1" customHeight="1" x14ac:dyDescent="0.1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2.75" hidden="1" customHeight="1" x14ac:dyDescent="0.1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2.75" hidden="1" customHeight="1" x14ac:dyDescent="0.1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2.75" hidden="1" customHeight="1" x14ac:dyDescent="0.1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2.75" hidden="1" customHeight="1" x14ac:dyDescent="0.1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2.75" hidden="1" customHeight="1" x14ac:dyDescent="0.1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2.75" hidden="1" customHeight="1" x14ac:dyDescent="0.1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2.75" hidden="1" customHeight="1" x14ac:dyDescent="0.1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2.75" hidden="1" customHeight="1" x14ac:dyDescent="0.1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2.75" hidden="1" customHeight="1" x14ac:dyDescent="0.1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2.75" hidden="1" customHeight="1" x14ac:dyDescent="0.1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2.75" hidden="1" customHeight="1" x14ac:dyDescent="0.1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2.75" hidden="1" customHeight="1" x14ac:dyDescent="0.1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2.75" hidden="1" customHeight="1" x14ac:dyDescent="0.1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2.75" hidden="1" customHeight="1" x14ac:dyDescent="0.1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2.75" hidden="1" customHeight="1" x14ac:dyDescent="0.1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2.75" hidden="1" customHeight="1" x14ac:dyDescent="0.1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2.75" hidden="1" customHeight="1" x14ac:dyDescent="0.1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2.75" hidden="1" customHeight="1" x14ac:dyDescent="0.1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2.75" hidden="1" customHeight="1" x14ac:dyDescent="0.1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2.75" hidden="1" customHeight="1" x14ac:dyDescent="0.1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2.75" hidden="1" customHeight="1" x14ac:dyDescent="0.1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2.75" hidden="1" customHeight="1" x14ac:dyDescent="0.1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2.75" hidden="1" customHeight="1" x14ac:dyDescent="0.1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2.75" hidden="1" customHeight="1" x14ac:dyDescent="0.1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2.75" hidden="1" customHeight="1" x14ac:dyDescent="0.1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2.75" hidden="1" customHeight="1" x14ac:dyDescent="0.1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2.75" hidden="1" customHeight="1" x14ac:dyDescent="0.1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2.75" hidden="1" customHeight="1" x14ac:dyDescent="0.1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2.75" hidden="1" customHeight="1" x14ac:dyDescent="0.1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2.75" hidden="1" customHeight="1" x14ac:dyDescent="0.1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2.75" hidden="1" customHeight="1" x14ac:dyDescent="0.1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2.75" hidden="1" customHeight="1" x14ac:dyDescent="0.1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2.75" hidden="1" customHeight="1" x14ac:dyDescent="0.1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2.75" hidden="1" customHeight="1" x14ac:dyDescent="0.1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2.75" hidden="1" customHeight="1" x14ac:dyDescent="0.1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2.75" hidden="1" customHeight="1" x14ac:dyDescent="0.1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2.75" hidden="1" customHeight="1" x14ac:dyDescent="0.1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2.75" hidden="1" customHeight="1" x14ac:dyDescent="0.1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2.75" hidden="1" customHeight="1" x14ac:dyDescent="0.1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2.75" hidden="1" customHeight="1" x14ac:dyDescent="0.1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2.75" hidden="1" customHeight="1" x14ac:dyDescent="0.1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2.75" hidden="1" customHeight="1" x14ac:dyDescent="0.1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2.75" hidden="1" customHeight="1" x14ac:dyDescent="0.1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2.75" hidden="1" customHeight="1" x14ac:dyDescent="0.1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2.75" hidden="1" customHeight="1" x14ac:dyDescent="0.1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2.75" hidden="1" customHeight="1" x14ac:dyDescent="0.1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2.75" hidden="1" customHeight="1" x14ac:dyDescent="0.1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2.75" hidden="1" customHeight="1" x14ac:dyDescent="0.1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2.75" hidden="1" customHeight="1" x14ac:dyDescent="0.1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2.75" hidden="1" customHeight="1" x14ac:dyDescent="0.1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2.75" hidden="1" customHeight="1" x14ac:dyDescent="0.1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2.75" hidden="1" customHeight="1" x14ac:dyDescent="0.1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2.75" hidden="1" customHeight="1" x14ac:dyDescent="0.1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2.75" hidden="1" customHeight="1" x14ac:dyDescent="0.1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2.75" hidden="1" customHeight="1" x14ac:dyDescent="0.1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2.75" hidden="1" customHeight="1" x14ac:dyDescent="0.1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2.75" hidden="1" customHeight="1" x14ac:dyDescent="0.1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2.75" hidden="1" customHeight="1" x14ac:dyDescent="0.1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2.75" hidden="1" customHeight="1" x14ac:dyDescent="0.1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2.75" hidden="1" customHeight="1" x14ac:dyDescent="0.1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2.75" hidden="1" customHeight="1" x14ac:dyDescent="0.1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2.75" hidden="1" customHeight="1" x14ac:dyDescent="0.1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2.75" hidden="1" customHeight="1" x14ac:dyDescent="0.1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2.75" hidden="1" customHeight="1" x14ac:dyDescent="0.1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2.75" hidden="1" customHeight="1" x14ac:dyDescent="0.1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2.75" hidden="1" customHeight="1" x14ac:dyDescent="0.1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2.75" hidden="1" customHeight="1" x14ac:dyDescent="0.1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2.75" hidden="1" customHeight="1" x14ac:dyDescent="0.1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2.75" hidden="1" customHeight="1" x14ac:dyDescent="0.1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2.75" hidden="1" customHeight="1" x14ac:dyDescent="0.1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2.75" hidden="1" customHeight="1" x14ac:dyDescent="0.1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2.75" hidden="1" customHeight="1" x14ac:dyDescent="0.1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2.75" hidden="1" customHeight="1" x14ac:dyDescent="0.1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2.75" hidden="1" customHeight="1" x14ac:dyDescent="0.1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2.75" hidden="1" customHeight="1" x14ac:dyDescent="0.1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2.75" hidden="1" customHeight="1" x14ac:dyDescent="0.1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2.75" hidden="1" customHeight="1" x14ac:dyDescent="0.1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2.75" hidden="1" customHeight="1" x14ac:dyDescent="0.1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2.75" hidden="1" customHeight="1" x14ac:dyDescent="0.1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2.75" hidden="1" customHeight="1" x14ac:dyDescent="0.1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2.75" hidden="1" customHeight="1" x14ac:dyDescent="0.1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2.75" hidden="1" customHeight="1" x14ac:dyDescent="0.1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2.75" hidden="1" customHeight="1" x14ac:dyDescent="0.1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2.75" hidden="1" customHeight="1" x14ac:dyDescent="0.1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2.75" hidden="1" customHeight="1" x14ac:dyDescent="0.1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2.75" hidden="1" customHeight="1" x14ac:dyDescent="0.1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2.75" hidden="1" customHeight="1" x14ac:dyDescent="0.1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2.75" hidden="1" customHeight="1" x14ac:dyDescent="0.1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2.75" hidden="1" customHeight="1" x14ac:dyDescent="0.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2.75" hidden="1" customHeight="1" x14ac:dyDescent="0.1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2.75" hidden="1" customHeight="1" x14ac:dyDescent="0.1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2.75" hidden="1" customHeight="1" x14ac:dyDescent="0.1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2.75" hidden="1" customHeight="1" x14ac:dyDescent="0.1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2.75" hidden="1" customHeight="1" x14ac:dyDescent="0.1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2.75" hidden="1" customHeight="1" x14ac:dyDescent="0.1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2.75" hidden="1" customHeight="1" x14ac:dyDescent="0.1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2.75" hidden="1" customHeight="1" x14ac:dyDescent="0.1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2.75" hidden="1" customHeight="1" x14ac:dyDescent="0.1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2.75" hidden="1" customHeight="1" x14ac:dyDescent="0.1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2.75" hidden="1" customHeight="1" x14ac:dyDescent="0.1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2.75" hidden="1" customHeight="1" x14ac:dyDescent="0.1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2.75" hidden="1" customHeight="1" x14ac:dyDescent="0.1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2.75" hidden="1" customHeight="1" x14ac:dyDescent="0.1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2.75" hidden="1" customHeight="1" x14ac:dyDescent="0.1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2.75" hidden="1" customHeight="1" x14ac:dyDescent="0.1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2.75" hidden="1" customHeight="1" x14ac:dyDescent="0.1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2.75" hidden="1" customHeight="1" x14ac:dyDescent="0.1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2.75" hidden="1" customHeight="1" x14ac:dyDescent="0.1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2.75" hidden="1" customHeight="1" x14ac:dyDescent="0.1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2.75" hidden="1" customHeight="1" x14ac:dyDescent="0.1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2.75" hidden="1" customHeight="1" x14ac:dyDescent="0.1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2.75" hidden="1" customHeight="1" x14ac:dyDescent="0.1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2.75" hidden="1" customHeight="1" x14ac:dyDescent="0.1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2.75" hidden="1" customHeight="1" x14ac:dyDescent="0.1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2.75" hidden="1" customHeight="1" x14ac:dyDescent="0.1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2.75" hidden="1" customHeight="1" x14ac:dyDescent="0.1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2.75" hidden="1" customHeight="1" x14ac:dyDescent="0.1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2.75" hidden="1" customHeight="1" x14ac:dyDescent="0.1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2.75" hidden="1" customHeight="1" x14ac:dyDescent="0.1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2.75" hidden="1" customHeight="1" x14ac:dyDescent="0.1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2.75" hidden="1" customHeight="1" x14ac:dyDescent="0.1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2.75" hidden="1" customHeight="1" x14ac:dyDescent="0.1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2.75" hidden="1" customHeight="1" x14ac:dyDescent="0.1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2.75" hidden="1" customHeight="1" x14ac:dyDescent="0.1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2.75" hidden="1" customHeight="1" x14ac:dyDescent="0.1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2.75" hidden="1" customHeight="1" x14ac:dyDescent="0.1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2.75" hidden="1" customHeight="1" x14ac:dyDescent="0.1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2.75" hidden="1" customHeight="1" x14ac:dyDescent="0.1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2.75" hidden="1" customHeight="1" x14ac:dyDescent="0.1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2.75" hidden="1" customHeight="1" x14ac:dyDescent="0.1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2.75" hidden="1" customHeight="1" x14ac:dyDescent="0.1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2.75" hidden="1" customHeight="1" x14ac:dyDescent="0.1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2.75" hidden="1" customHeight="1" x14ac:dyDescent="0.1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2.75" hidden="1" customHeight="1" x14ac:dyDescent="0.1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2.75" hidden="1" customHeight="1" x14ac:dyDescent="0.1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2.75" hidden="1" customHeight="1" x14ac:dyDescent="0.1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2.75" hidden="1" customHeight="1" x14ac:dyDescent="0.1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2.75" hidden="1" customHeight="1" x14ac:dyDescent="0.1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2.75" hidden="1" customHeight="1" x14ac:dyDescent="0.1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2.75" hidden="1" customHeight="1" x14ac:dyDescent="0.1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2.75" hidden="1" customHeight="1" x14ac:dyDescent="0.1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2.75" hidden="1" customHeight="1" x14ac:dyDescent="0.1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2.75" hidden="1" customHeight="1" x14ac:dyDescent="0.1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2.75" hidden="1" customHeight="1" x14ac:dyDescent="0.1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2.75" hidden="1" customHeight="1" x14ac:dyDescent="0.1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2.75" hidden="1" customHeight="1" x14ac:dyDescent="0.1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2.75" hidden="1" customHeight="1" x14ac:dyDescent="0.1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2.75" hidden="1" customHeight="1" x14ac:dyDescent="0.1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2.75" hidden="1" customHeight="1" x14ac:dyDescent="0.1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2.75" hidden="1" customHeight="1" x14ac:dyDescent="0.1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2.75" hidden="1" customHeight="1" x14ac:dyDescent="0.1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2.75" hidden="1" customHeight="1" x14ac:dyDescent="0.1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2.75" hidden="1" customHeight="1" x14ac:dyDescent="0.1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2.75" hidden="1" customHeight="1" x14ac:dyDescent="0.1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2.75" hidden="1" customHeight="1" x14ac:dyDescent="0.1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2.75" hidden="1" customHeight="1" x14ac:dyDescent="0.1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2.75" hidden="1" customHeight="1" x14ac:dyDescent="0.1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2.75" hidden="1" customHeight="1" x14ac:dyDescent="0.1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2.75" hidden="1" customHeight="1" x14ac:dyDescent="0.1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2.75" hidden="1" customHeight="1" x14ac:dyDescent="0.1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2.75" hidden="1" customHeight="1" x14ac:dyDescent="0.1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2.75" hidden="1" customHeight="1" x14ac:dyDescent="0.1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2.75" hidden="1" customHeight="1" x14ac:dyDescent="0.1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2.75" hidden="1" customHeight="1" x14ac:dyDescent="0.1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2.75" hidden="1" customHeight="1" x14ac:dyDescent="0.1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2.75" hidden="1" customHeight="1" x14ac:dyDescent="0.1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2.75" hidden="1" customHeight="1" x14ac:dyDescent="0.1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2.75" hidden="1" customHeight="1" x14ac:dyDescent="0.1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2.75" hidden="1" customHeight="1" x14ac:dyDescent="0.1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2.75" hidden="1" customHeight="1" x14ac:dyDescent="0.1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2.75" hidden="1" customHeight="1" x14ac:dyDescent="0.1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2.75" hidden="1" customHeight="1" x14ac:dyDescent="0.1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2.75" hidden="1" customHeight="1" x14ac:dyDescent="0.1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2.75" hidden="1" customHeight="1" x14ac:dyDescent="0.1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2.75" hidden="1" customHeight="1" x14ac:dyDescent="0.1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2.75" hidden="1" customHeight="1" x14ac:dyDescent="0.1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2.75" hidden="1" customHeight="1" x14ac:dyDescent="0.1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2.75" hidden="1" customHeight="1" x14ac:dyDescent="0.1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2.75" hidden="1" customHeight="1" x14ac:dyDescent="0.1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2.75" hidden="1" customHeight="1" x14ac:dyDescent="0.1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2.75" hidden="1" customHeight="1" x14ac:dyDescent="0.1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2.75" hidden="1" customHeight="1" x14ac:dyDescent="0.1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2.75" hidden="1" customHeight="1" x14ac:dyDescent="0.1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2.75" hidden="1" customHeight="1" x14ac:dyDescent="0.1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2.75" hidden="1" customHeight="1" x14ac:dyDescent="0.1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2.75" hidden="1" customHeight="1" x14ac:dyDescent="0.1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2.75" hidden="1" customHeight="1" x14ac:dyDescent="0.1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2.75" hidden="1" customHeight="1" x14ac:dyDescent="0.1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2.75" hidden="1" customHeight="1" x14ac:dyDescent="0.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2.75" hidden="1" customHeight="1" x14ac:dyDescent="0.1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2.75" hidden="1" customHeight="1" x14ac:dyDescent="0.1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2.75" hidden="1" customHeight="1" x14ac:dyDescent="0.1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2.75" hidden="1" customHeight="1" x14ac:dyDescent="0.1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2.75" hidden="1" customHeight="1" x14ac:dyDescent="0.1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2.75" hidden="1" customHeight="1" x14ac:dyDescent="0.1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2.75" hidden="1" customHeight="1" x14ac:dyDescent="0.1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2.75" hidden="1" customHeight="1" x14ac:dyDescent="0.1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2.75" hidden="1" customHeight="1" x14ac:dyDescent="0.1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2.75" hidden="1" customHeight="1" x14ac:dyDescent="0.1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2.75" hidden="1" customHeight="1" x14ac:dyDescent="0.1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2.75" hidden="1" customHeight="1" x14ac:dyDescent="0.1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2.75" hidden="1" customHeight="1" x14ac:dyDescent="0.1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2.75" hidden="1" customHeight="1" x14ac:dyDescent="0.1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2.75" hidden="1" customHeight="1" x14ac:dyDescent="0.1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2.75" hidden="1" customHeight="1" x14ac:dyDescent="0.1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2.75" hidden="1" customHeight="1" x14ac:dyDescent="0.1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2.75" hidden="1" customHeight="1" x14ac:dyDescent="0.1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2.75" hidden="1" customHeight="1" x14ac:dyDescent="0.1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2.75" hidden="1" customHeight="1" x14ac:dyDescent="0.1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2.75" hidden="1" customHeight="1" x14ac:dyDescent="0.1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2.75" hidden="1" customHeight="1" x14ac:dyDescent="0.1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2.75" hidden="1" customHeight="1" x14ac:dyDescent="0.1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2.75" hidden="1" customHeight="1" x14ac:dyDescent="0.1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2.75" hidden="1" customHeight="1" x14ac:dyDescent="0.1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2.75" hidden="1" customHeight="1" x14ac:dyDescent="0.1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2.75" hidden="1" customHeight="1" x14ac:dyDescent="0.1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2.75" hidden="1" customHeight="1" x14ac:dyDescent="0.1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2.75" hidden="1" customHeight="1" x14ac:dyDescent="0.1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2.75" hidden="1" customHeight="1" x14ac:dyDescent="0.1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2.75" hidden="1" customHeight="1" x14ac:dyDescent="0.1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2.75" hidden="1" customHeight="1" x14ac:dyDescent="0.1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2.75" hidden="1" customHeight="1" x14ac:dyDescent="0.1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2.75" hidden="1" customHeight="1" x14ac:dyDescent="0.1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2.75" hidden="1" customHeight="1" x14ac:dyDescent="0.1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2.75" hidden="1" customHeight="1" x14ac:dyDescent="0.1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2.75" hidden="1" customHeight="1" x14ac:dyDescent="0.1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2.75" hidden="1" customHeight="1" x14ac:dyDescent="0.1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2.75" hidden="1" customHeight="1" x14ac:dyDescent="0.1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2.75" hidden="1" customHeight="1" x14ac:dyDescent="0.1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2.75" hidden="1" customHeight="1" x14ac:dyDescent="0.1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2.75" hidden="1" customHeight="1" x14ac:dyDescent="0.1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2.75" hidden="1" customHeight="1" x14ac:dyDescent="0.1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2.75" hidden="1" customHeight="1" x14ac:dyDescent="0.1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2.75" hidden="1" customHeight="1" x14ac:dyDescent="0.1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2.75" hidden="1" customHeight="1" x14ac:dyDescent="0.1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2.75" hidden="1" customHeight="1" x14ac:dyDescent="0.1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2.75" hidden="1" customHeight="1" x14ac:dyDescent="0.1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2.75" hidden="1" customHeight="1" x14ac:dyDescent="0.1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2.75" hidden="1" customHeight="1" x14ac:dyDescent="0.1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2.75" hidden="1" customHeight="1" x14ac:dyDescent="0.1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2.75" hidden="1" customHeight="1" x14ac:dyDescent="0.1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2.75" hidden="1" customHeight="1" x14ac:dyDescent="0.1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2.75" hidden="1" customHeight="1" x14ac:dyDescent="0.1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2.75" hidden="1" customHeight="1" x14ac:dyDescent="0.1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2.75" hidden="1" customHeight="1" x14ac:dyDescent="0.1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2.75" hidden="1" customHeight="1" x14ac:dyDescent="0.1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2.75" hidden="1" customHeight="1" x14ac:dyDescent="0.1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2.75" hidden="1" customHeight="1" x14ac:dyDescent="0.1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2.75" hidden="1" customHeight="1" x14ac:dyDescent="0.1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2.75" hidden="1" customHeight="1" x14ac:dyDescent="0.1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2.75" hidden="1" customHeight="1" x14ac:dyDescent="0.1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2.75" hidden="1" customHeight="1" x14ac:dyDescent="0.1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2.75" hidden="1" customHeight="1" x14ac:dyDescent="0.1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2.75" hidden="1" customHeight="1" x14ac:dyDescent="0.1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2.75" hidden="1" customHeight="1" x14ac:dyDescent="0.1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2.75" hidden="1" customHeight="1" x14ac:dyDescent="0.1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2.75" hidden="1" customHeight="1" x14ac:dyDescent="0.1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2.75" hidden="1" customHeight="1" x14ac:dyDescent="0.1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2.75" hidden="1" customHeight="1" x14ac:dyDescent="0.1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2.75" hidden="1" customHeight="1" x14ac:dyDescent="0.1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2.75" hidden="1" customHeight="1" x14ac:dyDescent="0.1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2.75" hidden="1" customHeight="1" x14ac:dyDescent="0.1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2.75" hidden="1" customHeight="1" x14ac:dyDescent="0.1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2.75" hidden="1" customHeight="1" x14ac:dyDescent="0.1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2.75" hidden="1" customHeight="1" x14ac:dyDescent="0.1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2.75" hidden="1" customHeight="1" x14ac:dyDescent="0.1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2.75" hidden="1" customHeight="1" x14ac:dyDescent="0.1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2.75" hidden="1" customHeight="1" x14ac:dyDescent="0.1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2.75" hidden="1" customHeight="1" x14ac:dyDescent="0.1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2.75" hidden="1" customHeight="1" x14ac:dyDescent="0.1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2.75" hidden="1" customHeight="1" x14ac:dyDescent="0.1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2.75" hidden="1" customHeight="1" x14ac:dyDescent="0.1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2.75" hidden="1" customHeight="1" x14ac:dyDescent="0.1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2.75" hidden="1" customHeight="1" x14ac:dyDescent="0.1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2.75" hidden="1" customHeight="1" x14ac:dyDescent="0.1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2.75" hidden="1" customHeight="1" x14ac:dyDescent="0.1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2.75" hidden="1" customHeight="1" x14ac:dyDescent="0.1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2.75" hidden="1" customHeight="1" x14ac:dyDescent="0.1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2.75" hidden="1" customHeight="1" x14ac:dyDescent="0.1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2.75" hidden="1" customHeight="1" x14ac:dyDescent="0.1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2.75" hidden="1" customHeight="1" x14ac:dyDescent="0.1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2.75" hidden="1" customHeight="1" x14ac:dyDescent="0.1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2.75" hidden="1" customHeight="1" x14ac:dyDescent="0.1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2.75" hidden="1" customHeight="1" x14ac:dyDescent="0.1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2.75" hidden="1" customHeight="1" x14ac:dyDescent="0.1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2.75" hidden="1" customHeight="1" x14ac:dyDescent="0.1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2.75" hidden="1" customHeight="1" x14ac:dyDescent="0.1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2.75" hidden="1" customHeight="1" x14ac:dyDescent="0.1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2.75" hidden="1" customHeight="1" x14ac:dyDescent="0.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2.75" hidden="1" customHeight="1" x14ac:dyDescent="0.1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2.75" hidden="1" customHeight="1" x14ac:dyDescent="0.1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2.75" hidden="1" customHeight="1" x14ac:dyDescent="0.1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2.75" hidden="1" customHeight="1" x14ac:dyDescent="0.1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2.75" hidden="1" customHeight="1" x14ac:dyDescent="0.1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2.75" hidden="1" customHeight="1" x14ac:dyDescent="0.1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2.75" hidden="1" customHeight="1" x14ac:dyDescent="0.1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2.75" hidden="1" customHeight="1" x14ac:dyDescent="0.1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2.75" hidden="1" customHeight="1" x14ac:dyDescent="0.1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2.75" hidden="1" customHeight="1" x14ac:dyDescent="0.1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2.75" hidden="1" customHeight="1" x14ac:dyDescent="0.1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2.75" hidden="1" customHeight="1" x14ac:dyDescent="0.1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2.75" hidden="1" customHeight="1" x14ac:dyDescent="0.1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2.75" hidden="1" customHeight="1" x14ac:dyDescent="0.1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2.75" hidden="1" customHeight="1" x14ac:dyDescent="0.1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2.75" hidden="1" customHeight="1" x14ac:dyDescent="0.1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2.75" hidden="1" customHeight="1" x14ac:dyDescent="0.1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2.75" hidden="1" customHeight="1" x14ac:dyDescent="0.1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2.75" hidden="1" customHeight="1" x14ac:dyDescent="0.1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2.75" hidden="1" customHeight="1" x14ac:dyDescent="0.1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2.75" hidden="1" customHeight="1" x14ac:dyDescent="0.1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2.75" hidden="1" customHeight="1" x14ac:dyDescent="0.1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2.75" hidden="1" customHeight="1" x14ac:dyDescent="0.1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2.75" hidden="1" customHeight="1" x14ac:dyDescent="0.1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2.75" hidden="1" customHeight="1" x14ac:dyDescent="0.1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2.75" hidden="1" customHeight="1" x14ac:dyDescent="0.1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2.75" hidden="1" customHeight="1" x14ac:dyDescent="0.1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2.75" hidden="1" customHeight="1" x14ac:dyDescent="0.1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2.75" hidden="1" customHeight="1" x14ac:dyDescent="0.1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2.75" hidden="1" customHeight="1" x14ac:dyDescent="0.1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2.75" hidden="1" customHeight="1" x14ac:dyDescent="0.1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2.75" hidden="1" customHeight="1" x14ac:dyDescent="0.1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2.75" hidden="1" customHeight="1" x14ac:dyDescent="0.1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2.75" hidden="1" customHeight="1" x14ac:dyDescent="0.1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2.75" hidden="1" customHeight="1" x14ac:dyDescent="0.1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2.75" hidden="1" customHeight="1" x14ac:dyDescent="0.1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2.75" hidden="1" customHeight="1" x14ac:dyDescent="0.1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2.75" hidden="1" customHeight="1" x14ac:dyDescent="0.1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2.75" hidden="1" customHeight="1" x14ac:dyDescent="0.1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2.75" hidden="1" customHeight="1" x14ac:dyDescent="0.1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2.75" hidden="1" customHeight="1" x14ac:dyDescent="0.1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2.75" hidden="1" customHeight="1" x14ac:dyDescent="0.1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2.75" hidden="1" customHeight="1" x14ac:dyDescent="0.1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2.75" hidden="1" customHeight="1" x14ac:dyDescent="0.1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2.75" hidden="1" customHeight="1" x14ac:dyDescent="0.1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2.75" hidden="1" customHeight="1" x14ac:dyDescent="0.1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2.75" hidden="1" customHeight="1" x14ac:dyDescent="0.1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2.75" hidden="1" customHeight="1" x14ac:dyDescent="0.1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2.75" hidden="1" customHeight="1" x14ac:dyDescent="0.1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2.75" hidden="1" customHeight="1" x14ac:dyDescent="0.1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2.75" hidden="1" customHeight="1" x14ac:dyDescent="0.1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2.75" hidden="1" customHeight="1" x14ac:dyDescent="0.1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2.75" hidden="1" customHeight="1" x14ac:dyDescent="0.1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2.75" hidden="1" customHeight="1" x14ac:dyDescent="0.1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2.75" hidden="1" customHeight="1" x14ac:dyDescent="0.1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2.75" hidden="1" customHeight="1" x14ac:dyDescent="0.1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2.75" hidden="1" customHeight="1" x14ac:dyDescent="0.1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2.75" hidden="1" customHeight="1" x14ac:dyDescent="0.1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2.75" hidden="1" customHeight="1" x14ac:dyDescent="0.1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2.75" hidden="1" customHeight="1" x14ac:dyDescent="0.1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2.75" hidden="1" customHeight="1" x14ac:dyDescent="0.1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2.75" hidden="1" customHeight="1" x14ac:dyDescent="0.1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2.75" hidden="1" customHeight="1" x14ac:dyDescent="0.1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2.75" hidden="1" customHeight="1" x14ac:dyDescent="0.1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2.75" hidden="1" customHeight="1" x14ac:dyDescent="0.1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2.75" hidden="1" customHeight="1" x14ac:dyDescent="0.1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2.75" hidden="1" customHeight="1" x14ac:dyDescent="0.1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2.75" hidden="1" customHeight="1" x14ac:dyDescent="0.1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2.75" hidden="1" customHeight="1" x14ac:dyDescent="0.1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2.75" hidden="1" customHeight="1" x14ac:dyDescent="0.1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2.75" hidden="1" customHeight="1" x14ac:dyDescent="0.1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2.75" hidden="1" customHeight="1" x14ac:dyDescent="0.1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2.75" hidden="1" customHeight="1" x14ac:dyDescent="0.1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2.75" hidden="1" customHeight="1" x14ac:dyDescent="0.1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2.75" hidden="1" customHeight="1" x14ac:dyDescent="0.1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2.75" hidden="1" customHeight="1" x14ac:dyDescent="0.1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2.75" hidden="1" customHeight="1" x14ac:dyDescent="0.1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2.75" hidden="1" customHeight="1" x14ac:dyDescent="0.1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2.75" hidden="1" customHeight="1" x14ac:dyDescent="0.1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2.75" hidden="1" customHeight="1" x14ac:dyDescent="0.1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2.75" hidden="1" customHeight="1" x14ac:dyDescent="0.1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2.75" hidden="1" customHeight="1" x14ac:dyDescent="0.1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2.75" hidden="1" customHeight="1" x14ac:dyDescent="0.1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2.75" hidden="1" customHeight="1" x14ac:dyDescent="0.1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2.75" hidden="1" customHeight="1" x14ac:dyDescent="0.1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2.75" hidden="1" customHeight="1" x14ac:dyDescent="0.1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2.75" hidden="1" customHeight="1" x14ac:dyDescent="0.1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2.75" hidden="1" customHeight="1" x14ac:dyDescent="0.1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2.75" hidden="1" customHeight="1" x14ac:dyDescent="0.1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2.75" hidden="1" customHeight="1" x14ac:dyDescent="0.1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2.75" hidden="1" customHeight="1" x14ac:dyDescent="0.1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2.75" hidden="1" customHeight="1" x14ac:dyDescent="0.1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2.75" hidden="1" customHeight="1" x14ac:dyDescent="0.1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2.75" hidden="1" customHeight="1" x14ac:dyDescent="0.1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2.75" hidden="1" customHeight="1" x14ac:dyDescent="0.1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2.75" hidden="1" customHeight="1" x14ac:dyDescent="0.1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2.75" hidden="1" customHeight="1" x14ac:dyDescent="0.1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2.75" hidden="1" customHeight="1" x14ac:dyDescent="0.1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2.75" hidden="1" customHeight="1" x14ac:dyDescent="0.1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2.75" hidden="1" customHeight="1" x14ac:dyDescent="0.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2.75" hidden="1" customHeight="1" x14ac:dyDescent="0.1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2.75" hidden="1" customHeight="1" x14ac:dyDescent="0.1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2.75" hidden="1" customHeight="1" x14ac:dyDescent="0.1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2.75" hidden="1" customHeight="1" x14ac:dyDescent="0.1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2.75" hidden="1" customHeight="1" x14ac:dyDescent="0.1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2.75" hidden="1" customHeight="1" x14ac:dyDescent="0.1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2.75" hidden="1" customHeight="1" x14ac:dyDescent="0.1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2.75" hidden="1" customHeight="1" x14ac:dyDescent="0.1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2.75" hidden="1" customHeight="1" x14ac:dyDescent="0.1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2.75" hidden="1" customHeight="1" x14ac:dyDescent="0.1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2.75" hidden="1" customHeight="1" x14ac:dyDescent="0.1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2.75" hidden="1" customHeight="1" x14ac:dyDescent="0.1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2.75" hidden="1" customHeight="1" x14ac:dyDescent="0.1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2.75" hidden="1" customHeight="1" x14ac:dyDescent="0.1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2.75" hidden="1" customHeight="1" x14ac:dyDescent="0.1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2.75" hidden="1" customHeight="1" x14ac:dyDescent="0.1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2.75" hidden="1" customHeight="1" x14ac:dyDescent="0.1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2.75" hidden="1" customHeight="1" x14ac:dyDescent="0.1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2.75" hidden="1" customHeight="1" x14ac:dyDescent="0.1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2.75" hidden="1" customHeight="1" x14ac:dyDescent="0.1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2.75" hidden="1" customHeight="1" x14ac:dyDescent="0.1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2.75" hidden="1" customHeight="1" x14ac:dyDescent="0.1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2.75" hidden="1" customHeight="1" x14ac:dyDescent="0.1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2.75" hidden="1" customHeight="1" x14ac:dyDescent="0.1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2.75" hidden="1" customHeight="1" x14ac:dyDescent="0.1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2.75" hidden="1" customHeight="1" x14ac:dyDescent="0.1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2.75" hidden="1" customHeight="1" x14ac:dyDescent="0.1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2.75" hidden="1" customHeight="1" x14ac:dyDescent="0.1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2.75" hidden="1" customHeight="1" x14ac:dyDescent="0.1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2.75" hidden="1" customHeight="1" x14ac:dyDescent="0.1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2.75" hidden="1" customHeight="1" x14ac:dyDescent="0.1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2.75" hidden="1" customHeight="1" x14ac:dyDescent="0.1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2.75" hidden="1" customHeight="1" x14ac:dyDescent="0.1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2.75" hidden="1" customHeight="1" x14ac:dyDescent="0.1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2.75" hidden="1" customHeight="1" x14ac:dyDescent="0.1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2.75" hidden="1" customHeight="1" x14ac:dyDescent="0.1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2.75" hidden="1" customHeight="1" x14ac:dyDescent="0.1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2.75" hidden="1" customHeight="1" x14ac:dyDescent="0.1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2.75" hidden="1" customHeight="1" x14ac:dyDescent="0.1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2.75" hidden="1" customHeight="1" x14ac:dyDescent="0.1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2.75" hidden="1" customHeight="1" x14ac:dyDescent="0.1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2.75" hidden="1" customHeight="1" x14ac:dyDescent="0.1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2.75" hidden="1" customHeight="1" x14ac:dyDescent="0.1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2.75" hidden="1" customHeight="1" x14ac:dyDescent="0.1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2.75" hidden="1" customHeight="1" x14ac:dyDescent="0.1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2.75" hidden="1" customHeight="1" x14ac:dyDescent="0.1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2.75" hidden="1" customHeight="1" x14ac:dyDescent="0.1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2.75" hidden="1" customHeight="1" x14ac:dyDescent="0.1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2.75" hidden="1" customHeight="1" x14ac:dyDescent="0.1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2.75" hidden="1" customHeight="1" x14ac:dyDescent="0.1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2.75" hidden="1" customHeight="1" x14ac:dyDescent="0.1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2.75" hidden="1" customHeight="1" x14ac:dyDescent="0.1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2.75" hidden="1" customHeight="1" x14ac:dyDescent="0.1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2.75" hidden="1" customHeight="1" x14ac:dyDescent="0.1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2.75" hidden="1" customHeight="1" x14ac:dyDescent="0.1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2.75" hidden="1" customHeight="1" x14ac:dyDescent="0.1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2.75" hidden="1" customHeight="1" x14ac:dyDescent="0.1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2.75" hidden="1" customHeight="1" x14ac:dyDescent="0.1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2.75" hidden="1" customHeight="1" x14ac:dyDescent="0.1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2.75" hidden="1" customHeight="1" x14ac:dyDescent="0.1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2.75" hidden="1" customHeight="1" x14ac:dyDescent="0.1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2.75" hidden="1" customHeight="1" x14ac:dyDescent="0.1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2.75" hidden="1" customHeight="1" x14ac:dyDescent="0.1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2.75" hidden="1" customHeight="1" x14ac:dyDescent="0.1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2.75" hidden="1" customHeight="1" x14ac:dyDescent="0.1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2.75" hidden="1" customHeight="1" x14ac:dyDescent="0.1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2.75" hidden="1" customHeight="1" x14ac:dyDescent="0.1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2.75" hidden="1" customHeight="1" x14ac:dyDescent="0.1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2.75" hidden="1" customHeight="1" x14ac:dyDescent="0.1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2.75" hidden="1" customHeight="1" x14ac:dyDescent="0.1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2.75" hidden="1" customHeight="1" x14ac:dyDescent="0.1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2.75" hidden="1" customHeight="1" x14ac:dyDescent="0.1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2.75" hidden="1" customHeight="1" x14ac:dyDescent="0.1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2.75" hidden="1" customHeight="1" x14ac:dyDescent="0.1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2.75" hidden="1" customHeight="1" x14ac:dyDescent="0.1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2.75" hidden="1" customHeight="1" x14ac:dyDescent="0.1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2.75" hidden="1" customHeight="1" x14ac:dyDescent="0.1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2.75" hidden="1" customHeight="1" x14ac:dyDescent="0.1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2.75" hidden="1" customHeight="1" x14ac:dyDescent="0.1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2.75" hidden="1" customHeight="1" x14ac:dyDescent="0.1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2.75" hidden="1" customHeight="1" x14ac:dyDescent="0.1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2.75" hidden="1" customHeight="1" x14ac:dyDescent="0.1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2.75" hidden="1" customHeight="1" x14ac:dyDescent="0.1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2.75" hidden="1" customHeight="1" x14ac:dyDescent="0.1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2.75" hidden="1" customHeight="1" x14ac:dyDescent="0.1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2.75" hidden="1" customHeight="1" x14ac:dyDescent="0.1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2.75" hidden="1" customHeight="1" x14ac:dyDescent="0.1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2.75" hidden="1" customHeight="1" x14ac:dyDescent="0.1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2.75" hidden="1" customHeight="1" x14ac:dyDescent="0.1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2.75" hidden="1" customHeight="1" x14ac:dyDescent="0.1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2.75" hidden="1" customHeight="1" x14ac:dyDescent="0.1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2.75" hidden="1" customHeight="1" x14ac:dyDescent="0.1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2.75" hidden="1" customHeight="1" x14ac:dyDescent="0.1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2.75" hidden="1" customHeight="1" x14ac:dyDescent="0.1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2.75" hidden="1" customHeight="1" x14ac:dyDescent="0.1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2.75" hidden="1" customHeight="1" x14ac:dyDescent="0.1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2.75" hidden="1" customHeight="1" x14ac:dyDescent="0.1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2.75" hidden="1" customHeight="1" x14ac:dyDescent="0.1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2.75" hidden="1" customHeight="1" x14ac:dyDescent="0.1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2.75" hidden="1" customHeight="1" x14ac:dyDescent="0.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2.75" hidden="1" customHeight="1" x14ac:dyDescent="0.1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2.75" hidden="1" customHeight="1" x14ac:dyDescent="0.1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2.75" hidden="1" customHeight="1" x14ac:dyDescent="0.1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2.75" hidden="1" customHeight="1" x14ac:dyDescent="0.1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2.75" hidden="1" customHeight="1" x14ac:dyDescent="0.1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2.75" hidden="1" customHeight="1" x14ac:dyDescent="0.1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2.75" hidden="1" customHeight="1" x14ac:dyDescent="0.1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2.75" hidden="1" customHeight="1" x14ac:dyDescent="0.1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2.75" hidden="1" customHeight="1" x14ac:dyDescent="0.1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2.75" hidden="1" customHeight="1" x14ac:dyDescent="0.1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2.75" hidden="1" customHeight="1" x14ac:dyDescent="0.1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2.75" hidden="1" customHeight="1" x14ac:dyDescent="0.1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2.75" hidden="1" customHeight="1" x14ac:dyDescent="0.1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2.75" hidden="1" customHeight="1" x14ac:dyDescent="0.1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2.75" hidden="1" customHeight="1" x14ac:dyDescent="0.1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2.75" hidden="1" customHeight="1" x14ac:dyDescent="0.1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2.75" hidden="1" customHeight="1" x14ac:dyDescent="0.1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2.75" hidden="1" customHeight="1" x14ac:dyDescent="0.1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2.75" hidden="1" customHeight="1" x14ac:dyDescent="0.1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2.75" hidden="1" customHeight="1" x14ac:dyDescent="0.1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2.75" hidden="1" customHeight="1" x14ac:dyDescent="0.1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2.75" hidden="1" customHeight="1" x14ac:dyDescent="0.1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2.75" hidden="1" customHeight="1" x14ac:dyDescent="0.1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2.75" hidden="1" customHeight="1" x14ac:dyDescent="0.1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2.75" hidden="1" customHeight="1" x14ac:dyDescent="0.1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2.75" hidden="1" customHeight="1" x14ac:dyDescent="0.1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2.75" hidden="1" customHeight="1" x14ac:dyDescent="0.1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2.75" hidden="1" customHeight="1" x14ac:dyDescent="0.1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2.75" hidden="1" customHeight="1" x14ac:dyDescent="0.1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2.75" hidden="1" customHeight="1" x14ac:dyDescent="0.1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2.75" hidden="1" customHeight="1" x14ac:dyDescent="0.1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2.75" hidden="1" customHeight="1" x14ac:dyDescent="0.1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2.75" hidden="1" customHeight="1" x14ac:dyDescent="0.1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2.75" hidden="1" customHeight="1" x14ac:dyDescent="0.1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2.75" hidden="1" customHeight="1" x14ac:dyDescent="0.1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2.75" hidden="1" customHeight="1" x14ac:dyDescent="0.1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2.75" hidden="1" customHeight="1" x14ac:dyDescent="0.1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2.75" hidden="1" customHeight="1" x14ac:dyDescent="0.1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2.75" hidden="1" customHeight="1" x14ac:dyDescent="0.1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2.75" hidden="1" customHeight="1" x14ac:dyDescent="0.1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2.75" hidden="1" customHeight="1" x14ac:dyDescent="0.1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2.75" hidden="1" customHeight="1" x14ac:dyDescent="0.1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2.75" hidden="1" customHeight="1" x14ac:dyDescent="0.1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2.75" hidden="1" customHeight="1" x14ac:dyDescent="0.1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2.75" hidden="1" customHeight="1" x14ac:dyDescent="0.1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2.75" hidden="1" customHeight="1" x14ac:dyDescent="0.1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2.75" hidden="1" customHeight="1" x14ac:dyDescent="0.1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2.75" hidden="1" customHeight="1" x14ac:dyDescent="0.1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2.75" hidden="1" customHeight="1" x14ac:dyDescent="0.1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2.75" hidden="1" customHeight="1" x14ac:dyDescent="0.1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2.75" hidden="1" customHeight="1" x14ac:dyDescent="0.1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2.75" hidden="1" customHeight="1" x14ac:dyDescent="0.1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2.75" hidden="1" customHeight="1" x14ac:dyDescent="0.1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2.75" hidden="1" customHeight="1" x14ac:dyDescent="0.1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2.75" hidden="1" customHeight="1" x14ac:dyDescent="0.1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2.75" hidden="1" customHeight="1" x14ac:dyDescent="0.1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2.75" hidden="1" customHeight="1" x14ac:dyDescent="0.1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2.75" hidden="1" customHeight="1" x14ac:dyDescent="0.1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2.75" hidden="1" customHeight="1" x14ac:dyDescent="0.1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2.75" hidden="1" customHeight="1" x14ac:dyDescent="0.1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2.75" hidden="1" customHeight="1" x14ac:dyDescent="0.1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2.75" hidden="1" customHeight="1" x14ac:dyDescent="0.1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2.75" hidden="1" customHeight="1" x14ac:dyDescent="0.1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2.75" hidden="1" customHeight="1" x14ac:dyDescent="0.1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2.75" hidden="1" customHeight="1" x14ac:dyDescent="0.1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2.75" hidden="1" customHeight="1" x14ac:dyDescent="0.1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2.75" hidden="1" customHeight="1" x14ac:dyDescent="0.1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2.75" hidden="1" customHeight="1" x14ac:dyDescent="0.1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2.75" hidden="1" customHeight="1" x14ac:dyDescent="0.1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2.75" hidden="1" customHeight="1" x14ac:dyDescent="0.1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2.75" hidden="1" customHeight="1" x14ac:dyDescent="0.1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2.75" hidden="1" customHeight="1" x14ac:dyDescent="0.1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2.75" hidden="1" customHeight="1" x14ac:dyDescent="0.1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2.75" hidden="1" customHeight="1" x14ac:dyDescent="0.1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2.75" hidden="1" customHeight="1" x14ac:dyDescent="0.1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2.75" hidden="1" customHeight="1" x14ac:dyDescent="0.1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2.75" hidden="1" customHeight="1" x14ac:dyDescent="0.1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2.75" hidden="1" customHeight="1" x14ac:dyDescent="0.1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2.75" hidden="1" customHeight="1" x14ac:dyDescent="0.1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2.75" hidden="1" customHeight="1" x14ac:dyDescent="0.1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2.75" hidden="1" customHeight="1" x14ac:dyDescent="0.1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2.75" hidden="1" customHeight="1" x14ac:dyDescent="0.1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2.75" hidden="1" customHeight="1" x14ac:dyDescent="0.1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2.75" hidden="1" customHeight="1" x14ac:dyDescent="0.1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2.75" hidden="1" customHeight="1" x14ac:dyDescent="0.1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2.75" hidden="1" customHeight="1" x14ac:dyDescent="0.1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2.75" hidden="1" customHeight="1" x14ac:dyDescent="0.1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2.75" hidden="1" customHeight="1" x14ac:dyDescent="0.1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2.75" hidden="1" customHeight="1" x14ac:dyDescent="0.1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2.75" hidden="1" customHeight="1" x14ac:dyDescent="0.1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2.75" hidden="1" customHeight="1" x14ac:dyDescent="0.1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2.75" hidden="1" customHeight="1" x14ac:dyDescent="0.1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2.75" hidden="1" customHeight="1" x14ac:dyDescent="0.1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2.75" hidden="1" customHeight="1" x14ac:dyDescent="0.1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2.75" hidden="1" customHeight="1" x14ac:dyDescent="0.1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2.75" hidden="1" customHeight="1" x14ac:dyDescent="0.1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2.75" hidden="1" customHeight="1" x14ac:dyDescent="0.1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2.75" hidden="1" customHeight="1" x14ac:dyDescent="0.1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2.75" hidden="1" customHeight="1" x14ac:dyDescent="0.1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2.75" hidden="1" customHeight="1" x14ac:dyDescent="0.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2.75" hidden="1" customHeight="1" x14ac:dyDescent="0.1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2.75" hidden="1" customHeight="1" x14ac:dyDescent="0.1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2.75" hidden="1" customHeight="1" x14ac:dyDescent="0.1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2.75" hidden="1" customHeight="1" x14ac:dyDescent="0.1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2.75" hidden="1" customHeight="1" x14ac:dyDescent="0.1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2.75" hidden="1" customHeight="1" x14ac:dyDescent="0.1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2.75" hidden="1" customHeight="1" x14ac:dyDescent="0.1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2.75" hidden="1" customHeight="1" x14ac:dyDescent="0.1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2.75" hidden="1" customHeight="1" x14ac:dyDescent="0.1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2.75" hidden="1" customHeight="1" x14ac:dyDescent="0.1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2.75" hidden="1" customHeight="1" x14ac:dyDescent="0.1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2.75" hidden="1" customHeight="1" x14ac:dyDescent="0.1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2.75" hidden="1" customHeight="1" x14ac:dyDescent="0.1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2.75" hidden="1" customHeight="1" x14ac:dyDescent="0.1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2.75" hidden="1" customHeight="1" x14ac:dyDescent="0.1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2.75" hidden="1" customHeight="1" x14ac:dyDescent="0.1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2.75" hidden="1" customHeight="1" x14ac:dyDescent="0.1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2.75" hidden="1" customHeight="1" x14ac:dyDescent="0.1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2.75" hidden="1" customHeight="1" x14ac:dyDescent="0.1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2.75" hidden="1" customHeight="1" x14ac:dyDescent="0.1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2.75" hidden="1" customHeight="1" x14ac:dyDescent="0.1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2.75" hidden="1" customHeight="1" x14ac:dyDescent="0.1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2.75" hidden="1" customHeight="1" x14ac:dyDescent="0.1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2.75" hidden="1" customHeight="1" x14ac:dyDescent="0.1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2.75" hidden="1" customHeight="1" x14ac:dyDescent="0.1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2.75" hidden="1" customHeight="1" x14ac:dyDescent="0.1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2.75" hidden="1" customHeight="1" x14ac:dyDescent="0.1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2.75" hidden="1" customHeight="1" x14ac:dyDescent="0.1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2.75" hidden="1" customHeight="1" x14ac:dyDescent="0.1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2.75" hidden="1" customHeight="1" x14ac:dyDescent="0.1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2.75" hidden="1" customHeight="1" x14ac:dyDescent="0.1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2.75" hidden="1" customHeight="1" x14ac:dyDescent="0.1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2.75" hidden="1" customHeight="1" x14ac:dyDescent="0.1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2.75" hidden="1" customHeight="1" x14ac:dyDescent="0.1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2.75" hidden="1" customHeight="1" x14ac:dyDescent="0.1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2.75" hidden="1" customHeight="1" x14ac:dyDescent="0.1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2.75" hidden="1" customHeight="1" x14ac:dyDescent="0.1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2.75" hidden="1" customHeight="1" x14ac:dyDescent="0.1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2.75" hidden="1" customHeight="1" x14ac:dyDescent="0.1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2.75" hidden="1" customHeight="1" x14ac:dyDescent="0.1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2.75" hidden="1" customHeight="1" x14ac:dyDescent="0.1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2.75" hidden="1" customHeight="1" x14ac:dyDescent="0.1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2.75" hidden="1" customHeight="1" x14ac:dyDescent="0.1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2.75" hidden="1" customHeight="1" x14ac:dyDescent="0.1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2.75" hidden="1" customHeight="1" x14ac:dyDescent="0.1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2.75" hidden="1" customHeight="1" x14ac:dyDescent="0.1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2.75" hidden="1" customHeight="1" x14ac:dyDescent="0.1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2.75" hidden="1" customHeight="1" x14ac:dyDescent="0.1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2.75" hidden="1" customHeight="1" x14ac:dyDescent="0.1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2.75" hidden="1" customHeight="1" x14ac:dyDescent="0.1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2.75" hidden="1" customHeight="1" x14ac:dyDescent="0.1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2.75" hidden="1" customHeight="1" x14ac:dyDescent="0.1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2.75" hidden="1" customHeight="1" x14ac:dyDescent="0.1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2.75" hidden="1" customHeight="1" x14ac:dyDescent="0.1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2.75" hidden="1" customHeight="1" x14ac:dyDescent="0.1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2.75" hidden="1" customHeight="1" x14ac:dyDescent="0.1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2.75" hidden="1" customHeight="1" x14ac:dyDescent="0.1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2.75" hidden="1" customHeight="1" x14ac:dyDescent="0.1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2.75" hidden="1" customHeight="1" x14ac:dyDescent="0.1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2.75" hidden="1" customHeight="1" x14ac:dyDescent="0.1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2.75" hidden="1" customHeight="1" x14ac:dyDescent="0.1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2.75" hidden="1" customHeight="1" x14ac:dyDescent="0.1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2.75" hidden="1" customHeight="1" x14ac:dyDescent="0.1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2.75" hidden="1" customHeight="1" x14ac:dyDescent="0.1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2.75" hidden="1" customHeight="1" x14ac:dyDescent="0.1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2.75" hidden="1" customHeight="1" x14ac:dyDescent="0.1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2.75" hidden="1" customHeight="1" x14ac:dyDescent="0.1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2.75" hidden="1" customHeight="1" x14ac:dyDescent="0.1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2.75" hidden="1" customHeight="1" x14ac:dyDescent="0.1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2.75" hidden="1" customHeight="1" x14ac:dyDescent="0.1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2.75" hidden="1" customHeight="1" x14ac:dyDescent="0.1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2.75" hidden="1" customHeight="1" x14ac:dyDescent="0.1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2.75" hidden="1" customHeight="1" x14ac:dyDescent="0.1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2.75" hidden="1" customHeight="1" x14ac:dyDescent="0.1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2.75" hidden="1" customHeight="1" x14ac:dyDescent="0.1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2.75" hidden="1" customHeight="1" x14ac:dyDescent="0.1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2.75" hidden="1" customHeight="1" x14ac:dyDescent="0.1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2.75" hidden="1" customHeight="1" x14ac:dyDescent="0.1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2.75" hidden="1" customHeight="1" x14ac:dyDescent="0.1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2.75" hidden="1" customHeight="1" x14ac:dyDescent="0.1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2.75" hidden="1" customHeight="1" x14ac:dyDescent="0.1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2.75" hidden="1" customHeight="1" x14ac:dyDescent="0.1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2.75" hidden="1" customHeight="1" x14ac:dyDescent="0.1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2.75" hidden="1" customHeight="1" x14ac:dyDescent="0.1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2.75" hidden="1" customHeight="1" x14ac:dyDescent="0.1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2.75" hidden="1" customHeight="1" x14ac:dyDescent="0.1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2.75" hidden="1" customHeight="1" x14ac:dyDescent="0.1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2.75" hidden="1" customHeight="1" x14ac:dyDescent="0.1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2.75" hidden="1" customHeight="1" x14ac:dyDescent="0.1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2.75" hidden="1" customHeight="1" x14ac:dyDescent="0.1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2.75" hidden="1" customHeight="1" x14ac:dyDescent="0.1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2.75" hidden="1" customHeight="1" x14ac:dyDescent="0.1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2.75" hidden="1" customHeight="1" x14ac:dyDescent="0.1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2.75" hidden="1" customHeight="1" x14ac:dyDescent="0.1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2.75" hidden="1" customHeight="1" x14ac:dyDescent="0.1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2.75" hidden="1" customHeight="1" x14ac:dyDescent="0.1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2.75" hidden="1" customHeight="1" x14ac:dyDescent="0.1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2.75" hidden="1" customHeight="1" x14ac:dyDescent="0.1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2.75" hidden="1" customHeight="1" x14ac:dyDescent="0.1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2.75" hidden="1" customHeight="1" x14ac:dyDescent="0.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2.75" hidden="1" customHeight="1" x14ac:dyDescent="0.1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2.75" hidden="1" customHeight="1" x14ac:dyDescent="0.1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2.75" hidden="1" customHeight="1" x14ac:dyDescent="0.1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2.75" hidden="1" customHeight="1" x14ac:dyDescent="0.1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2.75" hidden="1" customHeight="1" x14ac:dyDescent="0.1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2.75" hidden="1" customHeight="1" x14ac:dyDescent="0.1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2.75" hidden="1" customHeight="1" x14ac:dyDescent="0.1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2.75" hidden="1" customHeight="1" x14ac:dyDescent="0.1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2.75" hidden="1" customHeight="1" x14ac:dyDescent="0.1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2.75" hidden="1" customHeight="1" x14ac:dyDescent="0.1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2.75" hidden="1" customHeight="1" x14ac:dyDescent="0.1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2.75" hidden="1" customHeight="1" x14ac:dyDescent="0.1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2.75" hidden="1" customHeight="1" x14ac:dyDescent="0.1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2.75" hidden="1" customHeight="1" x14ac:dyDescent="0.1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2.75" hidden="1" customHeight="1" x14ac:dyDescent="0.1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2.75" hidden="1" customHeight="1" x14ac:dyDescent="0.1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2.75" hidden="1" customHeight="1" x14ac:dyDescent="0.1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2.75" hidden="1" customHeight="1" x14ac:dyDescent="0.1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2.75" hidden="1" customHeight="1" x14ac:dyDescent="0.1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2.75" hidden="1" customHeight="1" x14ac:dyDescent="0.1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2.75" hidden="1" customHeight="1" x14ac:dyDescent="0.1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2.75" hidden="1" customHeight="1" x14ac:dyDescent="0.1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2.75" hidden="1" customHeight="1" x14ac:dyDescent="0.1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2.75" hidden="1" customHeight="1" x14ac:dyDescent="0.1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2.75" hidden="1" customHeight="1" x14ac:dyDescent="0.1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2.75" hidden="1" customHeight="1" x14ac:dyDescent="0.1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2.75" hidden="1" customHeight="1" x14ac:dyDescent="0.1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2.75" hidden="1" customHeight="1" x14ac:dyDescent="0.1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2.75" hidden="1" customHeight="1" x14ac:dyDescent="0.1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2.75" hidden="1" customHeight="1" x14ac:dyDescent="0.1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2.75" hidden="1" customHeight="1" x14ac:dyDescent="0.1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2.75" hidden="1" customHeight="1" x14ac:dyDescent="0.1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2.75" hidden="1" customHeight="1" x14ac:dyDescent="0.1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2.75" hidden="1" customHeight="1" x14ac:dyDescent="0.1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2.75" hidden="1" customHeight="1" x14ac:dyDescent="0.1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2.75" hidden="1" customHeight="1" x14ac:dyDescent="0.1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2.75" hidden="1" customHeight="1" x14ac:dyDescent="0.1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2.75" hidden="1" customHeight="1" x14ac:dyDescent="0.1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2.75" hidden="1" customHeight="1" x14ac:dyDescent="0.1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2.75" hidden="1" customHeight="1" x14ac:dyDescent="0.1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2.75" hidden="1" customHeight="1" x14ac:dyDescent="0.1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2.75" hidden="1" customHeight="1" x14ac:dyDescent="0.1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2.75" hidden="1" customHeight="1" x14ac:dyDescent="0.1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2.75" hidden="1" customHeight="1" x14ac:dyDescent="0.1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2.75" hidden="1" customHeight="1" x14ac:dyDescent="0.1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2.75" hidden="1" customHeight="1" x14ac:dyDescent="0.1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2.75" hidden="1" customHeight="1" x14ac:dyDescent="0.1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2.75" hidden="1" customHeight="1" x14ac:dyDescent="0.1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2.75" hidden="1" customHeight="1" x14ac:dyDescent="0.1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2.75" hidden="1" customHeight="1" x14ac:dyDescent="0.1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2.75" hidden="1" customHeight="1" x14ac:dyDescent="0.1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2.75" hidden="1" customHeight="1" x14ac:dyDescent="0.1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2.75" hidden="1" customHeight="1" x14ac:dyDescent="0.1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2.75" hidden="1" customHeight="1" x14ac:dyDescent="0.1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2.75" hidden="1" customHeight="1" x14ac:dyDescent="0.1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2.75" hidden="1" customHeight="1" x14ac:dyDescent="0.1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2.75" hidden="1" customHeight="1" x14ac:dyDescent="0.1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2.75" hidden="1" customHeight="1" x14ac:dyDescent="0.1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2.75" hidden="1" customHeight="1" x14ac:dyDescent="0.1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2.75" hidden="1" customHeight="1" x14ac:dyDescent="0.1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2.75" hidden="1" customHeight="1" x14ac:dyDescent="0.1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2.75" hidden="1" customHeight="1" x14ac:dyDescent="0.1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2.75" hidden="1" customHeight="1" x14ac:dyDescent="0.1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2.75" hidden="1" customHeight="1" x14ac:dyDescent="0.1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2.75" hidden="1" customHeight="1" x14ac:dyDescent="0.1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2.75" hidden="1" customHeight="1" x14ac:dyDescent="0.1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2.75" hidden="1" customHeight="1" x14ac:dyDescent="0.1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2.75" hidden="1" customHeight="1" x14ac:dyDescent="0.1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2.75" hidden="1" customHeight="1" x14ac:dyDescent="0.1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2.75" hidden="1" customHeight="1" x14ac:dyDescent="0.1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2.75" hidden="1" customHeight="1" x14ac:dyDescent="0.1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2.75" hidden="1" customHeight="1" x14ac:dyDescent="0.1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2.75" hidden="1" customHeight="1" x14ac:dyDescent="0.1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2.75" hidden="1" customHeight="1" x14ac:dyDescent="0.1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2.75" hidden="1" customHeight="1" x14ac:dyDescent="0.1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2.75" hidden="1" customHeight="1" x14ac:dyDescent="0.1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2.75" hidden="1" customHeight="1" x14ac:dyDescent="0.1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2.75" hidden="1" customHeight="1" x14ac:dyDescent="0.1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2.75" hidden="1" customHeight="1" x14ac:dyDescent="0.1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2.75" hidden="1" customHeight="1" x14ac:dyDescent="0.1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2.75" hidden="1" customHeight="1" x14ac:dyDescent="0.1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2.75" hidden="1" customHeight="1" x14ac:dyDescent="0.1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2.75" hidden="1" customHeight="1" x14ac:dyDescent="0.1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2.75" hidden="1" customHeight="1" x14ac:dyDescent="0.1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2.75" hidden="1" customHeight="1" x14ac:dyDescent="0.1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2.75" hidden="1" customHeight="1" x14ac:dyDescent="0.1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2.75" hidden="1" customHeight="1" x14ac:dyDescent="0.1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2.75" hidden="1" customHeight="1" x14ac:dyDescent="0.1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2.75" hidden="1" customHeight="1" x14ac:dyDescent="0.1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2.75" hidden="1" customHeight="1" x14ac:dyDescent="0.1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2.75" hidden="1" customHeight="1" x14ac:dyDescent="0.1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2.75" hidden="1" customHeight="1" x14ac:dyDescent="0.1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2.75" hidden="1" customHeight="1" x14ac:dyDescent="0.1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2.75" hidden="1" customHeight="1" x14ac:dyDescent="0.1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2.75" hidden="1" customHeight="1" x14ac:dyDescent="0.1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2.75" hidden="1" customHeight="1" x14ac:dyDescent="0.1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2.75" hidden="1" customHeight="1" x14ac:dyDescent="0.1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2.75" hidden="1" customHeight="1" x14ac:dyDescent="0.1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2.75" hidden="1" customHeight="1" x14ac:dyDescent="0.1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2.75" hidden="1" customHeight="1" x14ac:dyDescent="0.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2.75" hidden="1" customHeight="1" x14ac:dyDescent="0.1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2.75" hidden="1" customHeight="1" x14ac:dyDescent="0.1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2.75" hidden="1" customHeight="1" x14ac:dyDescent="0.1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2.75" hidden="1" customHeight="1" x14ac:dyDescent="0.1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2.75" hidden="1" customHeight="1" x14ac:dyDescent="0.1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2.75" hidden="1" customHeight="1" x14ac:dyDescent="0.1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2.75" hidden="1" customHeight="1" x14ac:dyDescent="0.1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2.75" hidden="1" customHeight="1" x14ac:dyDescent="0.1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2.75" hidden="1" customHeight="1" x14ac:dyDescent="0.1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2.75" hidden="1" customHeight="1" x14ac:dyDescent="0.1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2.75" hidden="1" customHeight="1" x14ac:dyDescent="0.1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2.75" hidden="1" customHeight="1" x14ac:dyDescent="0.1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2.75" hidden="1" customHeight="1" x14ac:dyDescent="0.1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2.75" hidden="1" customHeight="1" x14ac:dyDescent="0.1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2.75" hidden="1" customHeight="1" x14ac:dyDescent="0.1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2.75" hidden="1" customHeight="1" x14ac:dyDescent="0.1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2.75" hidden="1" customHeight="1" x14ac:dyDescent="0.1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2.75" hidden="1" customHeight="1" x14ac:dyDescent="0.1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2.75" hidden="1" customHeight="1" x14ac:dyDescent="0.1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2.75" hidden="1" customHeight="1" x14ac:dyDescent="0.1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2.75" hidden="1" customHeight="1" x14ac:dyDescent="0.1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2.75" hidden="1" customHeight="1" x14ac:dyDescent="0.1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2.75" hidden="1" customHeight="1" x14ac:dyDescent="0.1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2.75" hidden="1" customHeight="1" x14ac:dyDescent="0.1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2.75" hidden="1" customHeight="1" x14ac:dyDescent="0.1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2.75" hidden="1" customHeight="1" x14ac:dyDescent="0.1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2.75" hidden="1" customHeight="1" x14ac:dyDescent="0.1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2.75" hidden="1" customHeight="1" x14ac:dyDescent="0.1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2.75" hidden="1" customHeight="1" x14ac:dyDescent="0.1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2.75" hidden="1" customHeight="1" x14ac:dyDescent="0.1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2.75" hidden="1" customHeight="1" x14ac:dyDescent="0.1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2.75" hidden="1" customHeight="1" x14ac:dyDescent="0.1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2.75" hidden="1" customHeight="1" x14ac:dyDescent="0.1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2.75" hidden="1" customHeight="1" x14ac:dyDescent="0.1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2.75" hidden="1" customHeight="1" x14ac:dyDescent="0.1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2.75" hidden="1" customHeight="1" x14ac:dyDescent="0.1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2.75" hidden="1" customHeight="1" x14ac:dyDescent="0.1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2.75" hidden="1" customHeight="1" x14ac:dyDescent="0.1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2.75" hidden="1" customHeight="1" x14ac:dyDescent="0.1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2.75" hidden="1" customHeight="1" x14ac:dyDescent="0.1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2.75" hidden="1" customHeight="1" x14ac:dyDescent="0.1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2.75" hidden="1" customHeight="1" x14ac:dyDescent="0.1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2.75" hidden="1" customHeight="1" x14ac:dyDescent="0.1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2.75" hidden="1" customHeight="1" x14ac:dyDescent="0.1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2.75" hidden="1" customHeight="1" x14ac:dyDescent="0.1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2.75" hidden="1" customHeight="1" x14ac:dyDescent="0.1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2.75" hidden="1" customHeight="1" x14ac:dyDescent="0.1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2.75" hidden="1" customHeight="1" x14ac:dyDescent="0.1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2.75" hidden="1" customHeight="1" x14ac:dyDescent="0.1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2.75" hidden="1" customHeight="1" x14ac:dyDescent="0.1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2.75" hidden="1" customHeight="1" x14ac:dyDescent="0.1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2.75" hidden="1" customHeight="1" x14ac:dyDescent="0.1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2.75" hidden="1" customHeight="1" x14ac:dyDescent="0.1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2.75" hidden="1" customHeight="1" x14ac:dyDescent="0.1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2.75" hidden="1" customHeight="1" x14ac:dyDescent="0.1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2.75" hidden="1" customHeight="1" x14ac:dyDescent="0.1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2.75" hidden="1" customHeight="1" x14ac:dyDescent="0.1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2.75" hidden="1" customHeight="1" x14ac:dyDescent="0.1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2.75" hidden="1" customHeight="1" x14ac:dyDescent="0.1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2.75" hidden="1" customHeight="1" x14ac:dyDescent="0.1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2.75" hidden="1" customHeight="1" x14ac:dyDescent="0.1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2.75" hidden="1" customHeight="1" x14ac:dyDescent="0.1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2.75" hidden="1" customHeight="1" x14ac:dyDescent="0.1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2.75" hidden="1" customHeight="1" x14ac:dyDescent="0.1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2.75" hidden="1" customHeight="1" x14ac:dyDescent="0.1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2.75" hidden="1" customHeight="1" x14ac:dyDescent="0.1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2.75" hidden="1" customHeight="1" x14ac:dyDescent="0.1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2.75" hidden="1" customHeight="1" x14ac:dyDescent="0.1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2.75" hidden="1" customHeight="1" x14ac:dyDescent="0.1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2.75" hidden="1" customHeight="1" x14ac:dyDescent="0.1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2.75" hidden="1" customHeight="1" x14ac:dyDescent="0.1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2.75" hidden="1" customHeight="1" x14ac:dyDescent="0.1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2.75" hidden="1" customHeight="1" x14ac:dyDescent="0.1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2.75" hidden="1" customHeight="1" x14ac:dyDescent="0.1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2.75" hidden="1" customHeight="1" x14ac:dyDescent="0.1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2.75" hidden="1" customHeight="1" x14ac:dyDescent="0.1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2.75" hidden="1" customHeight="1" x14ac:dyDescent="0.1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2.75" hidden="1" customHeight="1" x14ac:dyDescent="0.1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2.75" hidden="1" customHeight="1" x14ac:dyDescent="0.1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2.75" hidden="1" customHeight="1" x14ac:dyDescent="0.1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2.75" hidden="1" customHeight="1" x14ac:dyDescent="0.1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2.75" hidden="1" customHeight="1" x14ac:dyDescent="0.1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2.75" hidden="1" customHeight="1" x14ac:dyDescent="0.1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2.75" hidden="1" customHeight="1" x14ac:dyDescent="0.1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2.75" hidden="1" customHeight="1" x14ac:dyDescent="0.1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2.75" hidden="1" customHeight="1" x14ac:dyDescent="0.15">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2.75" hidden="1" customHeight="1" x14ac:dyDescent="0.15">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2.75" hidden="1" customHeight="1" x14ac:dyDescent="0.15">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sheetData>
  <customSheetViews>
    <customSheetView guid="{A0B83632-25B5-FE44-8A66-2590D6BCDFDC}">
      <selection activeCell="C2" sqref="C2"/>
      <pageMargins left="0.7" right="0.7" top="0.75" bottom="0.75" header="0.3" footer="0.3"/>
      <pageSetup orientation="portrait" horizontalDpi="1200" verticalDpi="1200" r:id="rId1"/>
    </customSheetView>
  </customSheetViews>
  <pageMargins left="0.7" right="0.7" top="0.75" bottom="0.75" header="0.3" footer="0.3"/>
  <pageSetup orientation="portrait" horizontalDpi="1200" verticalDpi="1200" r:id="rId2"/>
  <cellWatches>
    <cellWatch r="F9"/>
  </cellWatch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H105"/>
  <sheetViews>
    <sheetView showGridLines="0" zoomScaleNormal="100" workbookViewId="0"/>
  </sheetViews>
  <sheetFormatPr baseColWidth="10" defaultColWidth="5.85546875" defaultRowHeight="16" x14ac:dyDescent="0.2"/>
  <cols>
    <col min="1" max="1" width="3.42578125" style="791" customWidth="1"/>
    <col min="2" max="2" width="33" style="791" customWidth="1"/>
    <col min="3" max="4" width="14.28515625" style="791" customWidth="1"/>
    <col min="5" max="5" width="67.140625" style="505" customWidth="1"/>
    <col min="6" max="6" width="5.85546875" style="505"/>
    <col min="7" max="8" width="5.85546875" style="504" customWidth="1"/>
    <col min="9" max="10" width="5.85546875" style="505" customWidth="1"/>
    <col min="11" max="12" width="5.85546875" style="504" customWidth="1"/>
    <col min="13" max="18" width="5.85546875" style="505" customWidth="1"/>
    <col min="19" max="34" width="5.85546875" style="505"/>
    <col min="35" max="16384" width="5.85546875" style="791"/>
  </cols>
  <sheetData>
    <row r="1" spans="1:34" ht="24" customHeight="1" x14ac:dyDescent="0.2">
      <c r="B1" s="1179" t="s">
        <v>498</v>
      </c>
      <c r="C1" s="1179"/>
      <c r="D1" s="1179"/>
      <c r="E1" s="1179"/>
      <c r="F1" s="521"/>
      <c r="G1" s="521"/>
      <c r="H1" s="521"/>
      <c r="I1" s="521"/>
      <c r="J1" s="792"/>
      <c r="K1" s="792"/>
      <c r="L1" s="792"/>
      <c r="M1" s="792"/>
      <c r="N1" s="792"/>
      <c r="O1" s="792"/>
      <c r="P1" s="792"/>
    </row>
    <row r="2" spans="1:34" ht="16" customHeight="1" thickBot="1" x14ac:dyDescent="0.25">
      <c r="A2" s="505"/>
      <c r="B2" s="505"/>
      <c r="C2" s="505"/>
      <c r="D2" s="505"/>
    </row>
    <row r="3" spans="1:34" s="793" customFormat="1" ht="24" customHeight="1" x14ac:dyDescent="0.2">
      <c r="A3" s="798"/>
      <c r="B3" s="1184" t="s">
        <v>259</v>
      </c>
      <c r="C3" s="1185"/>
      <c r="D3" s="1185"/>
      <c r="E3" s="1186"/>
      <c r="F3" s="798"/>
      <c r="G3" s="818"/>
      <c r="H3" s="818"/>
      <c r="I3" s="798"/>
      <c r="J3" s="798"/>
      <c r="K3" s="818"/>
      <c r="L3" s="818"/>
      <c r="M3" s="798"/>
      <c r="N3" s="798"/>
      <c r="O3" s="798"/>
      <c r="P3" s="798"/>
      <c r="Q3" s="798"/>
      <c r="R3" s="798"/>
      <c r="S3" s="798"/>
      <c r="T3" s="798"/>
      <c r="U3" s="798"/>
      <c r="V3" s="798"/>
      <c r="W3" s="798"/>
      <c r="X3" s="798"/>
      <c r="Y3" s="798"/>
      <c r="Z3" s="798"/>
      <c r="AA3" s="798"/>
      <c r="AB3" s="798"/>
      <c r="AC3" s="798"/>
      <c r="AD3" s="798"/>
      <c r="AE3" s="798"/>
      <c r="AF3" s="798"/>
      <c r="AG3" s="798"/>
      <c r="AH3" s="798"/>
    </row>
    <row r="4" spans="1:34" s="793" customFormat="1" ht="34" x14ac:dyDescent="0.2">
      <c r="B4" s="794" t="s">
        <v>257</v>
      </c>
      <c r="C4" s="795" t="s">
        <v>264</v>
      </c>
      <c r="D4" s="796" t="s">
        <v>258</v>
      </c>
      <c r="E4" s="797" t="s">
        <v>197</v>
      </c>
      <c r="F4" s="798"/>
      <c r="G4" s="798"/>
      <c r="H4" s="798"/>
      <c r="I4" s="798"/>
      <c r="O4" s="798"/>
      <c r="P4" s="798"/>
      <c r="Q4" s="798"/>
      <c r="R4" s="798"/>
      <c r="S4" s="798"/>
      <c r="T4" s="798"/>
      <c r="U4" s="798"/>
      <c r="V4" s="798"/>
      <c r="W4" s="798"/>
      <c r="X4" s="798"/>
      <c r="Y4" s="798"/>
      <c r="Z4" s="798"/>
      <c r="AA4" s="798"/>
      <c r="AB4" s="798"/>
      <c r="AC4" s="798"/>
      <c r="AD4" s="798"/>
      <c r="AE4" s="798"/>
      <c r="AF4" s="798"/>
      <c r="AG4" s="798"/>
      <c r="AH4" s="798"/>
    </row>
    <row r="5" spans="1:34" s="793" customFormat="1" ht="44" customHeight="1" x14ac:dyDescent="0.2">
      <c r="B5" s="799" t="s">
        <v>280</v>
      </c>
      <c r="C5" s="800">
        <f>IF($B$46=Variables!$E$27,Variables!C4,IF($B$46=Variables!$F$26,Variables!C4,Variables!D4))</f>
        <v>1.25</v>
      </c>
      <c r="D5" s="801">
        <f>Summary!D38</f>
        <v>0</v>
      </c>
      <c r="E5" s="802" t="str">
        <f>IF(D5=0,"",IF(D5&lt;C5,Variables!E4,Variables!F4))</f>
        <v/>
      </c>
      <c r="F5" s="798"/>
      <c r="G5" s="798"/>
      <c r="H5" s="798"/>
      <c r="I5" s="798"/>
      <c r="O5" s="798"/>
      <c r="P5" s="798"/>
      <c r="Q5" s="798"/>
      <c r="R5" s="798"/>
      <c r="S5" s="798"/>
      <c r="T5" s="798"/>
      <c r="U5" s="798"/>
      <c r="V5" s="798"/>
      <c r="W5" s="798"/>
      <c r="X5" s="798"/>
      <c r="Y5" s="798"/>
      <c r="Z5" s="798"/>
      <c r="AA5" s="798"/>
      <c r="AB5" s="798"/>
      <c r="AC5" s="798"/>
      <c r="AD5" s="798"/>
      <c r="AE5" s="798"/>
      <c r="AF5" s="798"/>
      <c r="AG5" s="798"/>
      <c r="AH5" s="798"/>
    </row>
    <row r="6" spans="1:34" s="793" customFormat="1" ht="44" customHeight="1" x14ac:dyDescent="0.2">
      <c r="B6" s="799" t="s">
        <v>283</v>
      </c>
      <c r="C6" s="803">
        <f>IF($B$46=Variables!$E$27,Variables!C5,IF($B$46=Variables!$F$26,Variables!C5,Variables!D5))</f>
        <v>0.15</v>
      </c>
      <c r="D6" s="804">
        <f ca="1">Summary!D48</f>
        <v>0</v>
      </c>
      <c r="E6" s="802" t="str">
        <f ca="1">IF(D6=0,"",IF(D6&lt;C6,Variables!E5,Variables!F5))</f>
        <v/>
      </c>
      <c r="F6" s="798"/>
      <c r="G6" s="798"/>
      <c r="H6" s="798"/>
      <c r="I6" s="798"/>
      <c r="O6" s="798"/>
      <c r="P6" s="798"/>
      <c r="Q6" s="798"/>
      <c r="R6" s="798"/>
      <c r="S6" s="798"/>
      <c r="T6" s="798"/>
      <c r="U6" s="798"/>
      <c r="V6" s="798"/>
      <c r="W6" s="798"/>
      <c r="X6" s="798"/>
      <c r="Y6" s="798"/>
      <c r="Z6" s="798"/>
      <c r="AA6" s="798"/>
      <c r="AB6" s="798"/>
      <c r="AC6" s="798"/>
      <c r="AD6" s="798"/>
      <c r="AE6" s="798"/>
      <c r="AF6" s="798"/>
      <c r="AG6" s="798"/>
      <c r="AH6" s="798"/>
    </row>
    <row r="7" spans="1:34" s="793" customFormat="1" ht="44" customHeight="1" x14ac:dyDescent="0.2">
      <c r="B7" s="799" t="s">
        <v>171</v>
      </c>
      <c r="C7" s="803">
        <f>IF($B$46=Variables!$E$27,Variables!C6,IF($B$46=Variables!$F$26,Variables!C6,Variables!D6))</f>
        <v>0.14000000000000001</v>
      </c>
      <c r="D7" s="804">
        <f>Summary!D50</f>
        <v>0</v>
      </c>
      <c r="E7" s="802" t="str">
        <f>IF(D7=0,"",IF(D7&lt;C7,Variables!E6,Variables!F6))</f>
        <v/>
      </c>
      <c r="F7" s="798"/>
      <c r="G7" s="798"/>
      <c r="H7" s="798"/>
      <c r="I7" s="798"/>
      <c r="O7" s="798"/>
      <c r="P7" s="798"/>
      <c r="Q7" s="798"/>
      <c r="R7" s="798"/>
      <c r="S7" s="798"/>
      <c r="T7" s="798"/>
      <c r="U7" s="798"/>
      <c r="V7" s="798"/>
      <c r="W7" s="798"/>
      <c r="X7" s="798"/>
      <c r="Y7" s="798"/>
      <c r="Z7" s="798"/>
      <c r="AA7" s="798"/>
      <c r="AB7" s="798"/>
      <c r="AC7" s="798"/>
      <c r="AD7" s="798"/>
      <c r="AE7" s="798"/>
      <c r="AF7" s="798"/>
      <c r="AG7" s="798"/>
      <c r="AH7" s="798"/>
    </row>
    <row r="8" spans="1:34" s="793" customFormat="1" ht="44" customHeight="1" x14ac:dyDescent="0.2">
      <c r="B8" s="799" t="s">
        <v>75</v>
      </c>
      <c r="C8" s="803">
        <f>IF($B$46=Variables!$E$27,Variables!C7,IF($B$46=Variables!$F$26,Variables!C7,Variables!D7))</f>
        <v>0.5</v>
      </c>
      <c r="D8" s="804">
        <f>Summary!C32</f>
        <v>0</v>
      </c>
      <c r="E8" s="802" t="str">
        <f>IF(D8=0,"",IF(D8&lt;C8,Variables!E7,Variables!F7))</f>
        <v/>
      </c>
      <c r="F8" s="798"/>
      <c r="G8" s="798"/>
      <c r="H8" s="798"/>
      <c r="I8" s="798"/>
      <c r="O8" s="798"/>
      <c r="P8" s="798"/>
      <c r="Q8" s="798"/>
      <c r="R8" s="798"/>
      <c r="S8" s="798"/>
      <c r="T8" s="798"/>
      <c r="U8" s="798"/>
      <c r="V8" s="798"/>
      <c r="W8" s="798"/>
      <c r="X8" s="798"/>
      <c r="Y8" s="798"/>
      <c r="Z8" s="798"/>
      <c r="AA8" s="798"/>
      <c r="AB8" s="798"/>
      <c r="AC8" s="798"/>
      <c r="AD8" s="798"/>
      <c r="AE8" s="798"/>
      <c r="AF8" s="798"/>
      <c r="AG8" s="798"/>
      <c r="AH8" s="798"/>
    </row>
    <row r="9" spans="1:34" s="793" customFormat="1" ht="44" customHeight="1" x14ac:dyDescent="0.2">
      <c r="B9" s="799" t="s">
        <v>281</v>
      </c>
      <c r="C9" s="803">
        <f>IF($B$46=Variables!$E$27,Variables!C8,IF($B$46=Variables!$F$26,Variables!C8,Variables!D8))</f>
        <v>0.6</v>
      </c>
      <c r="D9" s="804" t="str">
        <f>IF('Exit Strategy'!D4="NA","NA",'Exit Strategy'!D23)</f>
        <v>NA</v>
      </c>
      <c r="E9" s="802" t="str">
        <f>IF(OR(D9=0,D9="NA"),"",IF(D9&lt;C9,Variables!E8,Variables!F8))</f>
        <v/>
      </c>
      <c r="F9" s="798"/>
      <c r="G9" s="798"/>
      <c r="H9" s="798"/>
      <c r="I9" s="798"/>
      <c r="O9" s="798"/>
      <c r="P9" s="798"/>
      <c r="Q9" s="798"/>
      <c r="R9" s="798"/>
      <c r="S9" s="798"/>
      <c r="T9" s="798"/>
      <c r="U9" s="798"/>
      <c r="V9" s="798"/>
      <c r="W9" s="798"/>
      <c r="X9" s="798"/>
      <c r="Y9" s="798"/>
      <c r="Z9" s="798"/>
      <c r="AA9" s="798"/>
      <c r="AB9" s="798"/>
      <c r="AC9" s="798"/>
      <c r="AD9" s="798"/>
      <c r="AE9" s="798"/>
      <c r="AF9" s="798"/>
      <c r="AG9" s="798"/>
      <c r="AH9" s="798"/>
    </row>
    <row r="10" spans="1:34" s="793" customFormat="1" ht="44" customHeight="1" x14ac:dyDescent="0.2">
      <c r="B10" s="799" t="s">
        <v>656</v>
      </c>
      <c r="C10" s="803">
        <f>IF($B$46=Variables!$E$27,Variables!C9,IF($B$46=Variables!$F$26,Variables!C9,Variables!D9))</f>
        <v>7.0000000000000007E-2</v>
      </c>
      <c r="D10" s="804">
        <f>Summary!D37</f>
        <v>0</v>
      </c>
      <c r="E10" s="802" t="str">
        <f>IF(D10=0,"",IF(D10&lt;C10,Variables!E9,Variables!F9))</f>
        <v/>
      </c>
      <c r="F10" s="798"/>
      <c r="G10" s="798"/>
      <c r="H10" s="798"/>
      <c r="I10" s="798"/>
      <c r="O10" s="798"/>
      <c r="P10" s="798"/>
      <c r="Q10" s="798"/>
      <c r="R10" s="798"/>
      <c r="S10" s="798"/>
      <c r="T10" s="798"/>
      <c r="U10" s="798"/>
      <c r="V10" s="798"/>
      <c r="W10" s="798"/>
      <c r="X10" s="798"/>
      <c r="Y10" s="798"/>
      <c r="Z10" s="798"/>
      <c r="AA10" s="798"/>
      <c r="AB10" s="798"/>
      <c r="AC10" s="798"/>
      <c r="AD10" s="798"/>
      <c r="AE10" s="798"/>
      <c r="AF10" s="798"/>
      <c r="AG10" s="798"/>
      <c r="AH10" s="798"/>
    </row>
    <row r="11" spans="1:34" s="793" customFormat="1" ht="44" customHeight="1" x14ac:dyDescent="0.2">
      <c r="B11" s="799" t="s">
        <v>143</v>
      </c>
      <c r="C11" s="805">
        <f>IF($B$46=Variables!$E$27,Variables!C10,IF($B$46=Variables!$F$26,Variables!C10,Variables!D10))</f>
        <v>0</v>
      </c>
      <c r="D11" s="806">
        <f>'P&amp;L'!D32</f>
        <v>0</v>
      </c>
      <c r="E11" s="802" t="str">
        <f>IF(D5=0,"",IF(D11&lt;C11,Variables!E10,Variables!F10))</f>
        <v/>
      </c>
      <c r="G11" s="798"/>
      <c r="H11" s="798"/>
      <c r="I11" s="798"/>
      <c r="O11" s="798"/>
      <c r="P11" s="798"/>
      <c r="Q11" s="798"/>
      <c r="R11" s="798"/>
      <c r="S11" s="798"/>
      <c r="T11" s="798"/>
      <c r="U11" s="798"/>
      <c r="V11" s="798"/>
      <c r="W11" s="798"/>
      <c r="X11" s="798"/>
      <c r="Y11" s="798"/>
      <c r="Z11" s="798"/>
      <c r="AA11" s="798"/>
      <c r="AB11" s="798"/>
      <c r="AC11" s="798"/>
      <c r="AD11" s="798"/>
      <c r="AE11" s="798"/>
      <c r="AF11" s="798"/>
      <c r="AG11" s="798"/>
      <c r="AH11" s="798"/>
    </row>
    <row r="12" spans="1:34" s="793" customFormat="1" ht="44" customHeight="1" x14ac:dyDescent="0.2">
      <c r="B12" s="807" t="s">
        <v>402</v>
      </c>
      <c r="C12" s="808">
        <f>IF($B$46=Variables!$E$27,Variables!C11,IF($B$46=Variables!$F$26,Variables!C11,Variables!D11))</f>
        <v>0</v>
      </c>
      <c r="D12" s="808">
        <f>Summary!D21</f>
        <v>0</v>
      </c>
      <c r="E12" s="809" t="str">
        <f>IF(D5=0,"",IF(D12&lt;C12,Variables!E11,Variables!F11))</f>
        <v/>
      </c>
      <c r="F12" s="810"/>
      <c r="G12" s="798"/>
      <c r="H12" s="798"/>
      <c r="I12" s="798"/>
      <c r="O12" s="798"/>
      <c r="P12" s="798"/>
      <c r="Q12" s="798"/>
      <c r="R12" s="798"/>
      <c r="S12" s="798"/>
      <c r="T12" s="798"/>
      <c r="U12" s="798"/>
      <c r="V12" s="798"/>
      <c r="W12" s="798"/>
      <c r="X12" s="798"/>
      <c r="Y12" s="798"/>
      <c r="Z12" s="798"/>
      <c r="AA12" s="798"/>
      <c r="AB12" s="798"/>
      <c r="AC12" s="798"/>
      <c r="AD12" s="798"/>
      <c r="AE12" s="798"/>
      <c r="AF12" s="798"/>
      <c r="AG12" s="798"/>
      <c r="AH12" s="798"/>
    </row>
    <row r="13" spans="1:34" s="793" customFormat="1" ht="44" customHeight="1" x14ac:dyDescent="0.2">
      <c r="B13" s="799" t="s">
        <v>263</v>
      </c>
      <c r="C13" s="811" t="str">
        <f>IF($B$46=Variables!$E$27,Variables!C12,IF($B$46=Variables!$F$26,Variables!C12,Variables!D12))</f>
        <v>Yes</v>
      </c>
      <c r="D13" s="806" t="str">
        <f>IF('Exit Strategy'!D5=5,"Yes","No")</f>
        <v>Yes</v>
      </c>
      <c r="E13" s="802" t="str">
        <f>IF(D5=0,"",IF(D13=C13,Variables!F12,Variables!E12))</f>
        <v/>
      </c>
      <c r="F13" s="798"/>
      <c r="G13" s="798"/>
      <c r="H13" s="798"/>
      <c r="I13" s="798"/>
      <c r="O13" s="798"/>
      <c r="P13" s="798"/>
      <c r="Q13" s="798"/>
      <c r="R13" s="798"/>
      <c r="S13" s="798"/>
      <c r="T13" s="798"/>
      <c r="U13" s="798"/>
      <c r="V13" s="798"/>
      <c r="W13" s="798"/>
      <c r="X13" s="798"/>
      <c r="Y13" s="798"/>
      <c r="Z13" s="798"/>
      <c r="AA13" s="798"/>
      <c r="AB13" s="798"/>
      <c r="AC13" s="798"/>
      <c r="AD13" s="798"/>
      <c r="AE13" s="798"/>
      <c r="AF13" s="798"/>
      <c r="AG13" s="798"/>
      <c r="AH13" s="798"/>
    </row>
    <row r="14" spans="1:34" s="793" customFormat="1" ht="44" customHeight="1" thickBot="1" x14ac:dyDescent="0.25">
      <c r="B14" s="812" t="s">
        <v>299</v>
      </c>
      <c r="C14" s="813">
        <f>IF($B$46=Variables!$E$27,Variables!C13,IF($B$46=Variables!$F$26,Variables!C13,Variables!D13))</f>
        <v>1000000</v>
      </c>
      <c r="D14" s="814">
        <f>Summary!D10</f>
        <v>0</v>
      </c>
      <c r="E14" s="815" t="str">
        <f>IF($D$5=0,"",IF(D14&gt;=C14,Variables!F13,Variables!E13))</f>
        <v/>
      </c>
      <c r="F14" s="798"/>
      <c r="G14" s="798"/>
      <c r="H14" s="798"/>
      <c r="I14" s="798"/>
      <c r="O14" s="798"/>
      <c r="P14" s="798"/>
      <c r="Q14" s="798"/>
      <c r="R14" s="798"/>
      <c r="S14" s="798"/>
      <c r="T14" s="798"/>
      <c r="U14" s="798"/>
      <c r="V14" s="798"/>
      <c r="W14" s="798"/>
      <c r="X14" s="798"/>
      <c r="Y14" s="798"/>
      <c r="Z14" s="798"/>
      <c r="AA14" s="798"/>
      <c r="AB14" s="798"/>
      <c r="AC14" s="798"/>
      <c r="AD14" s="798"/>
      <c r="AE14" s="798"/>
      <c r="AF14" s="798"/>
      <c r="AG14" s="798"/>
      <c r="AH14" s="798"/>
    </row>
    <row r="15" spans="1:34" ht="19.5" customHeight="1" thickBot="1" x14ac:dyDescent="0.25">
      <c r="B15" s="505"/>
      <c r="C15" s="505"/>
      <c r="D15" s="505"/>
      <c r="G15" s="505"/>
      <c r="H15" s="505"/>
      <c r="J15" s="791"/>
      <c r="K15" s="791"/>
      <c r="L15" s="791"/>
      <c r="M15" s="791"/>
      <c r="N15" s="791"/>
    </row>
    <row r="16" spans="1:34" s="793" customFormat="1" ht="24" customHeight="1" x14ac:dyDescent="0.2">
      <c r="A16" s="798"/>
      <c r="B16" s="1184" t="s">
        <v>252</v>
      </c>
      <c r="C16" s="1185"/>
      <c r="D16" s="1185"/>
      <c r="E16" s="1186"/>
      <c r="F16" s="798"/>
      <c r="G16" s="798"/>
      <c r="H16" s="798"/>
      <c r="I16" s="798"/>
      <c r="O16" s="798"/>
      <c r="P16" s="798"/>
      <c r="Q16" s="798"/>
      <c r="R16" s="798"/>
      <c r="S16" s="798"/>
      <c r="T16" s="798"/>
      <c r="U16" s="798"/>
      <c r="V16" s="798"/>
      <c r="W16" s="798"/>
      <c r="X16" s="798"/>
      <c r="Y16" s="798"/>
      <c r="Z16" s="798"/>
      <c r="AA16" s="798"/>
      <c r="AB16" s="798"/>
      <c r="AC16" s="798"/>
      <c r="AD16" s="798"/>
      <c r="AE16" s="798"/>
      <c r="AF16" s="798"/>
      <c r="AG16" s="798"/>
      <c r="AH16" s="798"/>
    </row>
    <row r="17" spans="1:34" ht="56" customHeight="1" x14ac:dyDescent="0.2">
      <c r="A17" s="505"/>
      <c r="B17" s="1187" t="s">
        <v>578</v>
      </c>
      <c r="C17" s="1188"/>
      <c r="D17" s="1189"/>
      <c r="E17" s="1190"/>
      <c r="G17" s="505"/>
      <c r="H17" s="505"/>
      <c r="J17" s="791"/>
      <c r="K17" s="791"/>
      <c r="L17" s="791"/>
      <c r="M17" s="791"/>
      <c r="N17" s="791"/>
      <c r="V17" s="791"/>
      <c r="W17" s="791"/>
      <c r="X17" s="791"/>
      <c r="Y17" s="791"/>
      <c r="Z17" s="791"/>
      <c r="AA17" s="791"/>
      <c r="AB17" s="791"/>
      <c r="AC17" s="791"/>
      <c r="AD17" s="791"/>
      <c r="AE17" s="791"/>
      <c r="AF17" s="791"/>
      <c r="AG17" s="791"/>
      <c r="AH17" s="791"/>
    </row>
    <row r="18" spans="1:34" ht="42" customHeight="1" x14ac:dyDescent="0.2">
      <c r="A18" s="505"/>
      <c r="B18" s="1180" t="s">
        <v>562</v>
      </c>
      <c r="C18" s="1181"/>
      <c r="D18" s="1182"/>
      <c r="E18" s="1183"/>
      <c r="G18" s="505"/>
      <c r="H18" s="505"/>
      <c r="J18" s="791"/>
      <c r="K18" s="791"/>
      <c r="L18" s="791"/>
      <c r="M18" s="791"/>
      <c r="N18" s="791"/>
      <c r="V18" s="791"/>
      <c r="W18" s="791"/>
      <c r="X18" s="791"/>
      <c r="Y18" s="791"/>
      <c r="Z18" s="791"/>
      <c r="AA18" s="791"/>
      <c r="AB18" s="791"/>
      <c r="AC18" s="791"/>
      <c r="AD18" s="791"/>
      <c r="AE18" s="791"/>
      <c r="AF18" s="791"/>
      <c r="AG18" s="791"/>
      <c r="AH18" s="791"/>
    </row>
    <row r="19" spans="1:34" ht="62.25" customHeight="1" x14ac:dyDescent="0.2">
      <c r="A19" s="505"/>
      <c r="B19" s="1197"/>
      <c r="C19" s="1198"/>
      <c r="D19" s="1198"/>
      <c r="E19" s="1199"/>
      <c r="G19" s="505"/>
      <c r="H19" s="505"/>
      <c r="J19" s="791"/>
      <c r="K19" s="791"/>
      <c r="L19" s="791"/>
      <c r="M19" s="791"/>
      <c r="N19" s="791"/>
      <c r="V19" s="791"/>
      <c r="W19" s="791"/>
      <c r="X19" s="791"/>
      <c r="Y19" s="791"/>
      <c r="Z19" s="791"/>
      <c r="AA19" s="791"/>
      <c r="AB19" s="791"/>
      <c r="AC19" s="791"/>
      <c r="AD19" s="791"/>
      <c r="AE19" s="791"/>
      <c r="AF19" s="791"/>
      <c r="AG19" s="791"/>
      <c r="AH19" s="791"/>
    </row>
    <row r="20" spans="1:34" ht="33" customHeight="1" x14ac:dyDescent="0.2">
      <c r="A20" s="505"/>
      <c r="B20" s="1191" t="s">
        <v>219</v>
      </c>
      <c r="C20" s="1192"/>
      <c r="D20" s="1192"/>
      <c r="E20" s="1193"/>
      <c r="G20" s="505"/>
      <c r="H20" s="505"/>
      <c r="V20" s="791"/>
      <c r="W20" s="791"/>
      <c r="X20" s="791"/>
      <c r="Y20" s="791"/>
      <c r="Z20" s="791"/>
      <c r="AA20" s="791"/>
      <c r="AB20" s="791"/>
      <c r="AC20" s="791"/>
      <c r="AD20" s="791"/>
      <c r="AE20" s="791"/>
      <c r="AF20" s="791"/>
      <c r="AG20" s="791"/>
      <c r="AH20" s="791"/>
    </row>
    <row r="21" spans="1:34" ht="33" customHeight="1" x14ac:dyDescent="0.2">
      <c r="A21" s="505"/>
      <c r="B21" s="1194"/>
      <c r="C21" s="1195"/>
      <c r="D21" s="1195"/>
      <c r="E21" s="1196"/>
      <c r="G21" s="505"/>
      <c r="H21" s="505"/>
      <c r="V21" s="791"/>
      <c r="W21" s="791"/>
      <c r="X21" s="791"/>
      <c r="Y21" s="791"/>
      <c r="Z21" s="791"/>
      <c r="AA21" s="791"/>
      <c r="AB21" s="791"/>
      <c r="AC21" s="791"/>
      <c r="AD21" s="791"/>
      <c r="AE21" s="791"/>
      <c r="AF21" s="791"/>
      <c r="AG21" s="791"/>
      <c r="AH21" s="791"/>
    </row>
    <row r="22" spans="1:34" ht="33" customHeight="1" x14ac:dyDescent="0.2">
      <c r="A22" s="505"/>
      <c r="B22" s="1180" t="s">
        <v>220</v>
      </c>
      <c r="C22" s="1181"/>
      <c r="D22" s="1182"/>
      <c r="E22" s="1183"/>
      <c r="G22" s="505"/>
      <c r="H22" s="505"/>
      <c r="V22" s="791"/>
      <c r="W22" s="791"/>
      <c r="X22" s="791"/>
      <c r="Y22" s="791"/>
      <c r="Z22" s="791"/>
      <c r="AA22" s="791"/>
      <c r="AB22" s="791"/>
      <c r="AC22" s="791"/>
      <c r="AD22" s="791"/>
      <c r="AE22" s="791"/>
      <c r="AF22" s="791"/>
      <c r="AG22" s="791"/>
      <c r="AH22" s="791"/>
    </row>
    <row r="23" spans="1:34" ht="41" customHeight="1" x14ac:dyDescent="0.2">
      <c r="A23" s="505"/>
      <c r="B23" s="1200" t="s">
        <v>347</v>
      </c>
      <c r="C23" s="1201"/>
      <c r="D23" s="1201"/>
      <c r="E23" s="1183"/>
      <c r="G23" s="505"/>
      <c r="H23" s="505"/>
      <c r="V23" s="791"/>
      <c r="W23" s="791"/>
      <c r="X23" s="791"/>
      <c r="Y23" s="791"/>
      <c r="Z23" s="791"/>
      <c r="AA23" s="791"/>
      <c r="AB23" s="791"/>
      <c r="AC23" s="791"/>
      <c r="AD23" s="791"/>
      <c r="AE23" s="791"/>
      <c r="AF23" s="791"/>
      <c r="AG23" s="791"/>
      <c r="AH23" s="791"/>
    </row>
    <row r="24" spans="1:34" ht="33" customHeight="1" x14ac:dyDescent="0.2">
      <c r="A24" s="505"/>
      <c r="B24" s="1197"/>
      <c r="C24" s="1201"/>
      <c r="D24" s="1201"/>
      <c r="E24" s="1183"/>
      <c r="G24" s="505"/>
      <c r="H24" s="505"/>
      <c r="V24" s="791"/>
      <c r="W24" s="791"/>
      <c r="X24" s="791"/>
      <c r="Y24" s="791"/>
      <c r="Z24" s="791"/>
      <c r="AA24" s="791"/>
      <c r="AB24" s="791"/>
      <c r="AC24" s="791"/>
      <c r="AD24" s="791"/>
      <c r="AE24" s="791"/>
      <c r="AF24" s="791"/>
      <c r="AG24" s="791"/>
      <c r="AH24" s="791"/>
    </row>
    <row r="25" spans="1:34" ht="33" customHeight="1" x14ac:dyDescent="0.2">
      <c r="A25" s="505"/>
      <c r="B25" s="1200" t="s">
        <v>221</v>
      </c>
      <c r="C25" s="1209"/>
      <c r="D25" s="1210"/>
      <c r="E25" s="1199"/>
      <c r="G25" s="505"/>
      <c r="H25" s="505"/>
      <c r="K25" s="791"/>
      <c r="L25" s="791"/>
      <c r="M25" s="791"/>
      <c r="N25" s="791"/>
      <c r="O25" s="791"/>
      <c r="P25" s="791"/>
      <c r="Q25" s="791"/>
      <c r="R25" s="791"/>
      <c r="S25" s="506"/>
      <c r="T25" s="506"/>
      <c r="U25" s="506"/>
      <c r="V25" s="791"/>
      <c r="W25" s="791"/>
      <c r="X25" s="791"/>
      <c r="Y25" s="791"/>
      <c r="Z25" s="791"/>
      <c r="AA25" s="791"/>
      <c r="AB25" s="791"/>
      <c r="AC25" s="791"/>
      <c r="AD25" s="791"/>
      <c r="AE25" s="791"/>
      <c r="AF25" s="791"/>
      <c r="AG25" s="791"/>
      <c r="AH25" s="791"/>
    </row>
    <row r="26" spans="1:34" ht="33" customHeight="1" x14ac:dyDescent="0.2">
      <c r="A26" s="505"/>
      <c r="B26" s="1197"/>
      <c r="C26" s="1201"/>
      <c r="D26" s="1201"/>
      <c r="E26" s="1183"/>
      <c r="G26" s="505"/>
      <c r="H26" s="505"/>
      <c r="K26" s="791"/>
      <c r="L26" s="791"/>
      <c r="M26" s="791"/>
      <c r="N26" s="791"/>
      <c r="O26" s="791"/>
      <c r="P26" s="791"/>
      <c r="Q26" s="791"/>
      <c r="R26" s="791"/>
      <c r="S26" s="506"/>
      <c r="T26" s="506"/>
      <c r="U26" s="506"/>
      <c r="V26" s="791"/>
      <c r="W26" s="791"/>
      <c r="X26" s="791"/>
      <c r="Y26" s="791"/>
      <c r="Z26" s="791"/>
      <c r="AA26" s="791"/>
      <c r="AB26" s="791"/>
      <c r="AC26" s="791"/>
      <c r="AD26" s="791"/>
      <c r="AE26" s="791"/>
      <c r="AF26" s="791"/>
      <c r="AG26" s="791"/>
      <c r="AH26" s="791"/>
    </row>
    <row r="27" spans="1:34" ht="33" customHeight="1" x14ac:dyDescent="0.2">
      <c r="A27" s="505"/>
      <c r="B27" s="1200" t="s">
        <v>222</v>
      </c>
      <c r="C27" s="1209"/>
      <c r="D27" s="1211"/>
      <c r="E27" s="1183"/>
      <c r="G27" s="505"/>
      <c r="H27" s="505"/>
      <c r="K27" s="791"/>
      <c r="L27" s="791"/>
      <c r="M27" s="791"/>
      <c r="N27" s="791"/>
      <c r="O27" s="791"/>
      <c r="P27" s="791"/>
      <c r="Q27" s="791"/>
      <c r="R27" s="791"/>
      <c r="S27" s="506"/>
      <c r="T27" s="506"/>
      <c r="U27" s="506"/>
      <c r="V27" s="791"/>
      <c r="W27" s="791"/>
      <c r="X27" s="791"/>
      <c r="Y27" s="791"/>
      <c r="Z27" s="791"/>
      <c r="AA27" s="791"/>
      <c r="AB27" s="791"/>
      <c r="AC27" s="791"/>
      <c r="AD27" s="791"/>
      <c r="AE27" s="791"/>
      <c r="AF27" s="791"/>
      <c r="AG27" s="791"/>
      <c r="AH27" s="791"/>
    </row>
    <row r="28" spans="1:34" ht="33" customHeight="1" x14ac:dyDescent="0.2">
      <c r="A28" s="505"/>
      <c r="B28" s="1197"/>
      <c r="C28" s="1198"/>
      <c r="D28" s="1198"/>
      <c r="E28" s="1199"/>
      <c r="G28" s="505"/>
      <c r="H28" s="505"/>
      <c r="K28" s="791"/>
      <c r="L28" s="791"/>
      <c r="M28" s="791"/>
      <c r="N28" s="791"/>
      <c r="O28" s="791"/>
      <c r="P28" s="791"/>
      <c r="Q28" s="791"/>
      <c r="R28" s="791"/>
      <c r="S28" s="506"/>
      <c r="T28" s="506"/>
      <c r="U28" s="506"/>
      <c r="V28" s="791"/>
      <c r="W28" s="791"/>
      <c r="X28" s="791"/>
      <c r="Y28" s="791"/>
      <c r="Z28" s="791"/>
      <c r="AA28" s="791"/>
      <c r="AB28" s="791"/>
      <c r="AC28" s="791"/>
      <c r="AD28" s="791"/>
      <c r="AE28" s="791"/>
      <c r="AF28" s="791"/>
      <c r="AG28" s="791"/>
      <c r="AH28" s="791"/>
    </row>
    <row r="29" spans="1:34" ht="33" customHeight="1" x14ac:dyDescent="0.2">
      <c r="A29" s="505"/>
      <c r="B29" s="1200" t="s">
        <v>223</v>
      </c>
      <c r="C29" s="1209"/>
      <c r="D29" s="1211"/>
      <c r="E29" s="1183"/>
      <c r="G29" s="505"/>
      <c r="H29" s="505"/>
      <c r="K29" s="791"/>
      <c r="L29" s="791"/>
      <c r="M29" s="791"/>
      <c r="N29" s="791"/>
      <c r="O29" s="791"/>
      <c r="P29" s="791"/>
      <c r="Q29" s="791"/>
      <c r="R29" s="791"/>
      <c r="S29" s="506"/>
      <c r="T29" s="506"/>
      <c r="U29" s="506"/>
      <c r="V29" s="791"/>
      <c r="W29" s="791"/>
      <c r="X29" s="791"/>
      <c r="Y29" s="791"/>
      <c r="Z29" s="791"/>
      <c r="AA29" s="791"/>
      <c r="AB29" s="791"/>
      <c r="AC29" s="791"/>
      <c r="AD29" s="791"/>
      <c r="AE29" s="791"/>
      <c r="AF29" s="791"/>
      <c r="AG29" s="791"/>
      <c r="AH29" s="791"/>
    </row>
    <row r="30" spans="1:34" ht="33" customHeight="1" x14ac:dyDescent="0.2">
      <c r="A30" s="505"/>
      <c r="B30" s="1197"/>
      <c r="C30" s="1198"/>
      <c r="D30" s="1198"/>
      <c r="E30" s="1199"/>
      <c r="G30" s="505"/>
      <c r="H30" s="505"/>
      <c r="K30" s="791"/>
      <c r="L30" s="791"/>
      <c r="M30" s="791"/>
      <c r="N30" s="791"/>
      <c r="O30" s="791"/>
      <c r="P30" s="791"/>
      <c r="Q30" s="791"/>
      <c r="R30" s="791"/>
      <c r="S30" s="506"/>
      <c r="T30" s="506"/>
      <c r="U30" s="506"/>
      <c r="V30" s="791"/>
      <c r="W30" s="791"/>
      <c r="X30" s="791"/>
      <c r="Y30" s="791"/>
      <c r="Z30" s="791"/>
      <c r="AA30" s="791"/>
      <c r="AB30" s="791"/>
      <c r="AC30" s="791"/>
      <c r="AD30" s="791"/>
      <c r="AE30" s="791"/>
      <c r="AF30" s="791"/>
      <c r="AG30" s="791"/>
      <c r="AH30" s="791"/>
    </row>
    <row r="31" spans="1:34" ht="33" customHeight="1" x14ac:dyDescent="0.2">
      <c r="A31" s="505"/>
      <c r="B31" s="1200" t="s">
        <v>224</v>
      </c>
      <c r="C31" s="1201"/>
      <c r="D31" s="1201"/>
      <c r="E31" s="1183"/>
      <c r="G31" s="505"/>
      <c r="H31" s="505"/>
      <c r="K31" s="791"/>
      <c r="L31" s="791"/>
      <c r="M31" s="791"/>
      <c r="N31" s="791"/>
      <c r="O31" s="791"/>
      <c r="P31" s="791"/>
      <c r="Q31" s="791"/>
      <c r="R31" s="791"/>
      <c r="S31" s="506"/>
      <c r="T31" s="506"/>
      <c r="U31" s="506"/>
      <c r="V31" s="791"/>
      <c r="W31" s="791"/>
      <c r="X31" s="791"/>
      <c r="Y31" s="791"/>
      <c r="Z31" s="791"/>
      <c r="AA31" s="791"/>
      <c r="AB31" s="791"/>
      <c r="AC31" s="791"/>
      <c r="AD31" s="791"/>
      <c r="AE31" s="791"/>
      <c r="AF31" s="791"/>
      <c r="AG31" s="791"/>
      <c r="AH31" s="791"/>
    </row>
    <row r="32" spans="1:34" ht="33" customHeight="1" x14ac:dyDescent="0.2">
      <c r="A32" s="505"/>
      <c r="B32" s="1197"/>
      <c r="C32" s="1198"/>
      <c r="D32" s="1198"/>
      <c r="E32" s="1199"/>
      <c r="G32" s="505"/>
      <c r="H32" s="505"/>
      <c r="K32" s="791"/>
      <c r="L32" s="791"/>
      <c r="M32" s="791"/>
      <c r="N32" s="791"/>
      <c r="O32" s="791"/>
      <c r="P32" s="791"/>
      <c r="Q32" s="791"/>
      <c r="R32" s="791"/>
      <c r="S32" s="506"/>
      <c r="T32" s="506"/>
      <c r="U32" s="506"/>
      <c r="V32" s="791"/>
      <c r="W32" s="791"/>
      <c r="X32" s="791"/>
      <c r="Y32" s="791"/>
      <c r="Z32" s="791"/>
      <c r="AA32" s="791"/>
      <c r="AB32" s="791"/>
      <c r="AC32" s="791"/>
      <c r="AD32" s="791"/>
      <c r="AE32" s="791"/>
      <c r="AF32" s="791"/>
      <c r="AG32" s="791"/>
      <c r="AH32" s="791"/>
    </row>
    <row r="33" spans="1:34" ht="33" customHeight="1" x14ac:dyDescent="0.2">
      <c r="A33" s="505"/>
      <c r="B33" s="1200" t="s">
        <v>254</v>
      </c>
      <c r="C33" s="1201"/>
      <c r="D33" s="1201"/>
      <c r="E33" s="1183"/>
      <c r="G33" s="505"/>
      <c r="H33" s="505"/>
      <c r="K33" s="791"/>
      <c r="L33" s="791"/>
      <c r="M33" s="791"/>
      <c r="N33" s="791"/>
      <c r="O33" s="791"/>
      <c r="P33" s="791"/>
      <c r="Q33" s="791"/>
      <c r="R33" s="791"/>
      <c r="S33" s="506"/>
      <c r="T33" s="506"/>
      <c r="U33" s="506"/>
      <c r="V33" s="791"/>
      <c r="W33" s="791"/>
      <c r="X33" s="791"/>
      <c r="Y33" s="791"/>
      <c r="Z33" s="791"/>
      <c r="AA33" s="791"/>
      <c r="AB33" s="791"/>
      <c r="AC33" s="791"/>
      <c r="AD33" s="791"/>
      <c r="AE33" s="791"/>
      <c r="AF33" s="791"/>
      <c r="AG33" s="791"/>
      <c r="AH33" s="791"/>
    </row>
    <row r="34" spans="1:34" ht="33" customHeight="1" x14ac:dyDescent="0.2">
      <c r="A34" s="505"/>
      <c r="B34" s="1194"/>
      <c r="C34" s="1195"/>
      <c r="D34" s="1195"/>
      <c r="E34" s="1196"/>
      <c r="G34" s="505"/>
      <c r="H34" s="505"/>
      <c r="K34" s="791"/>
      <c r="L34" s="791"/>
      <c r="M34" s="791"/>
      <c r="N34" s="791"/>
      <c r="O34" s="791"/>
      <c r="P34" s="791"/>
      <c r="Q34" s="791"/>
      <c r="R34" s="791"/>
      <c r="S34" s="506"/>
      <c r="T34" s="506"/>
      <c r="U34" s="506"/>
      <c r="V34" s="791"/>
      <c r="W34" s="791"/>
      <c r="X34" s="791"/>
      <c r="Y34" s="791"/>
      <c r="Z34" s="791"/>
      <c r="AA34" s="791"/>
      <c r="AB34" s="791"/>
      <c r="AC34" s="791"/>
      <c r="AD34" s="791"/>
      <c r="AE34" s="791"/>
      <c r="AF34" s="791"/>
      <c r="AG34" s="791"/>
      <c r="AH34" s="791"/>
    </row>
    <row r="35" spans="1:34" ht="33" customHeight="1" x14ac:dyDescent="0.2">
      <c r="A35" s="505"/>
      <c r="B35" s="1180" t="s">
        <v>454</v>
      </c>
      <c r="C35" s="1201"/>
      <c r="D35" s="1201"/>
      <c r="E35" s="1183"/>
      <c r="G35" s="505"/>
      <c r="H35" s="505"/>
      <c r="K35" s="791"/>
      <c r="L35" s="791"/>
      <c r="M35" s="791"/>
      <c r="N35" s="791"/>
      <c r="O35" s="791"/>
      <c r="P35" s="791"/>
      <c r="Q35" s="791"/>
      <c r="R35" s="791"/>
      <c r="S35" s="506"/>
      <c r="T35" s="506"/>
      <c r="U35" s="506"/>
      <c r="V35" s="791"/>
      <c r="W35" s="791"/>
      <c r="X35" s="791"/>
      <c r="Y35" s="791"/>
      <c r="Z35" s="791"/>
      <c r="AA35" s="791"/>
      <c r="AB35" s="791"/>
      <c r="AC35" s="791"/>
      <c r="AD35" s="791"/>
      <c r="AE35" s="791"/>
      <c r="AF35" s="791"/>
      <c r="AG35" s="791"/>
      <c r="AH35" s="791"/>
    </row>
    <row r="36" spans="1:34" ht="33" customHeight="1" x14ac:dyDescent="0.2">
      <c r="A36" s="505"/>
      <c r="B36" s="1197"/>
      <c r="C36" s="1198"/>
      <c r="D36" s="1198"/>
      <c r="E36" s="1199"/>
      <c r="K36" s="791"/>
      <c r="L36" s="791"/>
      <c r="M36" s="791"/>
      <c r="N36" s="791"/>
      <c r="O36" s="791"/>
      <c r="P36" s="791"/>
      <c r="Q36" s="791"/>
      <c r="R36" s="791"/>
      <c r="S36" s="506"/>
      <c r="T36" s="506"/>
      <c r="U36" s="506"/>
      <c r="V36" s="791"/>
      <c r="W36" s="791"/>
      <c r="X36" s="791"/>
      <c r="Y36" s="791"/>
      <c r="Z36" s="791"/>
      <c r="AA36" s="791"/>
      <c r="AB36" s="791"/>
      <c r="AC36" s="791"/>
      <c r="AD36" s="791"/>
      <c r="AE36" s="791"/>
      <c r="AF36" s="791"/>
      <c r="AG36" s="791"/>
      <c r="AH36" s="791"/>
    </row>
    <row r="37" spans="1:34" ht="33" customHeight="1" x14ac:dyDescent="0.2">
      <c r="A37" s="505"/>
      <c r="B37" s="1180" t="s">
        <v>228</v>
      </c>
      <c r="C37" s="1201"/>
      <c r="D37" s="1201"/>
      <c r="E37" s="1183"/>
      <c r="K37" s="791"/>
      <c r="L37" s="791"/>
      <c r="M37" s="791"/>
      <c r="N37" s="791"/>
      <c r="O37" s="791"/>
      <c r="P37" s="791"/>
      <c r="Q37" s="791"/>
      <c r="R37" s="791"/>
      <c r="S37" s="506"/>
      <c r="T37" s="506"/>
      <c r="U37" s="506"/>
      <c r="V37" s="791"/>
      <c r="W37" s="791"/>
      <c r="X37" s="791"/>
      <c r="Y37" s="791"/>
      <c r="Z37" s="791"/>
      <c r="AA37" s="791"/>
      <c r="AB37" s="791"/>
      <c r="AC37" s="791"/>
      <c r="AD37" s="791"/>
      <c r="AE37" s="791"/>
      <c r="AF37" s="791"/>
      <c r="AG37" s="791"/>
      <c r="AH37" s="791"/>
    </row>
    <row r="38" spans="1:34" ht="33" customHeight="1" x14ac:dyDescent="0.2">
      <c r="A38" s="505"/>
      <c r="B38" s="1197"/>
      <c r="C38" s="1198"/>
      <c r="D38" s="1198"/>
      <c r="E38" s="1199"/>
      <c r="K38" s="791"/>
      <c r="L38" s="791"/>
      <c r="M38" s="791"/>
      <c r="N38" s="791"/>
      <c r="O38" s="791"/>
      <c r="P38" s="791"/>
      <c r="Q38" s="791"/>
      <c r="R38" s="791"/>
      <c r="S38" s="506"/>
      <c r="T38" s="506"/>
      <c r="U38" s="506"/>
      <c r="V38" s="791"/>
      <c r="W38" s="791"/>
      <c r="X38" s="791"/>
      <c r="Y38" s="791"/>
      <c r="Z38" s="791"/>
      <c r="AA38" s="791"/>
      <c r="AB38" s="791"/>
      <c r="AC38" s="791"/>
      <c r="AD38" s="791"/>
      <c r="AE38" s="791"/>
      <c r="AF38" s="791"/>
      <c r="AG38" s="791"/>
      <c r="AH38" s="791"/>
    </row>
    <row r="39" spans="1:34" ht="33" customHeight="1" x14ac:dyDescent="0.2">
      <c r="A39" s="505"/>
      <c r="B39" s="1208" t="s">
        <v>218</v>
      </c>
      <c r="C39" s="1182"/>
      <c r="D39" s="1182"/>
      <c r="E39" s="1183"/>
      <c r="V39" s="791"/>
      <c r="W39" s="791"/>
      <c r="X39" s="791"/>
      <c r="Y39" s="791"/>
      <c r="Z39" s="791"/>
      <c r="AA39" s="791"/>
      <c r="AB39" s="791"/>
      <c r="AC39" s="791"/>
      <c r="AD39" s="791"/>
      <c r="AE39" s="791"/>
      <c r="AF39" s="791"/>
      <c r="AG39" s="791"/>
      <c r="AH39" s="791"/>
    </row>
    <row r="40" spans="1:34" ht="33" customHeight="1" x14ac:dyDescent="0.2">
      <c r="A40" s="505"/>
      <c r="B40" s="816" t="s">
        <v>209</v>
      </c>
      <c r="C40" s="639"/>
      <c r="D40" s="1204" t="str">
        <f>IF(B40=Variables!F20, Variables!F21,IF(B40=Variables!G20,Variables!G21,IF(B40=Variables!H20,Variables!H21,IF(B40=Variables!I20,Variables!I21,IF(B40=Variables!J20,Variables!J21,IF(B40=Variables!K20,Variables!K21,IF(B40=Variables!L20,Variables!L21,"")))))))</f>
        <v/>
      </c>
      <c r="E40" s="1205"/>
      <c r="V40" s="791"/>
      <c r="W40" s="791"/>
      <c r="X40" s="791"/>
      <c r="Y40" s="791"/>
      <c r="Z40" s="791"/>
      <c r="AA40" s="791"/>
      <c r="AB40" s="791"/>
      <c r="AC40" s="791"/>
      <c r="AD40" s="791"/>
      <c r="AE40" s="791"/>
      <c r="AF40" s="791"/>
      <c r="AG40" s="791"/>
      <c r="AH40" s="791"/>
    </row>
    <row r="41" spans="1:34" ht="33" customHeight="1" x14ac:dyDescent="0.2">
      <c r="A41" s="505"/>
      <c r="B41" s="1191" t="s">
        <v>225</v>
      </c>
      <c r="C41" s="1192"/>
      <c r="D41" s="1206"/>
      <c r="E41" s="1207"/>
      <c r="V41" s="791"/>
      <c r="W41" s="791"/>
      <c r="X41" s="791"/>
      <c r="Y41" s="791"/>
      <c r="Z41" s="791"/>
      <c r="AA41" s="791"/>
      <c r="AB41" s="791"/>
      <c r="AC41" s="791"/>
      <c r="AD41" s="791"/>
      <c r="AE41" s="791"/>
      <c r="AF41" s="791"/>
      <c r="AG41" s="791"/>
      <c r="AH41" s="791"/>
    </row>
    <row r="42" spans="1:34" ht="33" customHeight="1" x14ac:dyDescent="0.2">
      <c r="A42" s="505"/>
      <c r="B42" s="816" t="s">
        <v>209</v>
      </c>
      <c r="C42" s="817"/>
      <c r="D42" s="1204" t="str">
        <f>IF(B42="Yes", Variables!E24,IF(B42="No",Variables!F23,""))</f>
        <v/>
      </c>
      <c r="E42" s="1205"/>
      <c r="V42" s="791"/>
      <c r="W42" s="791"/>
      <c r="X42" s="791"/>
      <c r="Y42" s="791"/>
      <c r="Z42" s="791"/>
      <c r="AA42" s="791"/>
      <c r="AB42" s="791"/>
      <c r="AC42" s="791"/>
      <c r="AD42" s="791"/>
      <c r="AE42" s="791"/>
      <c r="AF42" s="791"/>
      <c r="AG42" s="791"/>
      <c r="AH42" s="791"/>
    </row>
    <row r="43" spans="1:34" ht="33" customHeight="1" x14ac:dyDescent="0.2">
      <c r="A43" s="505"/>
      <c r="B43" s="1191" t="s">
        <v>229</v>
      </c>
      <c r="C43" s="1192"/>
      <c r="D43" s="1206"/>
      <c r="E43" s="1207"/>
      <c r="V43" s="791"/>
      <c r="W43" s="791"/>
      <c r="X43" s="791"/>
      <c r="Y43" s="791"/>
      <c r="Z43" s="791"/>
      <c r="AA43" s="791"/>
      <c r="AB43" s="791"/>
      <c r="AC43" s="791"/>
      <c r="AD43" s="791"/>
      <c r="AE43" s="791"/>
      <c r="AF43" s="791"/>
      <c r="AG43" s="791"/>
      <c r="AH43" s="791"/>
    </row>
    <row r="44" spans="1:34" ht="33" customHeight="1" x14ac:dyDescent="0.2">
      <c r="A44" s="505"/>
      <c r="B44" s="816" t="s">
        <v>209</v>
      </c>
      <c r="C44" s="639"/>
      <c r="D44" s="1204" t="str">
        <f>IF(B44="Yes", Variables!E26,IF(B44="No",Variables!F25,""))</f>
        <v/>
      </c>
      <c r="E44" s="1205"/>
      <c r="V44" s="791"/>
      <c r="W44" s="791"/>
      <c r="X44" s="791"/>
      <c r="Y44" s="791"/>
      <c r="Z44" s="791"/>
      <c r="AA44" s="791"/>
      <c r="AB44" s="791"/>
      <c r="AC44" s="791"/>
      <c r="AD44" s="791"/>
      <c r="AE44" s="791"/>
      <c r="AF44" s="791"/>
      <c r="AG44" s="791"/>
      <c r="AH44" s="791"/>
    </row>
    <row r="45" spans="1:34" ht="33" customHeight="1" x14ac:dyDescent="0.2">
      <c r="A45" s="505"/>
      <c r="B45" s="1191" t="s">
        <v>563</v>
      </c>
      <c r="C45" s="1192"/>
      <c r="D45" s="1206"/>
      <c r="E45" s="1207"/>
      <c r="V45" s="791"/>
      <c r="W45" s="791"/>
      <c r="X45" s="791"/>
      <c r="Y45" s="791"/>
      <c r="Z45" s="791"/>
      <c r="AA45" s="791"/>
      <c r="AB45" s="791"/>
      <c r="AC45" s="791"/>
      <c r="AD45" s="791"/>
      <c r="AE45" s="791"/>
      <c r="AF45" s="791"/>
      <c r="AG45" s="791"/>
      <c r="AH45" s="791"/>
    </row>
    <row r="46" spans="1:34" ht="33" customHeight="1" thickBot="1" x14ac:dyDescent="0.25">
      <c r="A46" s="505"/>
      <c r="B46" s="977" t="s">
        <v>209</v>
      </c>
      <c r="C46" s="978"/>
      <c r="D46" s="1202" t="str">
        <f>IF(B46="Value-Add", Variables!E28,IF(B46="Stable",Variables!F27,""))</f>
        <v/>
      </c>
      <c r="E46" s="1203"/>
      <c r="V46" s="791"/>
      <c r="W46" s="791"/>
      <c r="X46" s="791"/>
      <c r="Y46" s="791"/>
      <c r="Z46" s="791"/>
      <c r="AA46" s="791"/>
      <c r="AB46" s="791"/>
      <c r="AC46" s="791"/>
      <c r="AD46" s="791"/>
      <c r="AE46" s="791"/>
      <c r="AF46" s="791"/>
      <c r="AG46" s="791"/>
      <c r="AH46" s="791"/>
    </row>
    <row r="47" spans="1:34" x14ac:dyDescent="0.2">
      <c r="A47" s="505"/>
      <c r="B47" s="505"/>
      <c r="C47" s="505"/>
      <c r="D47" s="505"/>
      <c r="F47" s="791"/>
      <c r="G47" s="791"/>
      <c r="H47" s="791"/>
      <c r="I47" s="791"/>
      <c r="J47" s="791"/>
      <c r="K47" s="791"/>
      <c r="L47" s="791"/>
      <c r="M47" s="791"/>
      <c r="N47" s="791"/>
      <c r="O47" s="791"/>
      <c r="P47" s="791"/>
      <c r="Q47" s="791"/>
      <c r="R47" s="791"/>
      <c r="S47" s="791"/>
      <c r="T47" s="791"/>
      <c r="U47" s="791"/>
      <c r="V47" s="791"/>
      <c r="W47" s="791"/>
      <c r="X47" s="791"/>
      <c r="Y47" s="791"/>
      <c r="Z47" s="791"/>
      <c r="AA47" s="791"/>
      <c r="AB47" s="791"/>
      <c r="AC47" s="791"/>
      <c r="AD47" s="791"/>
      <c r="AE47" s="791"/>
      <c r="AF47" s="791"/>
      <c r="AG47" s="791"/>
      <c r="AH47" s="791"/>
    </row>
    <row r="48" spans="1:34" x14ac:dyDescent="0.2">
      <c r="A48" s="505"/>
      <c r="B48" s="102" t="str">
        <f ca="1">"Copyright © "&amp;YEAR(TODAY())&amp;" Michael Blank."</f>
        <v>Copyright © 2026 Michael Blank.</v>
      </c>
      <c r="C48" s="505"/>
      <c r="D48" s="505"/>
      <c r="F48" s="791"/>
      <c r="G48" s="791"/>
      <c r="H48" s="791"/>
      <c r="I48" s="791"/>
      <c r="J48" s="791"/>
      <c r="K48" s="791"/>
      <c r="L48" s="791"/>
      <c r="M48" s="791"/>
      <c r="N48" s="791"/>
      <c r="O48" s="791"/>
      <c r="P48" s="791"/>
      <c r="Q48" s="791"/>
      <c r="R48" s="791"/>
      <c r="S48" s="791"/>
      <c r="T48" s="791"/>
      <c r="U48" s="791"/>
      <c r="V48" s="791"/>
      <c r="W48" s="791"/>
      <c r="X48" s="791"/>
      <c r="Y48" s="791"/>
      <c r="Z48" s="791"/>
      <c r="AA48" s="791"/>
      <c r="AB48" s="791"/>
      <c r="AC48" s="791"/>
      <c r="AD48" s="791"/>
      <c r="AE48" s="791"/>
      <c r="AF48" s="791"/>
      <c r="AG48" s="791"/>
      <c r="AH48" s="791"/>
    </row>
    <row r="49" spans="1:34" x14ac:dyDescent="0.2">
      <c r="A49" s="505"/>
      <c r="B49" s="102" t="s">
        <v>124</v>
      </c>
      <c r="C49" s="505"/>
      <c r="D49" s="505"/>
      <c r="F49" s="791"/>
      <c r="G49" s="791"/>
      <c r="H49" s="791"/>
      <c r="I49" s="791"/>
      <c r="J49" s="791"/>
      <c r="K49" s="791"/>
      <c r="L49" s="791"/>
      <c r="M49" s="791"/>
      <c r="N49" s="791"/>
      <c r="O49" s="791"/>
      <c r="P49" s="791"/>
      <c r="Q49" s="791"/>
      <c r="R49" s="791"/>
      <c r="S49" s="791"/>
      <c r="T49" s="791"/>
      <c r="U49" s="791"/>
      <c r="V49" s="791"/>
      <c r="W49" s="791"/>
      <c r="X49" s="791"/>
      <c r="Y49" s="791"/>
      <c r="Z49" s="791"/>
      <c r="AA49" s="791"/>
      <c r="AB49" s="791"/>
      <c r="AC49" s="791"/>
      <c r="AD49" s="791"/>
      <c r="AE49" s="791"/>
      <c r="AF49" s="791"/>
      <c r="AG49" s="791"/>
      <c r="AH49" s="791"/>
    </row>
    <row r="50" spans="1:34" x14ac:dyDescent="0.2">
      <c r="A50" s="505"/>
      <c r="B50" s="505"/>
      <c r="C50" s="505"/>
      <c r="D50" s="505"/>
      <c r="F50" s="791"/>
      <c r="G50" s="791"/>
      <c r="H50" s="791"/>
      <c r="I50" s="791"/>
      <c r="J50" s="791"/>
      <c r="K50" s="791"/>
      <c r="L50" s="791"/>
      <c r="M50" s="791"/>
      <c r="N50" s="791"/>
      <c r="O50" s="791"/>
      <c r="P50" s="791"/>
      <c r="Q50" s="791"/>
      <c r="R50" s="791"/>
      <c r="S50" s="791"/>
      <c r="T50" s="791"/>
      <c r="U50" s="791"/>
      <c r="V50" s="791"/>
      <c r="W50" s="791"/>
      <c r="X50" s="791"/>
      <c r="Y50" s="791"/>
      <c r="Z50" s="791"/>
      <c r="AA50" s="791"/>
      <c r="AB50" s="791"/>
      <c r="AC50" s="791"/>
      <c r="AD50" s="791"/>
      <c r="AE50" s="791"/>
      <c r="AF50" s="791"/>
      <c r="AG50" s="791"/>
      <c r="AH50" s="791"/>
    </row>
    <row r="51" spans="1:34" x14ac:dyDescent="0.2">
      <c r="A51" s="505"/>
      <c r="B51" s="505"/>
      <c r="C51" s="505"/>
      <c r="D51" s="505"/>
      <c r="F51" s="791"/>
      <c r="G51" s="791"/>
      <c r="H51" s="791"/>
      <c r="I51" s="791"/>
      <c r="J51" s="791"/>
      <c r="K51" s="791"/>
      <c r="L51" s="791"/>
      <c r="M51" s="791"/>
      <c r="N51" s="791"/>
      <c r="O51" s="791"/>
      <c r="P51" s="791"/>
      <c r="Q51" s="791"/>
      <c r="R51" s="791"/>
      <c r="S51" s="791"/>
      <c r="T51" s="791"/>
      <c r="U51" s="791"/>
      <c r="V51" s="791"/>
      <c r="W51" s="791"/>
      <c r="X51" s="791"/>
      <c r="Y51" s="791"/>
      <c r="Z51" s="791"/>
      <c r="AA51" s="791"/>
      <c r="AB51" s="791"/>
      <c r="AC51" s="791"/>
      <c r="AD51" s="791"/>
      <c r="AE51" s="791"/>
      <c r="AF51" s="791"/>
      <c r="AG51" s="791"/>
      <c r="AH51" s="791"/>
    </row>
    <row r="52" spans="1:34" x14ac:dyDescent="0.2">
      <c r="A52" s="505"/>
      <c r="B52" s="505"/>
      <c r="C52" s="505"/>
      <c r="D52" s="505"/>
      <c r="F52" s="791"/>
      <c r="G52" s="791"/>
      <c r="H52" s="791"/>
      <c r="I52" s="791"/>
      <c r="J52" s="791"/>
      <c r="K52" s="791"/>
      <c r="L52" s="791"/>
      <c r="M52" s="791"/>
      <c r="N52" s="791"/>
      <c r="O52" s="791"/>
      <c r="P52" s="791"/>
      <c r="Q52" s="791"/>
      <c r="R52" s="791"/>
      <c r="S52" s="791"/>
      <c r="T52" s="791"/>
      <c r="U52" s="791"/>
      <c r="V52" s="791"/>
      <c r="W52" s="791"/>
      <c r="X52" s="791"/>
      <c r="Y52" s="791"/>
      <c r="Z52" s="791"/>
      <c r="AA52" s="791"/>
      <c r="AB52" s="791"/>
      <c r="AC52" s="791"/>
      <c r="AD52" s="791"/>
      <c r="AE52" s="791"/>
      <c r="AF52" s="791"/>
      <c r="AG52" s="791"/>
      <c r="AH52" s="791"/>
    </row>
    <row r="53" spans="1:34" x14ac:dyDescent="0.2">
      <c r="A53" s="505"/>
      <c r="B53" s="505"/>
      <c r="C53" s="505"/>
      <c r="D53" s="505"/>
      <c r="F53" s="791"/>
      <c r="G53" s="791"/>
      <c r="H53" s="791"/>
      <c r="I53" s="791"/>
      <c r="J53" s="791"/>
      <c r="K53" s="791"/>
      <c r="L53" s="791"/>
      <c r="M53" s="791"/>
      <c r="N53" s="791"/>
      <c r="O53" s="791"/>
      <c r="P53" s="791"/>
      <c r="Q53" s="791"/>
      <c r="R53" s="791"/>
      <c r="S53" s="791"/>
      <c r="T53" s="791"/>
      <c r="U53" s="791"/>
      <c r="V53" s="791"/>
      <c r="W53" s="791"/>
      <c r="X53" s="791"/>
      <c r="Y53" s="791"/>
      <c r="Z53" s="791"/>
      <c r="AA53" s="791"/>
      <c r="AB53" s="791"/>
      <c r="AC53" s="791"/>
      <c r="AD53" s="791"/>
      <c r="AE53" s="791"/>
      <c r="AF53" s="791"/>
      <c r="AG53" s="791"/>
      <c r="AH53" s="791"/>
    </row>
    <row r="54" spans="1:34" x14ac:dyDescent="0.2">
      <c r="A54" s="505"/>
      <c r="B54" s="505"/>
      <c r="C54" s="505"/>
      <c r="D54" s="505"/>
      <c r="F54" s="791"/>
      <c r="G54" s="791"/>
      <c r="H54" s="791"/>
      <c r="I54" s="791"/>
      <c r="J54" s="791"/>
      <c r="K54" s="791"/>
      <c r="L54" s="791"/>
      <c r="M54" s="791"/>
      <c r="N54" s="791"/>
      <c r="O54" s="791"/>
      <c r="P54" s="791"/>
      <c r="Q54" s="791"/>
      <c r="R54" s="791"/>
      <c r="S54" s="791"/>
      <c r="T54" s="791"/>
      <c r="U54" s="791"/>
      <c r="V54" s="791"/>
      <c r="W54" s="791"/>
      <c r="X54" s="791"/>
      <c r="Y54" s="791"/>
      <c r="Z54" s="791"/>
      <c r="AA54" s="791"/>
      <c r="AB54" s="791"/>
      <c r="AC54" s="791"/>
      <c r="AD54" s="791"/>
      <c r="AE54" s="791"/>
      <c r="AF54" s="791"/>
      <c r="AG54" s="791"/>
      <c r="AH54" s="791"/>
    </row>
    <row r="55" spans="1:34" x14ac:dyDescent="0.2">
      <c r="A55" s="505"/>
      <c r="B55" s="505"/>
      <c r="C55" s="505"/>
      <c r="D55" s="505"/>
      <c r="F55" s="791"/>
      <c r="G55" s="791"/>
      <c r="H55" s="791"/>
      <c r="I55" s="791"/>
      <c r="J55" s="791"/>
      <c r="K55" s="791"/>
      <c r="L55" s="791"/>
      <c r="M55" s="791"/>
      <c r="N55" s="791"/>
      <c r="O55" s="791"/>
      <c r="P55" s="791"/>
      <c r="Q55" s="791"/>
      <c r="R55" s="791"/>
      <c r="S55" s="791"/>
      <c r="T55" s="791"/>
      <c r="U55" s="791"/>
      <c r="V55" s="791"/>
      <c r="W55" s="791"/>
      <c r="X55" s="791"/>
      <c r="Y55" s="791"/>
      <c r="Z55" s="791"/>
      <c r="AA55" s="791"/>
      <c r="AB55" s="791"/>
      <c r="AC55" s="791"/>
      <c r="AD55" s="791"/>
      <c r="AE55" s="791"/>
      <c r="AF55" s="791"/>
      <c r="AG55" s="791"/>
      <c r="AH55" s="791"/>
    </row>
    <row r="56" spans="1:34" x14ac:dyDescent="0.2">
      <c r="A56" s="505"/>
      <c r="B56" s="505"/>
      <c r="C56" s="505"/>
      <c r="D56" s="505"/>
      <c r="F56" s="791"/>
      <c r="G56" s="791"/>
      <c r="H56" s="791"/>
      <c r="I56" s="791"/>
      <c r="J56" s="791"/>
      <c r="K56" s="791"/>
      <c r="L56" s="791"/>
      <c r="M56" s="791"/>
      <c r="N56" s="791"/>
      <c r="O56" s="791"/>
      <c r="P56" s="791"/>
      <c r="Q56" s="791"/>
      <c r="R56" s="791"/>
      <c r="S56" s="791"/>
      <c r="T56" s="791"/>
      <c r="U56" s="791"/>
      <c r="V56" s="791"/>
      <c r="W56" s="791"/>
      <c r="X56" s="791"/>
      <c r="Y56" s="791"/>
      <c r="Z56" s="791"/>
      <c r="AA56" s="791"/>
      <c r="AB56" s="791"/>
      <c r="AC56" s="791"/>
      <c r="AD56" s="791"/>
      <c r="AE56" s="791"/>
      <c r="AF56" s="791"/>
      <c r="AG56" s="791"/>
      <c r="AH56" s="791"/>
    </row>
    <row r="57" spans="1:34" x14ac:dyDescent="0.2">
      <c r="A57" s="505"/>
      <c r="B57" s="505"/>
      <c r="C57" s="505"/>
      <c r="D57" s="505"/>
      <c r="F57" s="791"/>
      <c r="G57" s="791"/>
      <c r="H57" s="791"/>
      <c r="I57" s="791"/>
      <c r="J57" s="791"/>
      <c r="K57" s="791"/>
      <c r="L57" s="791"/>
      <c r="M57" s="791"/>
      <c r="N57" s="791"/>
      <c r="O57" s="791"/>
      <c r="P57" s="791"/>
      <c r="Q57" s="791"/>
      <c r="R57" s="791"/>
      <c r="S57" s="791"/>
      <c r="T57" s="791"/>
      <c r="U57" s="791"/>
      <c r="V57" s="791"/>
      <c r="W57" s="791"/>
      <c r="X57" s="791"/>
      <c r="Y57" s="791"/>
      <c r="Z57" s="791"/>
      <c r="AA57" s="791"/>
      <c r="AB57" s="791"/>
      <c r="AC57" s="791"/>
      <c r="AD57" s="791"/>
      <c r="AE57" s="791"/>
      <c r="AF57" s="791"/>
      <c r="AG57" s="791"/>
      <c r="AH57" s="791"/>
    </row>
    <row r="58" spans="1:34" x14ac:dyDescent="0.2">
      <c r="A58" s="505"/>
      <c r="B58" s="505"/>
      <c r="C58" s="505"/>
      <c r="D58" s="505"/>
      <c r="F58" s="791"/>
      <c r="G58" s="791"/>
      <c r="H58" s="791"/>
      <c r="I58" s="791"/>
      <c r="J58" s="791"/>
      <c r="K58" s="791"/>
      <c r="L58" s="791"/>
      <c r="M58" s="791"/>
      <c r="N58" s="791"/>
      <c r="O58" s="791"/>
      <c r="P58" s="791"/>
      <c r="Q58" s="791"/>
      <c r="R58" s="791"/>
      <c r="S58" s="791"/>
      <c r="T58" s="791"/>
      <c r="U58" s="791"/>
      <c r="V58" s="791"/>
      <c r="W58" s="791"/>
      <c r="X58" s="791"/>
      <c r="Y58" s="791"/>
      <c r="Z58" s="791"/>
      <c r="AA58" s="791"/>
      <c r="AB58" s="791"/>
      <c r="AC58" s="791"/>
      <c r="AD58" s="791"/>
      <c r="AE58" s="791"/>
      <c r="AF58" s="791"/>
      <c r="AG58" s="791"/>
      <c r="AH58" s="791"/>
    </row>
    <row r="59" spans="1:34" x14ac:dyDescent="0.2">
      <c r="A59" s="505"/>
      <c r="B59" s="505"/>
      <c r="C59" s="505"/>
      <c r="D59" s="505"/>
      <c r="F59" s="791"/>
      <c r="G59" s="791"/>
      <c r="H59" s="791"/>
      <c r="I59" s="791"/>
      <c r="J59" s="791"/>
      <c r="K59" s="791"/>
      <c r="L59" s="791"/>
      <c r="M59" s="791"/>
      <c r="N59" s="791"/>
      <c r="O59" s="791"/>
      <c r="P59" s="791"/>
      <c r="Q59" s="791"/>
      <c r="R59" s="791"/>
      <c r="S59" s="791"/>
      <c r="T59" s="791"/>
      <c r="U59" s="791"/>
      <c r="V59" s="791"/>
      <c r="W59" s="791"/>
      <c r="X59" s="791"/>
      <c r="Y59" s="791"/>
      <c r="Z59" s="791"/>
      <c r="AA59" s="791"/>
      <c r="AB59" s="791"/>
      <c r="AC59" s="791"/>
      <c r="AD59" s="791"/>
      <c r="AE59" s="791"/>
      <c r="AF59" s="791"/>
      <c r="AG59" s="791"/>
      <c r="AH59" s="791"/>
    </row>
    <row r="60" spans="1:34" x14ac:dyDescent="0.2">
      <c r="A60" s="505"/>
      <c r="B60" s="505"/>
      <c r="C60" s="505"/>
      <c r="D60" s="505"/>
      <c r="F60" s="791"/>
      <c r="G60" s="791"/>
      <c r="H60" s="791"/>
      <c r="I60" s="791"/>
      <c r="J60" s="791"/>
      <c r="K60" s="791"/>
      <c r="L60" s="791"/>
      <c r="M60" s="791"/>
      <c r="N60" s="791"/>
      <c r="O60" s="791"/>
      <c r="P60" s="791"/>
      <c r="Q60" s="791"/>
      <c r="R60" s="791"/>
      <c r="S60" s="791"/>
      <c r="T60" s="791"/>
      <c r="U60" s="791"/>
      <c r="V60" s="791"/>
      <c r="W60" s="791"/>
      <c r="X60" s="791"/>
      <c r="Y60" s="791"/>
      <c r="Z60" s="791"/>
      <c r="AA60" s="791"/>
      <c r="AB60" s="791"/>
      <c r="AC60" s="791"/>
      <c r="AD60" s="791"/>
      <c r="AE60" s="791"/>
      <c r="AF60" s="791"/>
      <c r="AG60" s="791"/>
      <c r="AH60" s="791"/>
    </row>
    <row r="61" spans="1:34" x14ac:dyDescent="0.2">
      <c r="A61" s="505"/>
      <c r="B61" s="505"/>
      <c r="C61" s="505"/>
      <c r="D61" s="505"/>
      <c r="F61" s="791"/>
      <c r="G61" s="791"/>
      <c r="H61" s="791"/>
      <c r="I61" s="791"/>
      <c r="J61" s="791"/>
      <c r="K61" s="791"/>
      <c r="L61" s="791"/>
      <c r="M61" s="791"/>
      <c r="N61" s="791"/>
      <c r="O61" s="791"/>
      <c r="P61" s="791"/>
      <c r="Q61" s="791"/>
      <c r="R61" s="791"/>
      <c r="S61" s="791"/>
      <c r="T61" s="791"/>
      <c r="U61" s="791"/>
      <c r="V61" s="791"/>
      <c r="W61" s="791"/>
      <c r="X61" s="791"/>
      <c r="Y61" s="791"/>
      <c r="Z61" s="791"/>
      <c r="AA61" s="791"/>
      <c r="AB61" s="791"/>
      <c r="AC61" s="791"/>
      <c r="AD61" s="791"/>
      <c r="AE61" s="791"/>
      <c r="AF61" s="791"/>
      <c r="AG61" s="791"/>
      <c r="AH61" s="791"/>
    </row>
    <row r="62" spans="1:34" s="505" customFormat="1" x14ac:dyDescent="0.2">
      <c r="G62" s="504"/>
      <c r="H62" s="504"/>
      <c r="K62" s="504"/>
      <c r="L62" s="504"/>
    </row>
    <row r="63" spans="1:34" s="505" customFormat="1" x14ac:dyDescent="0.2">
      <c r="G63" s="504"/>
      <c r="H63" s="504"/>
      <c r="K63" s="504"/>
      <c r="L63" s="504"/>
    </row>
    <row r="64" spans="1:34" s="505" customFormat="1" x14ac:dyDescent="0.2">
      <c r="G64" s="504"/>
      <c r="H64" s="504"/>
      <c r="K64" s="504"/>
      <c r="L64" s="504"/>
    </row>
    <row r="65" spans="7:12" s="505" customFormat="1" x14ac:dyDescent="0.2">
      <c r="G65" s="504"/>
      <c r="H65" s="504"/>
      <c r="K65" s="504"/>
      <c r="L65" s="504"/>
    </row>
    <row r="66" spans="7:12" s="505" customFormat="1" x14ac:dyDescent="0.2">
      <c r="G66" s="504"/>
      <c r="H66" s="504"/>
      <c r="K66" s="504"/>
      <c r="L66" s="504"/>
    </row>
    <row r="67" spans="7:12" s="505" customFormat="1" x14ac:dyDescent="0.2">
      <c r="G67" s="504"/>
      <c r="H67" s="504"/>
      <c r="K67" s="504"/>
      <c r="L67" s="504"/>
    </row>
    <row r="68" spans="7:12" s="505" customFormat="1" x14ac:dyDescent="0.2">
      <c r="G68" s="504"/>
      <c r="H68" s="504"/>
      <c r="K68" s="504"/>
      <c r="L68" s="504"/>
    </row>
    <row r="69" spans="7:12" s="505" customFormat="1" x14ac:dyDescent="0.2">
      <c r="G69" s="504"/>
      <c r="H69" s="504"/>
      <c r="K69" s="504"/>
      <c r="L69" s="504"/>
    </row>
    <row r="70" spans="7:12" s="505" customFormat="1" x14ac:dyDescent="0.2">
      <c r="G70" s="504"/>
      <c r="H70" s="504"/>
      <c r="K70" s="504"/>
      <c r="L70" s="504"/>
    </row>
    <row r="71" spans="7:12" s="505" customFormat="1" x14ac:dyDescent="0.2">
      <c r="G71" s="504"/>
      <c r="H71" s="504"/>
      <c r="K71" s="504"/>
      <c r="L71" s="504"/>
    </row>
    <row r="72" spans="7:12" s="505" customFormat="1" x14ac:dyDescent="0.2">
      <c r="G72" s="504"/>
      <c r="H72" s="504"/>
      <c r="K72" s="504"/>
      <c r="L72" s="504"/>
    </row>
    <row r="73" spans="7:12" s="505" customFormat="1" x14ac:dyDescent="0.2">
      <c r="G73" s="504"/>
      <c r="H73" s="504"/>
      <c r="K73" s="504"/>
      <c r="L73" s="504"/>
    </row>
    <row r="74" spans="7:12" s="505" customFormat="1" x14ac:dyDescent="0.2">
      <c r="G74" s="504"/>
      <c r="H74" s="504"/>
      <c r="K74" s="504"/>
      <c r="L74" s="504"/>
    </row>
    <row r="75" spans="7:12" s="505" customFormat="1" x14ac:dyDescent="0.2">
      <c r="G75" s="504"/>
      <c r="H75" s="504"/>
      <c r="K75" s="504"/>
      <c r="L75" s="504"/>
    </row>
    <row r="76" spans="7:12" s="505" customFormat="1" x14ac:dyDescent="0.2">
      <c r="G76" s="504"/>
      <c r="H76" s="504"/>
      <c r="K76" s="504"/>
      <c r="L76" s="504"/>
    </row>
    <row r="77" spans="7:12" s="505" customFormat="1" x14ac:dyDescent="0.2">
      <c r="G77" s="504"/>
      <c r="H77" s="504"/>
      <c r="K77" s="504"/>
      <c r="L77" s="504"/>
    </row>
    <row r="78" spans="7:12" s="505" customFormat="1" x14ac:dyDescent="0.2">
      <c r="G78" s="504"/>
      <c r="H78" s="504"/>
      <c r="K78" s="504"/>
      <c r="L78" s="504"/>
    </row>
    <row r="79" spans="7:12" s="505" customFormat="1" x14ac:dyDescent="0.2">
      <c r="G79" s="504"/>
      <c r="H79" s="504"/>
      <c r="K79" s="504"/>
      <c r="L79" s="504"/>
    </row>
    <row r="80" spans="7:12" s="505" customFormat="1" x14ac:dyDescent="0.2">
      <c r="G80" s="504"/>
      <c r="H80" s="504"/>
      <c r="K80" s="504"/>
      <c r="L80" s="504"/>
    </row>
    <row r="81" spans="7:12" s="505" customFormat="1" x14ac:dyDescent="0.2">
      <c r="G81" s="504"/>
      <c r="H81" s="504"/>
      <c r="K81" s="504"/>
      <c r="L81" s="504"/>
    </row>
    <row r="82" spans="7:12" s="505" customFormat="1" x14ac:dyDescent="0.2">
      <c r="G82" s="504"/>
      <c r="H82" s="504"/>
      <c r="K82" s="504"/>
      <c r="L82" s="504"/>
    </row>
    <row r="83" spans="7:12" s="505" customFormat="1" x14ac:dyDescent="0.2">
      <c r="G83" s="504"/>
      <c r="H83" s="504"/>
      <c r="K83" s="504"/>
      <c r="L83" s="504"/>
    </row>
    <row r="84" spans="7:12" s="505" customFormat="1" x14ac:dyDescent="0.2">
      <c r="G84" s="504"/>
      <c r="H84" s="504"/>
      <c r="K84" s="504"/>
      <c r="L84" s="504"/>
    </row>
    <row r="85" spans="7:12" s="505" customFormat="1" x14ac:dyDescent="0.2">
      <c r="G85" s="504"/>
      <c r="H85" s="504"/>
      <c r="K85" s="504"/>
      <c r="L85" s="504"/>
    </row>
    <row r="86" spans="7:12" s="505" customFormat="1" x14ac:dyDescent="0.2">
      <c r="G86" s="504"/>
      <c r="H86" s="504"/>
      <c r="K86" s="504"/>
      <c r="L86" s="504"/>
    </row>
    <row r="87" spans="7:12" s="505" customFormat="1" x14ac:dyDescent="0.2">
      <c r="G87" s="504"/>
      <c r="H87" s="504"/>
      <c r="K87" s="504"/>
      <c r="L87" s="504"/>
    </row>
    <row r="88" spans="7:12" s="505" customFormat="1" x14ac:dyDescent="0.2">
      <c r="G88" s="504"/>
      <c r="H88" s="504"/>
      <c r="K88" s="504"/>
      <c r="L88" s="504"/>
    </row>
    <row r="89" spans="7:12" s="505" customFormat="1" x14ac:dyDescent="0.2">
      <c r="G89" s="504"/>
      <c r="H89" s="504"/>
      <c r="K89" s="504"/>
      <c r="L89" s="504"/>
    </row>
    <row r="90" spans="7:12" s="505" customFormat="1" x14ac:dyDescent="0.2">
      <c r="G90" s="504"/>
      <c r="H90" s="504"/>
      <c r="K90" s="504"/>
      <c r="L90" s="504"/>
    </row>
    <row r="91" spans="7:12" s="505" customFormat="1" x14ac:dyDescent="0.2">
      <c r="G91" s="504"/>
      <c r="H91" s="504"/>
      <c r="K91" s="504"/>
      <c r="L91" s="504"/>
    </row>
    <row r="92" spans="7:12" s="505" customFormat="1" x14ac:dyDescent="0.2">
      <c r="G92" s="504"/>
      <c r="H92" s="504"/>
      <c r="K92" s="504"/>
      <c r="L92" s="504"/>
    </row>
    <row r="93" spans="7:12" s="505" customFormat="1" x14ac:dyDescent="0.2">
      <c r="G93" s="504"/>
      <c r="H93" s="504"/>
      <c r="K93" s="504"/>
      <c r="L93" s="504"/>
    </row>
    <row r="94" spans="7:12" s="505" customFormat="1" x14ac:dyDescent="0.2">
      <c r="G94" s="504"/>
      <c r="H94" s="504"/>
      <c r="K94" s="504"/>
      <c r="L94" s="504"/>
    </row>
    <row r="95" spans="7:12" s="505" customFormat="1" x14ac:dyDescent="0.2">
      <c r="G95" s="504"/>
      <c r="H95" s="504"/>
      <c r="K95" s="504"/>
      <c r="L95" s="504"/>
    </row>
    <row r="96" spans="7:12" s="505" customFormat="1" x14ac:dyDescent="0.2">
      <c r="G96" s="504"/>
      <c r="H96" s="504"/>
      <c r="K96" s="504"/>
      <c r="L96" s="504"/>
    </row>
    <row r="97" spans="7:12" s="505" customFormat="1" x14ac:dyDescent="0.2">
      <c r="G97" s="504"/>
      <c r="H97" s="504"/>
      <c r="K97" s="504"/>
      <c r="L97" s="504"/>
    </row>
    <row r="98" spans="7:12" s="505" customFormat="1" x14ac:dyDescent="0.2">
      <c r="G98" s="504"/>
      <c r="H98" s="504"/>
      <c r="K98" s="504"/>
      <c r="L98" s="504"/>
    </row>
    <row r="99" spans="7:12" s="505" customFormat="1" x14ac:dyDescent="0.2">
      <c r="G99" s="504"/>
      <c r="H99" s="504"/>
      <c r="K99" s="504"/>
      <c r="L99" s="504"/>
    </row>
    <row r="100" spans="7:12" s="505" customFormat="1" x14ac:dyDescent="0.2">
      <c r="G100" s="504"/>
      <c r="H100" s="504"/>
      <c r="K100" s="504"/>
      <c r="L100" s="504"/>
    </row>
    <row r="101" spans="7:12" s="505" customFormat="1" x14ac:dyDescent="0.2">
      <c r="G101" s="504"/>
      <c r="H101" s="504"/>
      <c r="K101" s="504"/>
      <c r="L101" s="504"/>
    </row>
    <row r="102" spans="7:12" s="505" customFormat="1" x14ac:dyDescent="0.2">
      <c r="G102" s="504"/>
      <c r="H102" s="504"/>
      <c r="K102" s="504"/>
      <c r="L102" s="504"/>
    </row>
    <row r="103" spans="7:12" s="505" customFormat="1" x14ac:dyDescent="0.2">
      <c r="G103" s="504"/>
      <c r="H103" s="504"/>
      <c r="K103" s="504"/>
      <c r="L103" s="504"/>
    </row>
    <row r="104" spans="7:12" s="505" customFormat="1" x14ac:dyDescent="0.2">
      <c r="G104" s="504"/>
      <c r="H104" s="504"/>
      <c r="K104" s="504"/>
      <c r="L104" s="504"/>
    </row>
    <row r="105" spans="7:12" s="505" customFormat="1" x14ac:dyDescent="0.2">
      <c r="G105" s="504"/>
      <c r="H105" s="504"/>
      <c r="K105" s="504"/>
      <c r="L105" s="504"/>
    </row>
  </sheetData>
  <customSheetViews>
    <customSheetView guid="{A0B83632-25B5-FE44-8A66-2590D6BCDFDC}" scale="130" hiddenRows="1" hiddenColumns="1" topLeftCell="F2">
      <selection activeCell="J4" sqref="J4"/>
      <pageMargins left="0.75" right="0.75" top="1" bottom="1" header="0.5" footer="0.5"/>
      <pageSetup orientation="portrait" horizontalDpi="0" verticalDpi="0" r:id="rId1"/>
      <headerFooter alignWithMargins="0"/>
    </customSheetView>
  </customSheetViews>
  <mergeCells count="33">
    <mergeCell ref="B29:E29"/>
    <mergeCell ref="B26:E26"/>
    <mergeCell ref="B27:E27"/>
    <mergeCell ref="B41:E41"/>
    <mergeCell ref="B35:E35"/>
    <mergeCell ref="B37:E37"/>
    <mergeCell ref="B34:E34"/>
    <mergeCell ref="B36:E36"/>
    <mergeCell ref="B23:E23"/>
    <mergeCell ref="D46:E46"/>
    <mergeCell ref="D44:E44"/>
    <mergeCell ref="B38:E38"/>
    <mergeCell ref="B43:E43"/>
    <mergeCell ref="B45:E45"/>
    <mergeCell ref="B39:E39"/>
    <mergeCell ref="D40:E40"/>
    <mergeCell ref="D42:E42"/>
    <mergeCell ref="B30:E30"/>
    <mergeCell ref="B32:E32"/>
    <mergeCell ref="B31:E31"/>
    <mergeCell ref="B33:E33"/>
    <mergeCell ref="B24:E24"/>
    <mergeCell ref="B25:E25"/>
    <mergeCell ref="B28:E28"/>
    <mergeCell ref="B1:E1"/>
    <mergeCell ref="B22:E22"/>
    <mergeCell ref="B16:E16"/>
    <mergeCell ref="B3:E3"/>
    <mergeCell ref="B17:E17"/>
    <mergeCell ref="B20:E20"/>
    <mergeCell ref="B21:E21"/>
    <mergeCell ref="B19:E19"/>
    <mergeCell ref="B18:E18"/>
  </mergeCells>
  <phoneticPr fontId="13" type="noConversion"/>
  <conditionalFormatting sqref="D5">
    <cfRule type="cellIs" dxfId="74" priority="11" stopIfTrue="1" operator="greaterThanOrEqual">
      <formula>$C$5</formula>
    </cfRule>
    <cfRule type="cellIs" dxfId="73" priority="12" stopIfTrue="1" operator="lessThan">
      <formula>$C$5</formula>
    </cfRule>
  </conditionalFormatting>
  <conditionalFormatting sqref="D5:D8">
    <cfRule type="cellIs" priority="10" stopIfTrue="1" operator="equal">
      <formula>0</formula>
    </cfRule>
  </conditionalFormatting>
  <conditionalFormatting sqref="D6">
    <cfRule type="cellIs" dxfId="72" priority="42" stopIfTrue="1" operator="lessThan">
      <formula>$C$6</formula>
    </cfRule>
    <cfRule type="cellIs" dxfId="71" priority="41" stopIfTrue="1" operator="greaterThanOrEqual">
      <formula>$C$6</formula>
    </cfRule>
  </conditionalFormatting>
  <conditionalFormatting sqref="D7">
    <cfRule type="cellIs" dxfId="70" priority="29" stopIfTrue="1" operator="greaterThanOrEqual">
      <formula>$C$7</formula>
    </cfRule>
    <cfRule type="cellIs" dxfId="69" priority="30" stopIfTrue="1" operator="lessThan">
      <formula>$C$7</formula>
    </cfRule>
  </conditionalFormatting>
  <conditionalFormatting sqref="D8">
    <cfRule type="cellIs" dxfId="68" priority="33" stopIfTrue="1" operator="lessThan">
      <formula>$C$8</formula>
    </cfRule>
    <cfRule type="cellIs" dxfId="67" priority="32" stopIfTrue="1" operator="greaterThanOrEqual">
      <formula>$C$8</formula>
    </cfRule>
  </conditionalFormatting>
  <conditionalFormatting sqref="D9">
    <cfRule type="cellIs" dxfId="66" priority="72" stopIfTrue="1" operator="lessThan">
      <formula>$C$9</formula>
    </cfRule>
    <cfRule type="expression" priority="70" stopIfTrue="1">
      <formula>$D$5=0</formula>
    </cfRule>
    <cfRule type="cellIs" dxfId="65" priority="71" stopIfTrue="1" operator="greaterThanOrEqual">
      <formula>$C$9</formula>
    </cfRule>
  </conditionalFormatting>
  <conditionalFormatting sqref="D10">
    <cfRule type="cellIs" priority="37" stopIfTrue="1" operator="equal">
      <formula>0</formula>
    </cfRule>
    <cfRule type="cellIs" dxfId="64" priority="38" stopIfTrue="1" operator="greaterThanOrEqual">
      <formula>$C$10</formula>
    </cfRule>
    <cfRule type="cellIs" dxfId="63" priority="39" stopIfTrue="1" operator="lessThan">
      <formula>$C$10</formula>
    </cfRule>
  </conditionalFormatting>
  <conditionalFormatting sqref="D11">
    <cfRule type="cellIs" dxfId="62" priority="24" stopIfTrue="1" operator="lessThan">
      <formula>$C$11</formula>
    </cfRule>
    <cfRule type="cellIs" dxfId="61" priority="23" stopIfTrue="1" operator="greaterThanOrEqual">
      <formula>$C$11</formula>
    </cfRule>
  </conditionalFormatting>
  <conditionalFormatting sqref="D11:D14">
    <cfRule type="expression" priority="1" stopIfTrue="1">
      <formula>$D$5=0</formula>
    </cfRule>
  </conditionalFormatting>
  <conditionalFormatting sqref="D12">
    <cfRule type="cellIs" dxfId="60" priority="26" stopIfTrue="1" operator="greaterThanOrEqual">
      <formula>$C$12</formula>
    </cfRule>
    <cfRule type="cellIs" dxfId="59" priority="27" stopIfTrue="1" operator="lessThan">
      <formula>$C$12</formula>
    </cfRule>
  </conditionalFormatting>
  <conditionalFormatting sqref="D13">
    <cfRule type="cellIs" dxfId="58" priority="15" stopIfTrue="1" operator="notEqual">
      <formula>$C$13</formula>
    </cfRule>
    <cfRule type="cellIs" dxfId="57" priority="14" stopIfTrue="1" operator="equal">
      <formula>$C$13</formula>
    </cfRule>
  </conditionalFormatting>
  <conditionalFormatting sqref="D14">
    <cfRule type="cellIs" dxfId="56" priority="3" stopIfTrue="1" operator="lessThan">
      <formula>$C$14</formula>
    </cfRule>
    <cfRule type="cellIs" dxfId="55" priority="2" stopIfTrue="1" operator="greaterThanOrEqual">
      <formula>$C$14</formula>
    </cfRule>
  </conditionalFormatting>
  <dataValidations count="1">
    <dataValidation type="list" allowBlank="1" showInputMessage="1" showErrorMessage="1" sqref="B44" xr:uid="{BD5D98BE-781E-FC47-8C8B-F2A385BC98B7}">
      <formula1>"Yes,No"</formula1>
    </dataValidation>
  </dataValidations>
  <pageMargins left="0.75" right="0.75" top="1" bottom="1" header="0.5" footer="0.5"/>
  <pageSetup orientation="portrait" horizontalDpi="0" verticalDpi="0" r:id="rId2"/>
  <headerFooter alignWithMargins="0"/>
  <cellWatches>
    <cellWatch r="F9"/>
    <cellWatch r="F10"/>
  </cellWatches>
  <ignoredErrors>
    <ignoredError sqref="E9" formula="1"/>
  </ignoredErrors>
  <extLst>
    <ext xmlns:x14="http://schemas.microsoft.com/office/spreadsheetml/2009/9/main" uri="{CCE6A557-97BC-4b89-ADB6-D9C93CAAB3DF}">
      <x14:dataValidations xmlns:xm="http://schemas.microsoft.com/office/excel/2006/main" count="3">
        <x14:dataValidation type="list" allowBlank="1" showInputMessage="1" showErrorMessage="1" xr:uid="{CB9BD3EA-258B-A343-90C3-CE244AF3FFAB}">
          <x14:formula1>
            <xm:f>Variables!$E$20:$L$20</xm:f>
          </x14:formula1>
          <xm:sqref>B40</xm:sqref>
        </x14:dataValidation>
        <x14:dataValidation type="list" allowBlank="1" showInputMessage="1" showErrorMessage="1" xr:uid="{BEC24450-BF4C-1447-9AFA-D42108927027}">
          <x14:formula1>
            <xm:f>Variables!$F$28:$G$28</xm:f>
          </x14:formula1>
          <xm:sqref>B42</xm:sqref>
        </x14:dataValidation>
        <x14:dataValidation type="list" allowBlank="1" showInputMessage="1" showErrorMessage="1" xr:uid="{AF1E85E1-50B9-CE4C-A197-25B709C33733}">
          <x14:formula1>
            <xm:f>Variables!$F$26:$G$26</xm:f>
          </x14:formula1>
          <xm:sqref>B46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outlinePr summaryBelow="0" summaryRight="0"/>
  </sheetPr>
  <dimension ref="A1:BJ110"/>
  <sheetViews>
    <sheetView showGridLines="0" zoomScaleNormal="100" workbookViewId="0">
      <pane ySplit="3" topLeftCell="A4" activePane="bottomLeft" state="frozen"/>
      <selection pane="bottomLeft"/>
    </sheetView>
  </sheetViews>
  <sheetFormatPr baseColWidth="10" defaultColWidth="9" defaultRowHeight="16" outlineLevelCol="2" x14ac:dyDescent="0.2"/>
  <cols>
    <col min="1" max="1" width="3.42578125" style="47" customWidth="1"/>
    <col min="2" max="2" width="30.5703125" style="47" customWidth="1"/>
    <col min="3" max="3" width="6.42578125" style="47" customWidth="1"/>
    <col min="4" max="4" width="14.28515625" style="161" customWidth="1" collapsed="1"/>
    <col min="5" max="5" width="7.5703125" style="161" hidden="1" customWidth="1" outlineLevel="1"/>
    <col min="6" max="6" width="9.140625" style="161" customWidth="1"/>
    <col min="7" max="7" width="14.28515625" style="161" customWidth="1" collapsed="1"/>
    <col min="8" max="8" width="8.28515625" style="161" hidden="1" customWidth="1" outlineLevel="1"/>
    <col min="9" max="9" width="9.140625" style="161" customWidth="1"/>
    <col min="10" max="10" width="14.28515625" style="161" customWidth="1" collapsed="1"/>
    <col min="11" max="11" width="8.5703125" style="161" hidden="1" customWidth="1" outlineLevel="1"/>
    <col min="12" max="12" width="9.140625" style="161" customWidth="1"/>
    <col min="13" max="13" width="14.28515625" style="161" customWidth="1" collapsed="1"/>
    <col min="14" max="14" width="8.140625" style="161" hidden="1" customWidth="1" outlineLevel="1"/>
    <col min="15" max="15" width="9.140625" style="161" customWidth="1" collapsed="1"/>
    <col min="16" max="16" width="14.28515625" style="161" hidden="1" customWidth="1" outlineLevel="1" collapsed="1"/>
    <col min="17" max="17" width="7.85546875" style="161" hidden="1" customWidth="1" outlineLevel="2"/>
    <col min="18" max="18" width="9.140625" style="161" hidden="1" customWidth="1" outlineLevel="1"/>
    <col min="19" max="19" width="14.28515625" style="161" hidden="1" customWidth="1" outlineLevel="1" collapsed="1"/>
    <col min="20" max="20" width="7.85546875" style="161" hidden="1" customWidth="1" outlineLevel="2"/>
    <col min="21" max="21" width="9.140625" style="161" hidden="1" customWidth="1" outlineLevel="1"/>
    <col min="22" max="22" width="14.28515625" style="161" hidden="1" customWidth="1" outlineLevel="1" collapsed="1"/>
    <col min="23" max="23" width="7.85546875" style="161" hidden="1" customWidth="1" outlineLevel="2"/>
    <col min="24" max="24" width="9.140625" style="161" hidden="1" customWidth="1" outlineLevel="1"/>
    <col min="25" max="25" width="14.28515625" style="161" hidden="1" customWidth="1" outlineLevel="1" collapsed="1"/>
    <col min="26" max="26" width="7.85546875" style="161" hidden="1" customWidth="1" outlineLevel="2"/>
    <col min="27" max="27" width="9.140625" style="161" hidden="1" customWidth="1" outlineLevel="1"/>
    <col min="28" max="28" width="6.5703125" style="125" customWidth="1"/>
    <col min="29" max="29" width="23.85546875" style="160" customWidth="1"/>
    <col min="30" max="30" width="22.7109375" style="161" customWidth="1"/>
    <col min="31" max="31" width="9" style="161" customWidth="1"/>
    <col min="32" max="33" width="9" style="47" customWidth="1"/>
    <col min="34" max="34" width="9" style="47"/>
    <col min="35" max="35" width="17.140625" style="47" customWidth="1"/>
    <col min="36" max="36" width="11.42578125" style="47" customWidth="1"/>
    <col min="37" max="37" width="8.42578125" style="47" customWidth="1"/>
    <col min="38" max="38" width="30.42578125" style="47" customWidth="1"/>
    <col min="39" max="39" width="6.7109375" style="47" customWidth="1"/>
    <col min="40" max="41" width="9.5703125" style="129" customWidth="1"/>
    <col min="42" max="42" width="9.5703125" style="140" customWidth="1"/>
    <col min="43" max="47" width="9.5703125" style="129" customWidth="1"/>
    <col min="48" max="62" width="9" style="129"/>
    <col min="63" max="16384" width="9" style="47"/>
  </cols>
  <sheetData>
    <row r="1" spans="1:62" s="50" customFormat="1" ht="24" customHeight="1" x14ac:dyDescent="0.2">
      <c r="B1" s="1179" t="s">
        <v>127</v>
      </c>
      <c r="C1" s="1179"/>
      <c r="D1" s="1179"/>
      <c r="E1" s="1179"/>
      <c r="F1" s="1179"/>
      <c r="G1" s="1179"/>
      <c r="H1" s="1179"/>
      <c r="I1" s="1179"/>
      <c r="J1" s="1179"/>
      <c r="K1" s="1179"/>
      <c r="L1" s="1179"/>
      <c r="M1" s="1179"/>
      <c r="N1" s="1179"/>
      <c r="O1" s="1179"/>
      <c r="P1" s="123"/>
      <c r="Q1" s="161"/>
      <c r="R1" s="123"/>
      <c r="S1" s="123"/>
      <c r="T1" s="161"/>
      <c r="U1" s="123"/>
      <c r="V1" s="123"/>
      <c r="W1" s="161"/>
      <c r="X1" s="123"/>
      <c r="Y1" s="123"/>
      <c r="Z1" s="161"/>
      <c r="AA1" s="123"/>
      <c r="AB1" s="67"/>
      <c r="AC1" s="51"/>
      <c r="AD1" s="52"/>
      <c r="AE1" s="52"/>
      <c r="AF1" s="52"/>
      <c r="AG1" s="52"/>
      <c r="AH1" s="49"/>
      <c r="AI1" s="49"/>
      <c r="AJ1" s="49"/>
      <c r="AK1" s="49"/>
      <c r="AL1" s="49"/>
      <c r="AM1" s="49"/>
      <c r="AN1" s="77"/>
      <c r="AO1" s="54"/>
      <c r="AP1" s="124"/>
      <c r="AQ1" s="54"/>
      <c r="AR1" s="54"/>
      <c r="AS1" s="54"/>
      <c r="AT1" s="54"/>
      <c r="AU1" s="54"/>
      <c r="AV1" s="54"/>
      <c r="AW1" s="49"/>
      <c r="AX1" s="49"/>
      <c r="AY1" s="49"/>
      <c r="AZ1" s="49"/>
      <c r="BA1" s="49"/>
      <c r="BB1" s="49"/>
      <c r="BC1" s="49"/>
      <c r="BD1" s="49"/>
      <c r="BE1" s="49"/>
      <c r="BF1" s="49"/>
      <c r="BG1" s="49"/>
      <c r="BH1" s="49"/>
      <c r="BI1" s="49"/>
      <c r="BJ1" s="49"/>
    </row>
    <row r="2" spans="1:62" ht="17" thickBot="1" x14ac:dyDescent="0.25">
      <c r="A2" s="1212" t="s">
        <v>463</v>
      </c>
      <c r="B2" s="1212"/>
      <c r="C2" s="1212"/>
      <c r="D2" s="1212"/>
      <c r="E2" s="1212"/>
      <c r="F2" s="1212"/>
      <c r="G2" s="1212"/>
      <c r="H2" s="1212"/>
      <c r="I2" s="1212"/>
      <c r="J2" s="1212"/>
      <c r="K2" s="1212"/>
      <c r="L2" s="1212"/>
      <c r="M2" s="1212"/>
      <c r="N2" s="1212"/>
      <c r="O2" s="1212"/>
      <c r="P2" s="125"/>
      <c r="Q2" s="125"/>
      <c r="R2" s="125"/>
      <c r="S2" s="125"/>
      <c r="T2" s="125"/>
      <c r="U2" s="125"/>
      <c r="V2" s="125"/>
      <c r="W2" s="125"/>
      <c r="X2" s="125"/>
      <c r="Y2" s="125"/>
      <c r="Z2" s="125"/>
      <c r="AA2" s="125"/>
      <c r="AB2" s="126"/>
      <c r="AC2" s="128"/>
      <c r="AD2" s="125"/>
      <c r="AE2" s="125"/>
      <c r="AF2" s="129"/>
      <c r="AG2" s="129"/>
      <c r="AH2" s="129"/>
      <c r="AI2" s="129"/>
      <c r="AJ2" s="129"/>
      <c r="AK2" s="129"/>
      <c r="AL2" s="129"/>
      <c r="AM2" s="129"/>
      <c r="AN2" s="127"/>
      <c r="AO2" s="127"/>
      <c r="AP2" s="127"/>
      <c r="AQ2" s="127"/>
      <c r="AR2" s="127"/>
      <c r="AS2" s="127"/>
      <c r="AT2" s="127"/>
      <c r="AU2" s="127"/>
      <c r="AV2" s="127"/>
    </row>
    <row r="3" spans="1:62" ht="17" thickBot="1" x14ac:dyDescent="0.25">
      <c r="A3" s="54"/>
      <c r="B3" s="950"/>
      <c r="C3" s="1037"/>
      <c r="D3" s="953" t="s">
        <v>178</v>
      </c>
      <c r="E3" s="240"/>
      <c r="F3" s="949"/>
      <c r="G3" s="952" t="s">
        <v>179</v>
      </c>
      <c r="H3" s="240"/>
      <c r="I3" s="949"/>
      <c r="J3" s="952" t="s">
        <v>180</v>
      </c>
      <c r="K3" s="240"/>
      <c r="L3" s="949"/>
      <c r="M3" s="951" t="s">
        <v>181</v>
      </c>
      <c r="N3" s="240"/>
      <c r="O3" s="241"/>
      <c r="P3" s="242" t="s">
        <v>285</v>
      </c>
      <c r="Q3" s="240"/>
      <c r="R3" s="949"/>
      <c r="S3" s="951" t="s">
        <v>286</v>
      </c>
      <c r="T3" s="240"/>
      <c r="U3" s="949"/>
      <c r="V3" s="951" t="s">
        <v>287</v>
      </c>
      <c r="W3" s="240"/>
      <c r="X3" s="949"/>
      <c r="Y3" s="951" t="s">
        <v>288</v>
      </c>
      <c r="Z3" s="240"/>
      <c r="AA3" s="241"/>
      <c r="AB3" s="131"/>
      <c r="AC3" s="128"/>
      <c r="AD3" s="125"/>
      <c r="AE3" s="125"/>
      <c r="AF3" s="129"/>
      <c r="AG3" s="129"/>
      <c r="AH3" s="129"/>
      <c r="AI3" s="129"/>
      <c r="AJ3" s="129"/>
      <c r="AK3" s="129"/>
      <c r="AL3" s="129"/>
      <c r="AM3" s="129"/>
      <c r="AN3" s="127"/>
      <c r="AO3" s="127"/>
      <c r="AP3" s="127"/>
      <c r="AQ3" s="127"/>
      <c r="AR3" s="127"/>
      <c r="AS3" s="127"/>
      <c r="AT3" s="127"/>
      <c r="AU3" s="127"/>
      <c r="AV3" s="127"/>
    </row>
    <row r="4" spans="1:62" ht="17" thickBot="1" x14ac:dyDescent="0.25">
      <c r="A4" s="132"/>
      <c r="B4" s="187"/>
      <c r="C4" s="129"/>
      <c r="D4" s="133"/>
      <c r="E4" s="133"/>
      <c r="F4" s="125"/>
      <c r="G4" s="117"/>
      <c r="H4" s="117"/>
      <c r="I4" s="125"/>
      <c r="J4" s="125"/>
      <c r="K4" s="125"/>
      <c r="L4" s="125"/>
      <c r="M4" s="125"/>
      <c r="N4" s="125"/>
      <c r="O4" s="147"/>
      <c r="P4" s="125"/>
      <c r="Q4" s="125"/>
      <c r="R4" s="125"/>
      <c r="S4" s="125"/>
      <c r="T4" s="125"/>
      <c r="U4" s="125"/>
      <c r="V4" s="125"/>
      <c r="W4" s="125"/>
      <c r="X4" s="125"/>
      <c r="Y4" s="125"/>
      <c r="Z4" s="125"/>
      <c r="AA4" s="125"/>
      <c r="AB4" s="126"/>
      <c r="AC4" s="128"/>
      <c r="AD4" s="125"/>
      <c r="AE4" s="125"/>
      <c r="AF4" s="129"/>
      <c r="AG4" s="129"/>
      <c r="AH4" s="129"/>
      <c r="AI4" s="129"/>
      <c r="AJ4" s="129"/>
      <c r="AK4" s="129"/>
      <c r="AL4" s="129"/>
      <c r="AM4" s="129"/>
      <c r="AN4" s="127"/>
      <c r="AO4" s="127"/>
      <c r="AP4" s="127"/>
      <c r="AQ4" s="127"/>
      <c r="AR4" s="127"/>
      <c r="AS4" s="127"/>
      <c r="AT4" s="127"/>
      <c r="AU4" s="127"/>
      <c r="AV4" s="127"/>
    </row>
    <row r="5" spans="1:62" ht="18" thickBot="1" x14ac:dyDescent="0.25">
      <c r="A5" s="134"/>
      <c r="B5" s="313" t="s">
        <v>567</v>
      </c>
      <c r="C5" s="314"/>
      <c r="D5" s="915"/>
      <c r="E5" s="904"/>
      <c r="F5" s="905"/>
      <c r="G5" s="915"/>
      <c r="H5" s="904"/>
      <c r="I5" s="905"/>
      <c r="J5" s="915"/>
      <c r="K5" s="904"/>
      <c r="L5" s="905"/>
      <c r="M5" s="904"/>
      <c r="N5" s="904"/>
      <c r="O5" s="906"/>
      <c r="P5" s="635"/>
      <c r="Q5" s="635"/>
      <c r="R5" s="919"/>
      <c r="S5" s="918"/>
      <c r="T5" s="635"/>
      <c r="U5" s="919"/>
      <c r="V5" s="918"/>
      <c r="W5" s="635"/>
      <c r="X5" s="919"/>
      <c r="Y5" s="918"/>
      <c r="Z5" s="635"/>
      <c r="AA5" s="631"/>
      <c r="AB5" s="131"/>
      <c r="AC5" s="822" t="s">
        <v>243</v>
      </c>
      <c r="AD5" s="125"/>
      <c r="AE5" s="129"/>
      <c r="AF5" s="129"/>
      <c r="AG5" s="129"/>
      <c r="AH5" s="129"/>
      <c r="AI5" s="129"/>
      <c r="AJ5" s="129"/>
      <c r="AK5" s="129"/>
      <c r="AL5" s="129"/>
      <c r="AM5" s="135"/>
      <c r="AN5" s="127"/>
      <c r="AO5" s="135"/>
      <c r="AP5" s="135"/>
      <c r="AQ5" s="127"/>
      <c r="AR5" s="127"/>
      <c r="AS5" s="127"/>
      <c r="AT5" s="127"/>
      <c r="AU5" s="127"/>
      <c r="AV5" s="127"/>
    </row>
    <row r="6" spans="1:62" x14ac:dyDescent="0.2">
      <c r="A6" s="134"/>
      <c r="B6" s="187" t="s">
        <v>88</v>
      </c>
      <c r="C6" s="129"/>
      <c r="D6" s="909">
        <v>0</v>
      </c>
      <c r="E6" s="137"/>
      <c r="F6" s="162"/>
      <c r="G6" s="909">
        <f>D6</f>
        <v>0</v>
      </c>
      <c r="H6" s="138"/>
      <c r="I6" s="171"/>
      <c r="J6" s="909">
        <f>G6</f>
        <v>0</v>
      </c>
      <c r="K6" s="137"/>
      <c r="L6" s="171"/>
      <c r="M6" s="908">
        <f>J6</f>
        <v>0</v>
      </c>
      <c r="N6" s="137"/>
      <c r="O6" s="139"/>
      <c r="P6" s="137">
        <f>M6</f>
        <v>0</v>
      </c>
      <c r="Q6" s="137"/>
      <c r="R6" s="171"/>
      <c r="S6" s="909">
        <f>P6</f>
        <v>0</v>
      </c>
      <c r="T6" s="137"/>
      <c r="U6" s="171"/>
      <c r="V6" s="909">
        <f>S6</f>
        <v>0</v>
      </c>
      <c r="W6" s="137"/>
      <c r="X6" s="171"/>
      <c r="Y6" s="909">
        <f>V6</f>
        <v>0</v>
      </c>
      <c r="Z6" s="137"/>
      <c r="AA6" s="139"/>
      <c r="AB6" s="109"/>
      <c r="AC6" s="823"/>
      <c r="AD6" s="964"/>
      <c r="AE6" s="1215" t="s">
        <v>242</v>
      </c>
      <c r="AF6" s="1216"/>
      <c r="AG6" s="1215" t="s">
        <v>244</v>
      </c>
      <c r="AH6" s="1217"/>
      <c r="AI6" s="129"/>
      <c r="AJ6" s="129"/>
      <c r="AK6" s="129"/>
      <c r="AL6" s="129"/>
      <c r="AM6" s="129"/>
      <c r="AO6" s="135"/>
      <c r="AP6" s="135"/>
      <c r="AQ6" s="127"/>
      <c r="AR6" s="127"/>
      <c r="AS6" s="127"/>
      <c r="AT6" s="127"/>
      <c r="AU6" s="127"/>
      <c r="AV6" s="127"/>
    </row>
    <row r="7" spans="1:62" x14ac:dyDescent="0.2">
      <c r="A7" s="134"/>
      <c r="B7" s="187" t="s">
        <v>273</v>
      </c>
      <c r="C7" s="129"/>
      <c r="D7" s="909">
        <f>D6</f>
        <v>0</v>
      </c>
      <c r="E7" s="137"/>
      <c r="F7" s="162"/>
      <c r="G7" s="909">
        <f>G6</f>
        <v>0</v>
      </c>
      <c r="H7" s="138"/>
      <c r="I7" s="171"/>
      <c r="J7" s="909">
        <f>G7</f>
        <v>0</v>
      </c>
      <c r="K7" s="137"/>
      <c r="L7" s="171"/>
      <c r="M7" s="909">
        <f>J7</f>
        <v>0</v>
      </c>
      <c r="N7" s="137"/>
      <c r="O7" s="139"/>
      <c r="P7" s="137">
        <f>M7</f>
        <v>0</v>
      </c>
      <c r="Q7" s="137"/>
      <c r="R7" s="171"/>
      <c r="S7" s="909">
        <f>P7</f>
        <v>0</v>
      </c>
      <c r="T7" s="137"/>
      <c r="U7" s="171"/>
      <c r="V7" s="909">
        <f>S7</f>
        <v>0</v>
      </c>
      <c r="W7" s="137"/>
      <c r="X7" s="171"/>
      <c r="Y7" s="909">
        <f>V7</f>
        <v>0</v>
      </c>
      <c r="Z7" s="137"/>
      <c r="AA7" s="139"/>
      <c r="AB7" s="109"/>
      <c r="AC7" s="824" t="s">
        <v>241</v>
      </c>
      <c r="AD7" s="965" t="s">
        <v>23</v>
      </c>
      <c r="AE7" s="961" t="s">
        <v>245</v>
      </c>
      <c r="AF7" s="825" t="s">
        <v>42</v>
      </c>
      <c r="AG7" s="961" t="s">
        <v>245</v>
      </c>
      <c r="AH7" s="826" t="s">
        <v>42</v>
      </c>
      <c r="AI7" s="129"/>
      <c r="AJ7" s="129"/>
      <c r="AK7" s="129"/>
      <c r="AL7" s="129"/>
      <c r="AM7" s="129"/>
      <c r="AO7" s="140"/>
      <c r="AQ7" s="127"/>
      <c r="AR7" s="127"/>
      <c r="AS7" s="127"/>
      <c r="AT7" s="127"/>
      <c r="AU7" s="127"/>
      <c r="AV7" s="127"/>
    </row>
    <row r="8" spans="1:62" x14ac:dyDescent="0.2">
      <c r="A8" s="134"/>
      <c r="B8" s="187" t="s">
        <v>23</v>
      </c>
      <c r="C8" s="129"/>
      <c r="D8" s="916">
        <v>0</v>
      </c>
      <c r="E8" s="137"/>
      <c r="F8" s="900"/>
      <c r="G8" s="910">
        <f>D8</f>
        <v>0</v>
      </c>
      <c r="H8" s="125"/>
      <c r="I8" s="154"/>
      <c r="J8" s="910">
        <f>G8</f>
        <v>0</v>
      </c>
      <c r="K8" s="125"/>
      <c r="L8" s="154"/>
      <c r="M8" s="910">
        <f>J8</f>
        <v>0</v>
      </c>
      <c r="N8" s="125"/>
      <c r="O8" s="142"/>
      <c r="P8" s="141">
        <f>M8</f>
        <v>0</v>
      </c>
      <c r="Q8" s="125"/>
      <c r="R8" s="154"/>
      <c r="S8" s="910">
        <f>P8</f>
        <v>0</v>
      </c>
      <c r="T8" s="125"/>
      <c r="U8" s="154"/>
      <c r="V8" s="910">
        <f>S8</f>
        <v>0</v>
      </c>
      <c r="W8" s="125"/>
      <c r="X8" s="154"/>
      <c r="Y8" s="910">
        <f>V8</f>
        <v>0</v>
      </c>
      <c r="Z8" s="125"/>
      <c r="AA8" s="142"/>
      <c r="AB8" s="143"/>
      <c r="AC8" s="1086" t="s">
        <v>650</v>
      </c>
      <c r="AD8" s="966">
        <v>0</v>
      </c>
      <c r="AE8" s="962">
        <v>0</v>
      </c>
      <c r="AF8" s="145">
        <f t="shared" ref="AF8:AF14" si="0">AE8*AD8</f>
        <v>0</v>
      </c>
      <c r="AG8" s="962">
        <v>0</v>
      </c>
      <c r="AH8" s="146">
        <f t="shared" ref="AH8:AH14" si="1">AG8*AD8</f>
        <v>0</v>
      </c>
      <c r="AI8" s="129"/>
      <c r="AJ8" s="129"/>
      <c r="AK8" s="129"/>
      <c r="AL8" s="129"/>
      <c r="AM8" s="129"/>
      <c r="AO8" s="140"/>
      <c r="AQ8" s="127"/>
      <c r="AR8" s="127"/>
      <c r="AS8" s="127"/>
      <c r="AT8" s="127"/>
      <c r="AU8" s="127"/>
      <c r="AV8" s="127"/>
    </row>
    <row r="9" spans="1:62" x14ac:dyDescent="0.2">
      <c r="A9" s="134"/>
      <c r="B9" s="187" t="s">
        <v>36</v>
      </c>
      <c r="C9" s="129"/>
      <c r="D9" s="911">
        <f>IF(D8=0,0,D7/D8)</f>
        <v>0</v>
      </c>
      <c r="E9" s="125"/>
      <c r="F9" s="125"/>
      <c r="G9" s="911">
        <f>IF(G8=0,0,G7/G8)</f>
        <v>0</v>
      </c>
      <c r="H9" s="125"/>
      <c r="I9" s="125"/>
      <c r="J9" s="911">
        <f>IF(J8=0,0,J7/J8)</f>
        <v>0</v>
      </c>
      <c r="K9" s="125"/>
      <c r="L9" s="125"/>
      <c r="M9" s="911">
        <f>IF(M8=0,0,M7/M8)</f>
        <v>0</v>
      </c>
      <c r="N9" s="125"/>
      <c r="O9" s="147"/>
      <c r="P9" s="125">
        <f>IF(P8=0,0,P7/P8)</f>
        <v>0</v>
      </c>
      <c r="Q9" s="125"/>
      <c r="R9" s="125"/>
      <c r="S9" s="911">
        <f>IF(S8=0,0,S7/S8)</f>
        <v>0</v>
      </c>
      <c r="T9" s="125"/>
      <c r="U9" s="125"/>
      <c r="V9" s="911">
        <f>IF(V8=0,0,V7/V8)</f>
        <v>0</v>
      </c>
      <c r="W9" s="125"/>
      <c r="X9" s="125"/>
      <c r="Y9" s="911">
        <f>IF(Y8=0,0,Y7/Y8)</f>
        <v>0</v>
      </c>
      <c r="Z9" s="125"/>
      <c r="AA9" s="147"/>
      <c r="AB9" s="126"/>
      <c r="AC9" s="1087" t="s">
        <v>650</v>
      </c>
      <c r="AD9" s="966">
        <v>0</v>
      </c>
      <c r="AE9" s="962">
        <v>0</v>
      </c>
      <c r="AF9" s="145">
        <f t="shared" si="0"/>
        <v>0</v>
      </c>
      <c r="AG9" s="962">
        <v>0</v>
      </c>
      <c r="AH9" s="146">
        <f t="shared" si="1"/>
        <v>0</v>
      </c>
      <c r="AI9" s="129"/>
      <c r="AJ9" s="129"/>
      <c r="AK9" s="129"/>
      <c r="AL9" s="129"/>
      <c r="AM9" s="129"/>
      <c r="AO9" s="140"/>
      <c r="AP9" s="148"/>
      <c r="AQ9" s="127"/>
      <c r="AR9" s="127"/>
      <c r="AS9" s="127"/>
      <c r="AT9" s="127"/>
      <c r="AU9" s="127"/>
      <c r="AV9" s="127"/>
    </row>
    <row r="10" spans="1:62" ht="17" x14ac:dyDescent="0.2">
      <c r="A10" s="134"/>
      <c r="B10" s="903" t="s">
        <v>346</v>
      </c>
      <c r="C10" s="1038"/>
      <c r="D10" s="912">
        <v>0.25</v>
      </c>
      <c r="E10" s="624"/>
      <c r="F10" s="125"/>
      <c r="G10" s="912">
        <f>D10</f>
        <v>0.25</v>
      </c>
      <c r="H10" s="620"/>
      <c r="I10" s="125"/>
      <c r="J10" s="912">
        <f>G10</f>
        <v>0.25</v>
      </c>
      <c r="K10" s="620"/>
      <c r="L10" s="125"/>
      <c r="M10" s="912">
        <f>J10</f>
        <v>0.25</v>
      </c>
      <c r="N10" s="620"/>
      <c r="O10" s="147"/>
      <c r="P10" s="149">
        <f>M10</f>
        <v>0.25</v>
      </c>
      <c r="Q10" s="620"/>
      <c r="R10" s="125"/>
      <c r="S10" s="912">
        <f>P10</f>
        <v>0.25</v>
      </c>
      <c r="T10" s="620"/>
      <c r="U10" s="125"/>
      <c r="V10" s="912">
        <f>S10</f>
        <v>0.25</v>
      </c>
      <c r="W10" s="620"/>
      <c r="X10" s="125"/>
      <c r="Y10" s="912">
        <f>V10</f>
        <v>0.25</v>
      </c>
      <c r="Z10" s="620"/>
      <c r="AA10" s="147"/>
      <c r="AB10" s="126"/>
      <c r="AC10" s="1087" t="s">
        <v>650</v>
      </c>
      <c r="AD10" s="966">
        <v>0</v>
      </c>
      <c r="AE10" s="962">
        <v>0</v>
      </c>
      <c r="AF10" s="145">
        <f t="shared" si="0"/>
        <v>0</v>
      </c>
      <c r="AG10" s="962">
        <v>0</v>
      </c>
      <c r="AH10" s="146">
        <f t="shared" si="1"/>
        <v>0</v>
      </c>
      <c r="AI10" s="129"/>
      <c r="AJ10" s="129"/>
      <c r="AK10" s="129"/>
      <c r="AL10" s="129"/>
      <c r="AM10" s="129"/>
      <c r="AO10" s="140"/>
      <c r="AP10" s="150"/>
      <c r="AQ10" s="127"/>
      <c r="AR10" s="127"/>
      <c r="AS10" s="127"/>
      <c r="AT10" s="127"/>
      <c r="AU10" s="127"/>
      <c r="AV10" s="127"/>
    </row>
    <row r="11" spans="1:62" ht="17" x14ac:dyDescent="0.2">
      <c r="A11" s="134"/>
      <c r="B11" s="903" t="s">
        <v>343</v>
      </c>
      <c r="C11" s="1038"/>
      <c r="D11" s="911">
        <f>D10*D7</f>
        <v>0</v>
      </c>
      <c r="E11" s="125"/>
      <c r="F11" s="125"/>
      <c r="G11" s="911">
        <f>G10*G7</f>
        <v>0</v>
      </c>
      <c r="H11" s="125"/>
      <c r="I11" s="125"/>
      <c r="J11" s="911">
        <f>J10*J7</f>
        <v>0</v>
      </c>
      <c r="K11" s="125"/>
      <c r="L11" s="125"/>
      <c r="M11" s="911">
        <f>M10*M7</f>
        <v>0</v>
      </c>
      <c r="N11" s="125"/>
      <c r="O11" s="147"/>
      <c r="P11" s="125">
        <f>P10*P7</f>
        <v>0</v>
      </c>
      <c r="Q11" s="125"/>
      <c r="R11" s="125"/>
      <c r="S11" s="911">
        <f>S10*S7</f>
        <v>0</v>
      </c>
      <c r="T11" s="125"/>
      <c r="U11" s="125"/>
      <c r="V11" s="911">
        <f>V10*V7</f>
        <v>0</v>
      </c>
      <c r="W11" s="125"/>
      <c r="X11" s="125"/>
      <c r="Y11" s="911">
        <f>Y10*Y7</f>
        <v>0</v>
      </c>
      <c r="Z11" s="125"/>
      <c r="AA11" s="147"/>
      <c r="AB11" s="126"/>
      <c r="AC11" s="1087" t="s">
        <v>650</v>
      </c>
      <c r="AD11" s="966">
        <v>0</v>
      </c>
      <c r="AE11" s="962">
        <v>0</v>
      </c>
      <c r="AF11" s="145">
        <f t="shared" si="0"/>
        <v>0</v>
      </c>
      <c r="AG11" s="962">
        <v>0</v>
      </c>
      <c r="AH11" s="146">
        <f t="shared" si="1"/>
        <v>0</v>
      </c>
      <c r="AI11" s="129"/>
      <c r="AJ11" s="129"/>
      <c r="AK11" s="129"/>
      <c r="AL11" s="129"/>
      <c r="AM11" s="129"/>
      <c r="AO11" s="140"/>
      <c r="AP11" s="150"/>
      <c r="AQ11" s="127"/>
      <c r="AR11" s="127"/>
      <c r="AS11" s="127"/>
      <c r="AT11" s="127"/>
      <c r="AU11" s="127"/>
      <c r="AV11" s="127"/>
    </row>
    <row r="12" spans="1:62" ht="17" x14ac:dyDescent="0.2">
      <c r="A12" s="134"/>
      <c r="B12" s="903" t="s">
        <v>405</v>
      </c>
      <c r="C12" s="1038"/>
      <c r="D12" s="917">
        <v>0</v>
      </c>
      <c r="E12" s="137"/>
      <c r="F12" s="900"/>
      <c r="G12" s="913">
        <f>D12</f>
        <v>0</v>
      </c>
      <c r="H12" s="621"/>
      <c r="I12" s="901"/>
      <c r="J12" s="913">
        <f>G12</f>
        <v>0</v>
      </c>
      <c r="K12" s="621"/>
      <c r="L12" s="901"/>
      <c r="M12" s="913">
        <f>J12</f>
        <v>0</v>
      </c>
      <c r="N12" s="125"/>
      <c r="O12" s="142"/>
      <c r="P12" s="899">
        <f>M12</f>
        <v>0</v>
      </c>
      <c r="Q12" s="125"/>
      <c r="R12" s="154"/>
      <c r="S12" s="916">
        <f>P12</f>
        <v>0</v>
      </c>
      <c r="T12" s="125"/>
      <c r="U12" s="154"/>
      <c r="V12" s="916">
        <f>S12</f>
        <v>0</v>
      </c>
      <c r="W12" s="125"/>
      <c r="X12" s="154"/>
      <c r="Y12" s="916">
        <f>V12</f>
        <v>0</v>
      </c>
      <c r="Z12" s="125"/>
      <c r="AA12" s="147"/>
      <c r="AB12" s="126"/>
      <c r="AC12" s="1087" t="s">
        <v>650</v>
      </c>
      <c r="AD12" s="966">
        <v>0</v>
      </c>
      <c r="AE12" s="962">
        <v>0</v>
      </c>
      <c r="AF12" s="145">
        <f t="shared" si="0"/>
        <v>0</v>
      </c>
      <c r="AG12" s="962">
        <v>0</v>
      </c>
      <c r="AH12" s="146">
        <f t="shared" si="1"/>
        <v>0</v>
      </c>
      <c r="AI12" s="129"/>
      <c r="AJ12" s="129"/>
      <c r="AK12" s="129"/>
      <c r="AL12" s="129"/>
      <c r="AM12" s="129"/>
      <c r="AO12" s="140"/>
      <c r="AP12" s="150"/>
      <c r="AQ12" s="127"/>
      <c r="AR12" s="127"/>
      <c r="AS12" s="127"/>
      <c r="AT12" s="127"/>
      <c r="AU12" s="127"/>
      <c r="AV12" s="127"/>
    </row>
    <row r="13" spans="1:62" ht="17" x14ac:dyDescent="0.2">
      <c r="A13" s="134"/>
      <c r="B13" s="903" t="s">
        <v>95</v>
      </c>
      <c r="C13" s="1038"/>
      <c r="D13" s="911">
        <f>D7-D11</f>
        <v>0</v>
      </c>
      <c r="E13" s="125"/>
      <c r="F13" s="125"/>
      <c r="G13" s="911">
        <f>G7-G11</f>
        <v>0</v>
      </c>
      <c r="H13" s="125"/>
      <c r="I13" s="125"/>
      <c r="J13" s="911">
        <f>J7-J11</f>
        <v>0</v>
      </c>
      <c r="K13" s="125"/>
      <c r="L13" s="125"/>
      <c r="M13" s="911">
        <f>M7-M11</f>
        <v>0</v>
      </c>
      <c r="N13" s="125"/>
      <c r="O13" s="147"/>
      <c r="P13" s="125">
        <f>P7-P11</f>
        <v>0</v>
      </c>
      <c r="Q13" s="125"/>
      <c r="R13" s="125"/>
      <c r="S13" s="911">
        <f>S7-S11</f>
        <v>0</v>
      </c>
      <c r="T13" s="125"/>
      <c r="U13" s="125"/>
      <c r="V13" s="911">
        <f>V7-V11</f>
        <v>0</v>
      </c>
      <c r="W13" s="125"/>
      <c r="X13" s="125"/>
      <c r="Y13" s="911">
        <f>Y7-Y11</f>
        <v>0</v>
      </c>
      <c r="Z13" s="125"/>
      <c r="AA13" s="147"/>
      <c r="AB13" s="126"/>
      <c r="AC13" s="1087" t="s">
        <v>650</v>
      </c>
      <c r="AD13" s="966">
        <v>0</v>
      </c>
      <c r="AE13" s="962">
        <v>0</v>
      </c>
      <c r="AF13" s="145">
        <f t="shared" si="0"/>
        <v>0</v>
      </c>
      <c r="AG13" s="962">
        <v>0</v>
      </c>
      <c r="AH13" s="146">
        <f t="shared" si="1"/>
        <v>0</v>
      </c>
      <c r="AI13" s="129"/>
      <c r="AJ13" s="129"/>
      <c r="AK13" s="129"/>
      <c r="AL13" s="129"/>
      <c r="AM13" s="129"/>
      <c r="AO13" s="140"/>
      <c r="AP13" s="148"/>
      <c r="AQ13" s="127"/>
      <c r="AR13" s="127"/>
      <c r="AS13" s="127"/>
      <c r="AT13" s="127"/>
      <c r="AU13" s="127"/>
      <c r="AV13" s="127"/>
    </row>
    <row r="14" spans="1:62" x14ac:dyDescent="0.2">
      <c r="A14" s="134"/>
      <c r="B14" s="187" t="s">
        <v>401</v>
      </c>
      <c r="C14" s="1048" t="s">
        <v>611</v>
      </c>
      <c r="D14" s="909">
        <f>IF($C$14="OFF",0,Repairs!$E$35)</f>
        <v>0</v>
      </c>
      <c r="E14" s="137"/>
      <c r="F14" s="125"/>
      <c r="G14" s="909">
        <f>IF($C$14="OFF",D14,Repairs!$E$35)</f>
        <v>0</v>
      </c>
      <c r="H14" s="137"/>
      <c r="I14" s="156"/>
      <c r="J14" s="909">
        <f>IF($C$14="OFF",G14,Repairs!$E$35)</f>
        <v>0</v>
      </c>
      <c r="K14" s="137"/>
      <c r="L14" s="156"/>
      <c r="M14" s="909">
        <f>IF($C$14="OFF",J14,Repairs!$E$35)</f>
        <v>0</v>
      </c>
      <c r="N14" s="137"/>
      <c r="O14" s="151"/>
      <c r="P14" s="909">
        <f>IF($C$14="OFF",M14,Repairs!$E$35)</f>
        <v>0</v>
      </c>
      <c r="Q14" s="137"/>
      <c r="R14" s="156"/>
      <c r="S14" s="909">
        <f>IF($C$14="OFF",P14,Repairs!$E$35)</f>
        <v>0</v>
      </c>
      <c r="T14" s="137"/>
      <c r="U14" s="156"/>
      <c r="V14" s="909">
        <f>IF($C$14="OFF",S14,Repairs!$E$35)</f>
        <v>0</v>
      </c>
      <c r="W14" s="137"/>
      <c r="X14" s="156"/>
      <c r="Y14" s="909">
        <f>IF($C$14="OFF",V14,Repairs!$E$35)</f>
        <v>0</v>
      </c>
      <c r="Z14" s="137"/>
      <c r="AA14" s="151"/>
      <c r="AB14" s="152"/>
      <c r="AC14" s="1087" t="s">
        <v>650</v>
      </c>
      <c r="AD14" s="966">
        <v>0</v>
      </c>
      <c r="AE14" s="962">
        <v>0</v>
      </c>
      <c r="AF14" s="145">
        <f t="shared" si="0"/>
        <v>0</v>
      </c>
      <c r="AG14" s="962">
        <v>0</v>
      </c>
      <c r="AH14" s="146">
        <f t="shared" si="1"/>
        <v>0</v>
      </c>
      <c r="AI14" s="51"/>
      <c r="AJ14" s="129"/>
      <c r="AK14" s="129"/>
      <c r="AL14" s="129"/>
      <c r="AM14" s="129"/>
      <c r="AO14" s="140"/>
      <c r="AP14" s="153"/>
      <c r="AQ14" s="127"/>
      <c r="AR14" s="127"/>
      <c r="AS14" s="127"/>
      <c r="AT14" s="127"/>
      <c r="AU14" s="127"/>
      <c r="AV14" s="127"/>
    </row>
    <row r="15" spans="1:62" ht="17" thickBot="1" x14ac:dyDescent="0.25">
      <c r="A15" s="134"/>
      <c r="B15" s="187" t="s">
        <v>449</v>
      </c>
      <c r="C15" s="129"/>
      <c r="D15" s="909">
        <v>0</v>
      </c>
      <c r="E15" s="137"/>
      <c r="F15" s="125"/>
      <c r="G15" s="909">
        <f>D15</f>
        <v>0</v>
      </c>
      <c r="H15" s="137"/>
      <c r="I15" s="156"/>
      <c r="J15" s="909">
        <f>G15</f>
        <v>0</v>
      </c>
      <c r="K15" s="137"/>
      <c r="L15" s="156"/>
      <c r="M15" s="909">
        <f>J15</f>
        <v>0</v>
      </c>
      <c r="N15" s="137"/>
      <c r="O15" s="151"/>
      <c r="P15" s="137">
        <f>M15</f>
        <v>0</v>
      </c>
      <c r="Q15" s="137"/>
      <c r="R15" s="125"/>
      <c r="S15" s="909">
        <f>P15</f>
        <v>0</v>
      </c>
      <c r="T15" s="137"/>
      <c r="U15" s="156"/>
      <c r="V15" s="909">
        <f>S15</f>
        <v>0</v>
      </c>
      <c r="W15" s="137"/>
      <c r="X15" s="156"/>
      <c r="Y15" s="909">
        <f>V15</f>
        <v>0</v>
      </c>
      <c r="Z15" s="137"/>
      <c r="AA15" s="151"/>
      <c r="AB15" s="126"/>
      <c r="AC15" s="829" t="s">
        <v>466</v>
      </c>
      <c r="AD15" s="967">
        <f>SUM(AD8:AD14)</f>
        <v>0</v>
      </c>
      <c r="AE15" s="827">
        <f>IF(AD15&gt;0,AF15/AD15,0)</f>
        <v>0</v>
      </c>
      <c r="AF15" s="963">
        <f>SUM(AF8:AF14)</f>
        <v>0</v>
      </c>
      <c r="AG15" s="827">
        <f>IF(AD15&gt;0,AH15/AD15,0)</f>
        <v>0</v>
      </c>
      <c r="AH15" s="828">
        <f>SUM(AH8:AH14)</f>
        <v>0</v>
      </c>
      <c r="AI15" s="51"/>
      <c r="AJ15" s="129"/>
      <c r="AK15" s="129"/>
      <c r="AL15" s="140"/>
      <c r="AM15" s="140"/>
      <c r="AN15" s="62"/>
      <c r="AO15" s="140"/>
      <c r="AP15" s="153"/>
      <c r="AQ15" s="127"/>
      <c r="AR15" s="127"/>
      <c r="AS15" s="127"/>
      <c r="AT15" s="127"/>
      <c r="AU15" s="127"/>
      <c r="AV15" s="127"/>
    </row>
    <row r="16" spans="1:62" ht="17" x14ac:dyDescent="0.2">
      <c r="A16" s="134"/>
      <c r="B16" s="903" t="s">
        <v>289</v>
      </c>
      <c r="C16" s="1038"/>
      <c r="D16" s="911">
        <f>Summary!$D$18</f>
        <v>0</v>
      </c>
      <c r="E16" s="125"/>
      <c r="F16" s="125"/>
      <c r="G16" s="911">
        <f>Summary!$D$18</f>
        <v>0</v>
      </c>
      <c r="H16" s="125"/>
      <c r="I16" s="125"/>
      <c r="J16" s="911">
        <f>Summary!$D$18</f>
        <v>0</v>
      </c>
      <c r="K16" s="125"/>
      <c r="L16" s="125"/>
      <c r="M16" s="911">
        <f>Summary!$D$18</f>
        <v>0</v>
      </c>
      <c r="N16" s="125"/>
      <c r="O16" s="147"/>
      <c r="P16" s="125">
        <f>Summary!$D$18</f>
        <v>0</v>
      </c>
      <c r="Q16" s="125"/>
      <c r="R16" s="125"/>
      <c r="S16" s="911">
        <f>Summary!$D$18</f>
        <v>0</v>
      </c>
      <c r="T16" s="125"/>
      <c r="U16" s="125"/>
      <c r="V16" s="911">
        <f>Summary!$D$18</f>
        <v>0</v>
      </c>
      <c r="W16" s="125"/>
      <c r="X16" s="125"/>
      <c r="Y16" s="911">
        <f>Summary!$D$18</f>
        <v>0</v>
      </c>
      <c r="Z16" s="125"/>
      <c r="AA16" s="147"/>
      <c r="AB16" s="126"/>
      <c r="AC16" s="133"/>
      <c r="AD16" s="140"/>
      <c r="AE16" s="154"/>
      <c r="AF16" s="129"/>
      <c r="AG16" s="129"/>
      <c r="AH16" s="129"/>
      <c r="AI16" s="129"/>
      <c r="AJ16" s="129"/>
      <c r="AK16" s="129"/>
      <c r="AL16" s="129"/>
      <c r="AM16" s="129"/>
      <c r="AN16" s="62"/>
      <c r="AO16" s="140"/>
      <c r="AP16" s="153"/>
      <c r="AQ16" s="127"/>
      <c r="AR16" s="127"/>
      <c r="AS16" s="127"/>
      <c r="AT16" s="127"/>
      <c r="AU16" s="127"/>
      <c r="AV16" s="127"/>
    </row>
    <row r="17" spans="1:48" ht="17" thickBot="1" x14ac:dyDescent="0.25">
      <c r="A17" s="129"/>
      <c r="B17" s="275" t="s">
        <v>44</v>
      </c>
      <c r="C17" s="276"/>
      <c r="D17" s="914">
        <f>D14+D7+D16+D15</f>
        <v>0</v>
      </c>
      <c r="E17" s="174"/>
      <c r="F17" s="907"/>
      <c r="G17" s="914">
        <f>G14+G7+G16+G15</f>
        <v>0</v>
      </c>
      <c r="H17" s="174"/>
      <c r="I17" s="907"/>
      <c r="J17" s="914">
        <f>J14+J7+J16+J15</f>
        <v>0</v>
      </c>
      <c r="K17" s="174"/>
      <c r="L17" s="907"/>
      <c r="M17" s="914">
        <f>M14+M7+M16+M15</f>
        <v>0</v>
      </c>
      <c r="N17" s="174"/>
      <c r="O17" s="244"/>
      <c r="P17" s="914">
        <f>P14+P7+P16+P15</f>
        <v>0</v>
      </c>
      <c r="Q17" s="174"/>
      <c r="R17" s="907"/>
      <c r="S17" s="914">
        <f>S14+S7+S16+S15</f>
        <v>0</v>
      </c>
      <c r="T17" s="174"/>
      <c r="U17" s="907"/>
      <c r="V17" s="914">
        <f>V14+V7+V16+V15</f>
        <v>0</v>
      </c>
      <c r="W17" s="174"/>
      <c r="X17" s="907"/>
      <c r="Y17" s="914">
        <f>Y14+Y7+Y16+Y15</f>
        <v>0</v>
      </c>
      <c r="Z17" s="174"/>
      <c r="AA17" s="244"/>
      <c r="AB17" s="126"/>
      <c r="AC17" s="133"/>
      <c r="AD17" s="140"/>
      <c r="AE17" s="154"/>
      <c r="AF17" s="129"/>
      <c r="AG17" s="129"/>
      <c r="AH17" s="129"/>
      <c r="AI17" s="129"/>
      <c r="AJ17" s="129"/>
      <c r="AK17" s="129"/>
      <c r="AL17" s="129"/>
      <c r="AM17" s="129"/>
      <c r="AN17" s="62"/>
      <c r="AO17" s="140"/>
      <c r="AP17" s="153"/>
    </row>
    <row r="18" spans="1:48" ht="17" thickBot="1" x14ac:dyDescent="0.25">
      <c r="A18" s="134"/>
      <c r="B18" s="187"/>
      <c r="C18" s="129"/>
      <c r="D18" s="125"/>
      <c r="E18" s="125"/>
      <c r="F18" s="125"/>
      <c r="G18" s="125"/>
      <c r="H18" s="125"/>
      <c r="I18" s="125"/>
      <c r="J18" s="125"/>
      <c r="K18" s="125"/>
      <c r="L18" s="125"/>
      <c r="M18" s="125"/>
      <c r="N18" s="125"/>
      <c r="O18" s="147"/>
      <c r="P18" s="125"/>
      <c r="Q18" s="125"/>
      <c r="R18" s="125"/>
      <c r="S18" s="125"/>
      <c r="T18" s="125"/>
      <c r="U18" s="125"/>
      <c r="V18" s="125"/>
      <c r="W18" s="125"/>
      <c r="X18" s="125"/>
      <c r="Y18" s="125"/>
      <c r="Z18" s="125"/>
      <c r="AA18" s="125"/>
      <c r="AB18" s="131"/>
      <c r="AC18" s="128"/>
      <c r="AD18" s="156"/>
      <c r="AE18" s="157"/>
      <c r="AF18" s="129"/>
      <c r="AG18" s="129"/>
      <c r="AH18" s="129"/>
      <c r="AI18" s="129"/>
      <c r="AJ18" s="129"/>
      <c r="AK18" s="129"/>
      <c r="AL18" s="129"/>
      <c r="AN18" s="62"/>
      <c r="AO18" s="140"/>
      <c r="AP18" s="153"/>
      <c r="AQ18" s="127"/>
      <c r="AR18" s="127"/>
      <c r="AS18" s="127"/>
      <c r="AT18" s="127"/>
      <c r="AU18" s="127"/>
      <c r="AV18" s="127"/>
    </row>
    <row r="19" spans="1:48" x14ac:dyDescent="0.2">
      <c r="A19" s="134"/>
      <c r="B19" s="633" t="s">
        <v>568</v>
      </c>
      <c r="C19" s="1039"/>
      <c r="D19" s="918"/>
      <c r="E19" s="635"/>
      <c r="F19" s="919"/>
      <c r="G19" s="918"/>
      <c r="H19" s="635"/>
      <c r="I19" s="919"/>
      <c r="J19" s="918"/>
      <c r="K19" s="635"/>
      <c r="L19" s="919"/>
      <c r="M19" s="918"/>
      <c r="N19" s="635"/>
      <c r="O19" s="631"/>
      <c r="P19" s="635"/>
      <c r="Q19" s="635"/>
      <c r="R19" s="919"/>
      <c r="S19" s="918"/>
      <c r="T19" s="635"/>
      <c r="U19" s="919"/>
      <c r="V19" s="918"/>
      <c r="W19" s="635"/>
      <c r="X19" s="919"/>
      <c r="Y19" s="918"/>
      <c r="Z19" s="635"/>
      <c r="AA19" s="631"/>
      <c r="AB19" s="117"/>
      <c r="AC19" s="128"/>
      <c r="AD19" s="156"/>
      <c r="AE19" s="157"/>
      <c r="AF19" s="129"/>
      <c r="AG19" s="129"/>
      <c r="AH19" s="129"/>
      <c r="AI19" s="129"/>
      <c r="AJ19" s="129"/>
      <c r="AK19" s="129"/>
      <c r="AL19" s="129"/>
      <c r="AM19" s="129"/>
      <c r="AO19" s="61"/>
      <c r="AP19" s="61"/>
      <c r="AQ19" s="61"/>
      <c r="AR19" s="61"/>
      <c r="AS19" s="61"/>
      <c r="AT19" s="61"/>
      <c r="AU19" s="61"/>
      <c r="AV19" s="61"/>
    </row>
    <row r="20" spans="1:48" ht="17" thickBot="1" x14ac:dyDescent="0.25">
      <c r="A20" s="134"/>
      <c r="B20" s="258" t="s">
        <v>200</v>
      </c>
      <c r="C20" s="225"/>
      <c r="D20" s="911">
        <f>IF(D21=0,0,D21/12/D8)</f>
        <v>0</v>
      </c>
      <c r="E20" s="634"/>
      <c r="F20" s="493"/>
      <c r="G20" s="911">
        <f>IF(G21=0,0,G21/12/G8)</f>
        <v>0</v>
      </c>
      <c r="H20" s="117"/>
      <c r="I20" s="117"/>
      <c r="J20" s="911">
        <f>IF(J21=0,0,J21/12/J8)</f>
        <v>0</v>
      </c>
      <c r="K20" s="117"/>
      <c r="L20" s="117"/>
      <c r="M20" s="911">
        <f>IF(M21=0,0,M21/12/M8)</f>
        <v>0</v>
      </c>
      <c r="N20" s="117"/>
      <c r="O20" s="273"/>
      <c r="P20" s="125">
        <f>IF(P21=0,0,P21/12/P8)</f>
        <v>0</v>
      </c>
      <c r="Q20" s="117"/>
      <c r="R20" s="117"/>
      <c r="S20" s="911">
        <f>IF(S21=0,0,S21/12/S8)</f>
        <v>0</v>
      </c>
      <c r="T20" s="117"/>
      <c r="U20" s="117"/>
      <c r="V20" s="911">
        <f>IF(V21=0,0,V21/12/V8)</f>
        <v>0</v>
      </c>
      <c r="W20" s="117"/>
      <c r="X20" s="117"/>
      <c r="Y20" s="911">
        <f>IF(Y21=0,0,Y21/12/Y8)</f>
        <v>0</v>
      </c>
      <c r="Z20" s="117"/>
      <c r="AA20" s="273"/>
      <c r="AB20" s="159"/>
      <c r="AM20" s="129"/>
      <c r="AN20" s="62"/>
      <c r="AO20" s="127"/>
      <c r="AP20" s="127"/>
      <c r="AQ20" s="127"/>
      <c r="AR20" s="127"/>
      <c r="AS20" s="127"/>
      <c r="AT20" s="127"/>
      <c r="AU20" s="127"/>
      <c r="AV20" s="127"/>
    </row>
    <row r="21" spans="1:48" ht="17" thickBot="1" x14ac:dyDescent="0.25">
      <c r="A21" s="134"/>
      <c r="B21" s="187" t="s">
        <v>464</v>
      </c>
      <c r="C21" s="129"/>
      <c r="D21" s="930">
        <v>0</v>
      </c>
      <c r="E21" s="162"/>
      <c r="F21" s="920"/>
      <c r="G21" s="930">
        <f>D21</f>
        <v>0</v>
      </c>
      <c r="H21" s="162"/>
      <c r="I21" s="920"/>
      <c r="J21" s="930">
        <f>G21</f>
        <v>0</v>
      </c>
      <c r="K21" s="162"/>
      <c r="L21" s="920"/>
      <c r="M21" s="930">
        <f>J21</f>
        <v>0</v>
      </c>
      <c r="N21" s="162"/>
      <c r="O21" s="163"/>
      <c r="P21" s="162">
        <f>M21</f>
        <v>0</v>
      </c>
      <c r="Q21" s="162"/>
      <c r="R21" s="920"/>
      <c r="S21" s="930">
        <f>P21</f>
        <v>0</v>
      </c>
      <c r="T21" s="162"/>
      <c r="U21" s="920"/>
      <c r="V21" s="930">
        <f>S21</f>
        <v>0</v>
      </c>
      <c r="W21" s="162"/>
      <c r="X21" s="920"/>
      <c r="Y21" s="930">
        <f>V21</f>
        <v>0</v>
      </c>
      <c r="Z21" s="162"/>
      <c r="AA21" s="163"/>
      <c r="AB21" s="1169">
        <f>CHOOSE(Summary!$G$3,D21,G21,J21,M21,P21,S21,V21,Y21)</f>
        <v>0</v>
      </c>
      <c r="AC21" s="821" t="s">
        <v>177</v>
      </c>
      <c r="AD21" s="156"/>
      <c r="AE21" s="162"/>
      <c r="AF21" s="129"/>
      <c r="AG21" s="129"/>
      <c r="AH21" s="129"/>
      <c r="AI21" s="129"/>
      <c r="AJ21" s="129"/>
      <c r="AK21" s="129"/>
      <c r="AL21" s="129"/>
      <c r="AM21" s="129"/>
      <c r="AN21" s="62"/>
      <c r="AO21" s="127"/>
      <c r="AP21" s="127"/>
      <c r="AQ21" s="127"/>
      <c r="AR21" s="127"/>
      <c r="AS21" s="127"/>
      <c r="AT21" s="127"/>
      <c r="AU21" s="127"/>
      <c r="AV21" s="127"/>
    </row>
    <row r="22" spans="1:48" x14ac:dyDescent="0.2">
      <c r="A22" s="134"/>
      <c r="B22" s="229" t="s">
        <v>47</v>
      </c>
      <c r="C22" s="266"/>
      <c r="D22" s="931">
        <v>0</v>
      </c>
      <c r="E22" s="125"/>
      <c r="F22" s="188">
        <f>IFERROR(-D22/D21,0)</f>
        <v>0</v>
      </c>
      <c r="G22" s="942">
        <f>-I22*G21</f>
        <v>0</v>
      </c>
      <c r="H22" s="125"/>
      <c r="I22" s="208">
        <v>0.1</v>
      </c>
      <c r="J22" s="942">
        <f>-L22*J21</f>
        <v>0</v>
      </c>
      <c r="K22" s="125"/>
      <c r="L22" s="208">
        <v>0.1</v>
      </c>
      <c r="M22" s="942">
        <f>-O22*M21</f>
        <v>0</v>
      </c>
      <c r="N22" s="125"/>
      <c r="O22" s="165">
        <v>0.1</v>
      </c>
      <c r="P22" s="145">
        <f>-R22*P21</f>
        <v>0</v>
      </c>
      <c r="Q22" s="125"/>
      <c r="R22" s="208">
        <v>0.1</v>
      </c>
      <c r="S22" s="942">
        <f>-U22*S21</f>
        <v>0</v>
      </c>
      <c r="T22" s="125"/>
      <c r="U22" s="208">
        <v>0.1</v>
      </c>
      <c r="V22" s="942">
        <f>-X22*V21</f>
        <v>0</v>
      </c>
      <c r="W22" s="125"/>
      <c r="X22" s="208">
        <v>0.1</v>
      </c>
      <c r="Y22" s="942">
        <f>-AA22*Y21</f>
        <v>0</v>
      </c>
      <c r="Z22" s="125"/>
      <c r="AA22" s="165">
        <v>0.1</v>
      </c>
      <c r="AB22" s="113"/>
      <c r="AC22" s="169" t="s">
        <v>35</v>
      </c>
      <c r="AD22" s="1088">
        <f>M7</f>
        <v>0</v>
      </c>
      <c r="AE22" s="166"/>
      <c r="AF22" s="167"/>
      <c r="AG22" s="166"/>
      <c r="AH22" s="166"/>
      <c r="AI22" s="166"/>
      <c r="AJ22" s="166"/>
      <c r="AK22" s="166"/>
      <c r="AL22" s="168"/>
      <c r="AM22" s="129"/>
      <c r="AN22" s="62"/>
      <c r="AO22" s="127"/>
      <c r="AP22" s="127"/>
      <c r="AQ22" s="127"/>
      <c r="AR22" s="127"/>
      <c r="AS22" s="127"/>
      <c r="AT22" s="127"/>
      <c r="AU22" s="127"/>
      <c r="AV22" s="127"/>
    </row>
    <row r="23" spans="1:48" x14ac:dyDescent="0.2">
      <c r="A23" s="134"/>
      <c r="B23" s="229" t="s">
        <v>173</v>
      </c>
      <c r="C23" s="266"/>
      <c r="D23" s="931">
        <v>0</v>
      </c>
      <c r="E23" s="125"/>
      <c r="F23" s="188">
        <f>IFERROR(-D23/D21,0)</f>
        <v>0</v>
      </c>
      <c r="G23" s="942">
        <f>-I23*G21</f>
        <v>0</v>
      </c>
      <c r="H23" s="125"/>
      <c r="I23" s="208">
        <v>0.05</v>
      </c>
      <c r="J23" s="942">
        <f>-L23*J21</f>
        <v>0</v>
      </c>
      <c r="K23" s="125"/>
      <c r="L23" s="208">
        <v>0.05</v>
      </c>
      <c r="M23" s="942">
        <f>-O23*M21</f>
        <v>0</v>
      </c>
      <c r="N23" s="125"/>
      <c r="O23" s="165">
        <v>0.05</v>
      </c>
      <c r="P23" s="145">
        <f>-R23*P21</f>
        <v>0</v>
      </c>
      <c r="Q23" s="125"/>
      <c r="R23" s="208">
        <v>0.05</v>
      </c>
      <c r="S23" s="942">
        <f>-U23*S21</f>
        <v>0</v>
      </c>
      <c r="T23" s="125"/>
      <c r="U23" s="208">
        <v>0.05</v>
      </c>
      <c r="V23" s="942">
        <f>-X23*V21</f>
        <v>0</v>
      </c>
      <c r="W23" s="125"/>
      <c r="X23" s="208">
        <v>0.05</v>
      </c>
      <c r="Y23" s="942">
        <f>-AA23*Y21</f>
        <v>0</v>
      </c>
      <c r="Z23" s="125"/>
      <c r="AA23" s="165">
        <v>0.05</v>
      </c>
      <c r="AB23" s="126"/>
      <c r="AC23" s="169" t="s">
        <v>23</v>
      </c>
      <c r="AD23" s="1089">
        <f>M8</f>
        <v>0</v>
      </c>
      <c r="AE23" s="47"/>
      <c r="AF23" s="162"/>
      <c r="AG23" s="129"/>
      <c r="AH23" s="129"/>
      <c r="AI23" s="129"/>
      <c r="AJ23" s="129"/>
      <c r="AK23" s="129"/>
      <c r="AL23" s="170"/>
      <c r="AM23" s="129"/>
      <c r="AN23" s="62"/>
      <c r="AO23" s="127"/>
      <c r="AP23" s="127"/>
      <c r="AQ23" s="127"/>
      <c r="AR23" s="127"/>
      <c r="AS23" s="127"/>
      <c r="AT23" s="127"/>
      <c r="AU23" s="127"/>
      <c r="AV23" s="127"/>
    </row>
    <row r="24" spans="1:48" x14ac:dyDescent="0.2">
      <c r="A24" s="134"/>
      <c r="B24" s="187" t="s">
        <v>45</v>
      </c>
      <c r="C24" s="129"/>
      <c r="D24" s="911">
        <f>D21+D22+D23</f>
        <v>0</v>
      </c>
      <c r="E24" s="125"/>
      <c r="F24" s="125"/>
      <c r="G24" s="911">
        <f>SUM(G21:G23)</f>
        <v>0</v>
      </c>
      <c r="H24" s="125"/>
      <c r="I24" s="125"/>
      <c r="J24" s="911">
        <f>SUM(J21:J23)</f>
        <v>0</v>
      </c>
      <c r="K24" s="125"/>
      <c r="L24" s="125"/>
      <c r="M24" s="911">
        <f>SUM(M21:M23)</f>
        <v>0</v>
      </c>
      <c r="N24" s="125"/>
      <c r="O24" s="147"/>
      <c r="P24" s="125">
        <f>SUM(P21:P23)</f>
        <v>0</v>
      </c>
      <c r="Q24" s="125"/>
      <c r="R24" s="125"/>
      <c r="S24" s="911">
        <f>SUM(S21:S23)</f>
        <v>0</v>
      </c>
      <c r="T24" s="125"/>
      <c r="U24" s="125"/>
      <c r="V24" s="911">
        <f>SUM(V21:V23)</f>
        <v>0</v>
      </c>
      <c r="W24" s="125"/>
      <c r="X24" s="125"/>
      <c r="Y24" s="911">
        <f>SUM(Y21:Y23)</f>
        <v>0</v>
      </c>
      <c r="Z24" s="125"/>
      <c r="AA24" s="147"/>
      <c r="AB24" s="108"/>
      <c r="AC24" s="169" t="s">
        <v>46</v>
      </c>
      <c r="AD24" s="1090">
        <f>M26</f>
        <v>0</v>
      </c>
      <c r="AE24" s="171"/>
      <c r="AF24" s="129"/>
      <c r="AG24" s="129"/>
      <c r="AH24" s="129"/>
      <c r="AI24" s="129"/>
      <c r="AJ24" s="129"/>
      <c r="AK24" s="129"/>
      <c r="AL24" s="170"/>
      <c r="AM24" s="129"/>
      <c r="AN24" s="62"/>
      <c r="AO24" s="127"/>
      <c r="AP24" s="127"/>
      <c r="AQ24" s="127"/>
      <c r="AR24" s="127"/>
      <c r="AS24" s="127"/>
      <c r="AT24" s="127"/>
      <c r="AU24" s="127"/>
      <c r="AV24" s="127"/>
    </row>
    <row r="25" spans="1:48" ht="17" customHeight="1" x14ac:dyDescent="0.2">
      <c r="A25" s="134"/>
      <c r="B25" s="187" t="s">
        <v>25</v>
      </c>
      <c r="C25" s="129"/>
      <c r="D25" s="909">
        <v>0</v>
      </c>
      <c r="E25" s="137"/>
      <c r="F25" s="188"/>
      <c r="G25" s="909">
        <f>D25</f>
        <v>0</v>
      </c>
      <c r="H25" s="137"/>
      <c r="I25" s="137"/>
      <c r="J25" s="909">
        <f>G25</f>
        <v>0</v>
      </c>
      <c r="K25" s="137"/>
      <c r="L25" s="137"/>
      <c r="M25" s="909">
        <f>J25</f>
        <v>0</v>
      </c>
      <c r="N25" s="137"/>
      <c r="O25" s="172"/>
      <c r="P25" s="137">
        <f>M25</f>
        <v>0</v>
      </c>
      <c r="Q25" s="137"/>
      <c r="R25" s="137"/>
      <c r="S25" s="909">
        <f>P25</f>
        <v>0</v>
      </c>
      <c r="T25" s="137"/>
      <c r="U25" s="137"/>
      <c r="V25" s="909">
        <f>S25</f>
        <v>0</v>
      </c>
      <c r="W25" s="137"/>
      <c r="X25" s="137"/>
      <c r="Y25" s="909">
        <f>V25</f>
        <v>0</v>
      </c>
      <c r="Z25" s="137"/>
      <c r="AA25" s="172"/>
      <c r="AB25" s="1170">
        <f>CHOOSE(Summary!$G$3,D25,G25,J25,M25,P25,S25,V25,Y25)</f>
        <v>0</v>
      </c>
      <c r="AC25" s="526"/>
      <c r="AD25" s="1219" t="s">
        <v>129</v>
      </c>
      <c r="AE25" s="1220"/>
      <c r="AF25" s="1221"/>
      <c r="AG25" s="1213" t="s">
        <v>130</v>
      </c>
      <c r="AH25" s="1218"/>
      <c r="AI25" s="1219" t="s">
        <v>131</v>
      </c>
      <c r="AJ25" s="1221"/>
      <c r="AK25" s="1213" t="s">
        <v>132</v>
      </c>
      <c r="AL25" s="1214"/>
      <c r="AM25" s="129"/>
      <c r="AN25" s="62"/>
      <c r="AO25" s="127"/>
      <c r="AP25" s="127"/>
      <c r="AQ25" s="127"/>
      <c r="AR25" s="127"/>
      <c r="AS25" s="127"/>
      <c r="AT25" s="127"/>
      <c r="AU25" s="127"/>
      <c r="AV25" s="127"/>
    </row>
    <row r="26" spans="1:48" ht="21" customHeight="1" thickBot="1" x14ac:dyDescent="0.25">
      <c r="A26" s="134"/>
      <c r="B26" s="275" t="s">
        <v>46</v>
      </c>
      <c r="C26" s="276"/>
      <c r="D26" s="914">
        <f>D24+D25</f>
        <v>0</v>
      </c>
      <c r="E26" s="174"/>
      <c r="F26" s="174"/>
      <c r="G26" s="914">
        <f>G24+G25</f>
        <v>0</v>
      </c>
      <c r="H26" s="174"/>
      <c r="I26" s="174"/>
      <c r="J26" s="914">
        <f>J24+J25</f>
        <v>0</v>
      </c>
      <c r="K26" s="174"/>
      <c r="L26" s="174"/>
      <c r="M26" s="914">
        <f>M24+M25</f>
        <v>0</v>
      </c>
      <c r="N26" s="174"/>
      <c r="O26" s="175"/>
      <c r="P26" s="174">
        <f>P24+P25</f>
        <v>0</v>
      </c>
      <c r="Q26" s="174"/>
      <c r="R26" s="174"/>
      <c r="S26" s="914">
        <f>S24+S25</f>
        <v>0</v>
      </c>
      <c r="T26" s="174"/>
      <c r="U26" s="174"/>
      <c r="V26" s="914">
        <f>V24+V25</f>
        <v>0</v>
      </c>
      <c r="W26" s="174"/>
      <c r="X26" s="174"/>
      <c r="Y26" s="914">
        <f>Y24+Y25</f>
        <v>0</v>
      </c>
      <c r="Z26" s="174"/>
      <c r="AA26" s="175"/>
      <c r="AB26" s="131"/>
      <c r="AC26" s="177"/>
      <c r="AD26" s="178"/>
      <c r="AE26" s="179" t="s">
        <v>133</v>
      </c>
      <c r="AF26" s="179"/>
      <c r="AG26" s="180"/>
      <c r="AH26" s="181"/>
      <c r="AI26" s="182" t="s">
        <v>344</v>
      </c>
      <c r="AJ26" s="182" t="s">
        <v>134</v>
      </c>
      <c r="AK26" s="183"/>
      <c r="AL26" s="184"/>
      <c r="AM26" s="129"/>
      <c r="AN26" s="62"/>
      <c r="AO26" s="127"/>
      <c r="AP26" s="127"/>
      <c r="AQ26" s="127"/>
      <c r="AR26" s="127"/>
      <c r="AS26" s="127"/>
      <c r="AT26" s="127"/>
      <c r="AU26" s="127"/>
      <c r="AV26" s="127"/>
    </row>
    <row r="27" spans="1:48" ht="18" thickBot="1" x14ac:dyDescent="0.25">
      <c r="A27" s="134"/>
      <c r="B27" s="223"/>
      <c r="C27" s="176"/>
      <c r="D27" s="117"/>
      <c r="E27" s="117"/>
      <c r="F27" s="947"/>
      <c r="G27" s="117"/>
      <c r="H27" s="117"/>
      <c r="I27" s="947"/>
      <c r="J27" s="117"/>
      <c r="K27" s="117"/>
      <c r="L27" s="947"/>
      <c r="M27" s="117"/>
      <c r="N27" s="117"/>
      <c r="O27" s="959"/>
      <c r="P27" s="117"/>
      <c r="Q27" s="117"/>
      <c r="R27" s="947"/>
      <c r="S27" s="117"/>
      <c r="T27" s="117"/>
      <c r="U27" s="947"/>
      <c r="V27" s="117"/>
      <c r="W27" s="117"/>
      <c r="X27" s="947"/>
      <c r="Y27" s="117"/>
      <c r="Z27" s="117"/>
      <c r="AA27" s="117"/>
      <c r="AB27" s="131"/>
      <c r="AC27" s="527" t="s">
        <v>49</v>
      </c>
      <c r="AD27" s="655" t="s">
        <v>135</v>
      </c>
      <c r="AE27" s="528" t="s">
        <v>76</v>
      </c>
      <c r="AF27" s="528" t="s">
        <v>42</v>
      </c>
      <c r="AG27" s="528" t="s">
        <v>76</v>
      </c>
      <c r="AH27" s="528" t="s">
        <v>42</v>
      </c>
      <c r="AI27" s="528" t="s">
        <v>76</v>
      </c>
      <c r="AJ27" s="654" t="s">
        <v>76</v>
      </c>
      <c r="AK27" s="528" t="s">
        <v>133</v>
      </c>
      <c r="AL27" s="529" t="s">
        <v>135</v>
      </c>
      <c r="AM27" s="129"/>
      <c r="AN27" s="62"/>
      <c r="AO27" s="127"/>
      <c r="AP27" s="127"/>
      <c r="AQ27" s="127"/>
      <c r="AR27" s="127"/>
      <c r="AS27" s="127"/>
      <c r="AT27" s="127"/>
      <c r="AU27" s="127"/>
      <c r="AV27" s="127"/>
    </row>
    <row r="28" spans="1:48" x14ac:dyDescent="0.2">
      <c r="A28" s="134"/>
      <c r="B28" s="633" t="s">
        <v>75</v>
      </c>
      <c r="C28" s="1039"/>
      <c r="D28" s="918"/>
      <c r="E28" s="630" t="s">
        <v>76</v>
      </c>
      <c r="F28" s="919"/>
      <c r="G28" s="918"/>
      <c r="H28" s="630" t="s">
        <v>76</v>
      </c>
      <c r="I28" s="635"/>
      <c r="J28" s="918"/>
      <c r="K28" s="630" t="s">
        <v>76</v>
      </c>
      <c r="L28" s="635"/>
      <c r="M28" s="918"/>
      <c r="N28" s="630" t="s">
        <v>76</v>
      </c>
      <c r="O28" s="632"/>
      <c r="P28" s="635"/>
      <c r="Q28" s="630" t="s">
        <v>76</v>
      </c>
      <c r="R28" s="635"/>
      <c r="S28" s="918"/>
      <c r="T28" s="630" t="s">
        <v>76</v>
      </c>
      <c r="U28" s="635"/>
      <c r="V28" s="918"/>
      <c r="W28" s="630" t="s">
        <v>76</v>
      </c>
      <c r="X28" s="635"/>
      <c r="Y28" s="918"/>
      <c r="Z28" s="630" t="s">
        <v>76</v>
      </c>
      <c r="AA28" s="632"/>
      <c r="AB28" s="186"/>
      <c r="AC28" s="190" t="s">
        <v>26</v>
      </c>
      <c r="AD28" s="191" t="s">
        <v>458</v>
      </c>
      <c r="AE28" s="192">
        <f>IFERROR(AF28/$AD$23,0)</f>
        <v>0</v>
      </c>
      <c r="AF28" s="193">
        <f>0.01*AD22</f>
        <v>0</v>
      </c>
      <c r="AG28" s="192"/>
      <c r="AH28" s="194"/>
      <c r="AI28" s="195"/>
      <c r="AJ28" s="196"/>
      <c r="AK28" s="193">
        <f t="shared" ref="AK28:AK32" si="2">AF28</f>
        <v>0</v>
      </c>
      <c r="AL28" s="197"/>
      <c r="AM28" s="129"/>
      <c r="AN28" s="62"/>
      <c r="AO28" s="127"/>
      <c r="AP28" s="127"/>
      <c r="AQ28" s="127"/>
      <c r="AR28" s="127"/>
      <c r="AS28" s="127"/>
      <c r="AT28" s="127"/>
      <c r="AU28" s="127"/>
      <c r="AV28" s="127"/>
    </row>
    <row r="29" spans="1:48" x14ac:dyDescent="0.2">
      <c r="A29" s="134"/>
      <c r="B29" s="187" t="str">
        <f>'P&amp;L'!B19</f>
        <v>Advertising</v>
      </c>
      <c r="C29" s="129"/>
      <c r="D29" s="909">
        <v>0</v>
      </c>
      <c r="E29" s="125">
        <f>IF(D29&gt;0,D29/D$8,0)</f>
        <v>0</v>
      </c>
      <c r="F29" s="188">
        <f>IF(D$26=0,0,D29/D$26)</f>
        <v>0</v>
      </c>
      <c r="G29" s="909">
        <f>D29</f>
        <v>0</v>
      </c>
      <c r="H29" s="125">
        <f>IF(G29&gt;0,G29/G$8,0)</f>
        <v>0</v>
      </c>
      <c r="I29" s="188">
        <f t="shared" ref="I29:I36" si="3">IF(G$26=0,0,G29/G$26)</f>
        <v>0</v>
      </c>
      <c r="J29" s="909">
        <f t="shared" ref="J29:J36" si="4">G29</f>
        <v>0</v>
      </c>
      <c r="K29" s="125">
        <f>IF(J29&gt;0,J29/J$8,0)</f>
        <v>0</v>
      </c>
      <c r="L29" s="188">
        <f t="shared" ref="L29:L36" si="5">IF(J$26=0,0,J29/J$26)</f>
        <v>0</v>
      </c>
      <c r="M29" s="909">
        <f t="shared" ref="M29:M36" si="6">J29</f>
        <v>0</v>
      </c>
      <c r="N29" s="125">
        <f>IF(M29&gt;0,M29/M$8,0)</f>
        <v>0</v>
      </c>
      <c r="O29" s="164">
        <f t="shared" ref="O29:O36" si="7">IF(M$26=0,0,M29/M$26)</f>
        <v>0</v>
      </c>
      <c r="P29" s="137">
        <f t="shared" ref="P29:P36" si="8">M29</f>
        <v>0</v>
      </c>
      <c r="Q29" s="125">
        <f>IF(P29&gt;0,P29/P$8,0)</f>
        <v>0</v>
      </c>
      <c r="R29" s="188">
        <f t="shared" ref="R29:R36" si="9">IF(P$26=0,0,P29/P$26)</f>
        <v>0</v>
      </c>
      <c r="S29" s="909">
        <f t="shared" ref="S29:S36" si="10">P29</f>
        <v>0</v>
      </c>
      <c r="T29" s="125">
        <f>IF(S29&gt;0,S29/S$8,0)</f>
        <v>0</v>
      </c>
      <c r="U29" s="188">
        <f t="shared" ref="U29:U36" si="11">IF(S$26=0,0,S29/S$26)</f>
        <v>0</v>
      </c>
      <c r="V29" s="909">
        <f t="shared" ref="V29:V36" si="12">S29</f>
        <v>0</v>
      </c>
      <c r="W29" s="125">
        <f>IF(V29&gt;0,V29/V$8,0)</f>
        <v>0</v>
      </c>
      <c r="X29" s="188">
        <f t="shared" ref="X29:X36" si="13">IF(V$26=0,0,V29/V$26)</f>
        <v>0</v>
      </c>
      <c r="Y29" s="909">
        <f t="shared" ref="Y29:Y36" si="14">V29</f>
        <v>0</v>
      </c>
      <c r="Z29" s="125">
        <f>IF(Y29&gt;0,Y29/Y$8,0)</f>
        <v>0</v>
      </c>
      <c r="AA29" s="164">
        <f t="shared" ref="AA29:AA36" si="15">IF(Y$26=0,0,Y29/Y$26)</f>
        <v>0</v>
      </c>
      <c r="AB29" s="186"/>
      <c r="AC29" s="190" t="s">
        <v>27</v>
      </c>
      <c r="AD29" s="198" t="s">
        <v>136</v>
      </c>
      <c r="AE29" s="199">
        <v>400</v>
      </c>
      <c r="AF29" s="193">
        <f>0.007*AD22</f>
        <v>0</v>
      </c>
      <c r="AG29" s="199">
        <v>450</v>
      </c>
      <c r="AH29" s="194">
        <f>AG29*$AD$23</f>
        <v>0</v>
      </c>
      <c r="AI29" s="200">
        <v>267</v>
      </c>
      <c r="AJ29" s="201">
        <v>332</v>
      </c>
      <c r="AK29" s="193">
        <f>AF29</f>
        <v>0</v>
      </c>
      <c r="AL29" s="197"/>
      <c r="AM29" s="129"/>
      <c r="AN29" s="62"/>
      <c r="AO29" s="127"/>
      <c r="AP29" s="127"/>
      <c r="AQ29" s="127"/>
      <c r="AR29" s="127"/>
      <c r="AS29" s="127"/>
      <c r="AT29" s="127"/>
      <c r="AU29" s="127"/>
      <c r="AV29" s="127"/>
    </row>
    <row r="30" spans="1:48" x14ac:dyDescent="0.2">
      <c r="A30" s="134"/>
      <c r="B30" s="187" t="str">
        <f>'P&amp;L'!B20</f>
        <v>Contract Services</v>
      </c>
      <c r="C30" s="129"/>
      <c r="D30" s="909">
        <v>0</v>
      </c>
      <c r="E30" s="125">
        <f t="shared" ref="E30:E42" si="16">IF(D30&gt;0,D30/D$8,0)</f>
        <v>0</v>
      </c>
      <c r="F30" s="188">
        <f t="shared" ref="F30:F42" si="17">IF($D$26=0,0,D30/D$26)</f>
        <v>0</v>
      </c>
      <c r="G30" s="909">
        <f>D30</f>
        <v>0</v>
      </c>
      <c r="H30" s="125">
        <f t="shared" ref="H30:H42" si="18">IF(G30&gt;0,G30/G$8,0)</f>
        <v>0</v>
      </c>
      <c r="I30" s="188">
        <f t="shared" si="3"/>
        <v>0</v>
      </c>
      <c r="J30" s="909">
        <f t="shared" si="4"/>
        <v>0</v>
      </c>
      <c r="K30" s="125">
        <f t="shared" ref="K30:K42" si="19">IF(J30&gt;0,J30/J$8,0)</f>
        <v>0</v>
      </c>
      <c r="L30" s="188">
        <f t="shared" si="5"/>
        <v>0</v>
      </c>
      <c r="M30" s="909">
        <f t="shared" si="6"/>
        <v>0</v>
      </c>
      <c r="N30" s="125">
        <f t="shared" ref="N30:N42" si="20">IF(M30&gt;0,M30/M$8,0)</f>
        <v>0</v>
      </c>
      <c r="O30" s="164">
        <f t="shared" si="7"/>
        <v>0</v>
      </c>
      <c r="P30" s="137">
        <f t="shared" si="8"/>
        <v>0</v>
      </c>
      <c r="Q30" s="125">
        <f t="shared" ref="Q30:Q42" si="21">IF(P30&gt;0,P30/P$8,0)</f>
        <v>0</v>
      </c>
      <c r="R30" s="188">
        <f t="shared" si="9"/>
        <v>0</v>
      </c>
      <c r="S30" s="909">
        <f t="shared" si="10"/>
        <v>0</v>
      </c>
      <c r="T30" s="125">
        <f t="shared" ref="T30:T42" si="22">IF(S30&gt;0,S30/S$8,0)</f>
        <v>0</v>
      </c>
      <c r="U30" s="188">
        <f t="shared" si="11"/>
        <v>0</v>
      </c>
      <c r="V30" s="909">
        <f t="shared" si="12"/>
        <v>0</v>
      </c>
      <c r="W30" s="125">
        <f t="shared" ref="W30:W42" si="23">IF(V30&gt;0,V30/V$8,0)</f>
        <v>0</v>
      </c>
      <c r="X30" s="188">
        <f t="shared" si="13"/>
        <v>0</v>
      </c>
      <c r="Y30" s="909">
        <f t="shared" si="14"/>
        <v>0</v>
      </c>
      <c r="Z30" s="125">
        <f t="shared" ref="Z30:Z42" si="24">IF(Y30&gt;0,Y30/Y$8,0)</f>
        <v>0</v>
      </c>
      <c r="AA30" s="164">
        <f t="shared" si="15"/>
        <v>0</v>
      </c>
      <c r="AB30" s="186"/>
      <c r="AC30" s="190" t="s">
        <v>43</v>
      </c>
      <c r="AD30" s="202" t="s">
        <v>140</v>
      </c>
      <c r="AE30" s="199">
        <v>200</v>
      </c>
      <c r="AF30" s="203">
        <f>AE30*$AD$23</f>
        <v>0</v>
      </c>
      <c r="AG30" s="199"/>
      <c r="AH30" s="194"/>
      <c r="AI30" s="195"/>
      <c r="AJ30" s="196"/>
      <c r="AK30" s="193">
        <f t="shared" si="2"/>
        <v>0</v>
      </c>
      <c r="AL30" s="197"/>
      <c r="AM30" s="129"/>
      <c r="AN30" s="62"/>
      <c r="AO30" s="127"/>
      <c r="AP30" s="127"/>
      <c r="AQ30" s="127"/>
      <c r="AR30" s="127"/>
      <c r="AS30" s="127"/>
      <c r="AT30" s="127"/>
      <c r="AU30" s="127"/>
      <c r="AV30" s="127"/>
    </row>
    <row r="31" spans="1:48" x14ac:dyDescent="0.2">
      <c r="A31" s="134"/>
      <c r="B31" s="187" t="str">
        <f>'P&amp;L'!B21</f>
        <v>Gas &amp; Electric</v>
      </c>
      <c r="C31" s="129"/>
      <c r="D31" s="909">
        <v>0</v>
      </c>
      <c r="E31" s="125">
        <f t="shared" si="16"/>
        <v>0</v>
      </c>
      <c r="F31" s="188">
        <f t="shared" si="17"/>
        <v>0</v>
      </c>
      <c r="G31" s="909">
        <f t="shared" ref="G31:G36" si="25">D31</f>
        <v>0</v>
      </c>
      <c r="H31" s="125">
        <f t="shared" si="18"/>
        <v>0</v>
      </c>
      <c r="I31" s="188">
        <f t="shared" si="3"/>
        <v>0</v>
      </c>
      <c r="J31" s="909">
        <f t="shared" si="4"/>
        <v>0</v>
      </c>
      <c r="K31" s="125">
        <f t="shared" si="19"/>
        <v>0</v>
      </c>
      <c r="L31" s="188">
        <f t="shared" si="5"/>
        <v>0</v>
      </c>
      <c r="M31" s="909">
        <f t="shared" si="6"/>
        <v>0</v>
      </c>
      <c r="N31" s="125">
        <f t="shared" si="20"/>
        <v>0</v>
      </c>
      <c r="O31" s="164">
        <f t="shared" si="7"/>
        <v>0</v>
      </c>
      <c r="P31" s="137">
        <f t="shared" si="8"/>
        <v>0</v>
      </c>
      <c r="Q31" s="125">
        <f t="shared" si="21"/>
        <v>0</v>
      </c>
      <c r="R31" s="188">
        <f t="shared" si="9"/>
        <v>0</v>
      </c>
      <c r="S31" s="909">
        <f t="shared" si="10"/>
        <v>0</v>
      </c>
      <c r="T31" s="125">
        <f t="shared" si="22"/>
        <v>0</v>
      </c>
      <c r="U31" s="188">
        <f t="shared" si="11"/>
        <v>0</v>
      </c>
      <c r="V31" s="909">
        <f t="shared" si="12"/>
        <v>0</v>
      </c>
      <c r="W31" s="125">
        <f t="shared" si="23"/>
        <v>0</v>
      </c>
      <c r="X31" s="188">
        <f t="shared" si="13"/>
        <v>0</v>
      </c>
      <c r="Y31" s="909">
        <f t="shared" si="14"/>
        <v>0</v>
      </c>
      <c r="Z31" s="125">
        <f t="shared" si="24"/>
        <v>0</v>
      </c>
      <c r="AA31" s="164">
        <f t="shared" si="15"/>
        <v>0</v>
      </c>
      <c r="AB31" s="186"/>
      <c r="AC31" s="204" t="s">
        <v>118</v>
      </c>
      <c r="AD31" s="191" t="s">
        <v>138</v>
      </c>
      <c r="AE31" s="199">
        <v>200</v>
      </c>
      <c r="AF31" s="203">
        <f>AE31*$AD$23</f>
        <v>0</v>
      </c>
      <c r="AG31" s="199">
        <v>125</v>
      </c>
      <c r="AH31" s="194">
        <f>AG31*$AD$23</f>
        <v>0</v>
      </c>
      <c r="AI31" s="200">
        <v>229</v>
      </c>
      <c r="AJ31" s="201">
        <v>199</v>
      </c>
      <c r="AK31" s="193">
        <f t="shared" si="2"/>
        <v>0</v>
      </c>
      <c r="AL31" s="197"/>
      <c r="AM31" s="129"/>
      <c r="AN31" s="62"/>
      <c r="AO31" s="127"/>
      <c r="AP31" s="127"/>
      <c r="AQ31" s="127"/>
      <c r="AR31" s="127"/>
      <c r="AS31" s="127"/>
      <c r="AT31" s="127"/>
      <c r="AU31" s="127"/>
      <c r="AV31" s="127"/>
    </row>
    <row r="32" spans="1:48" x14ac:dyDescent="0.2">
      <c r="A32" s="134"/>
      <c r="B32" s="187" t="str">
        <f>'P&amp;L'!B22</f>
        <v>General/Admin</v>
      </c>
      <c r="C32" s="129"/>
      <c r="D32" s="909">
        <v>0</v>
      </c>
      <c r="E32" s="125">
        <f t="shared" si="16"/>
        <v>0</v>
      </c>
      <c r="F32" s="188">
        <f t="shared" si="17"/>
        <v>0</v>
      </c>
      <c r="G32" s="909">
        <f t="shared" si="25"/>
        <v>0</v>
      </c>
      <c r="H32" s="125">
        <f t="shared" si="18"/>
        <v>0</v>
      </c>
      <c r="I32" s="188">
        <f t="shared" si="3"/>
        <v>0</v>
      </c>
      <c r="J32" s="909">
        <f t="shared" si="4"/>
        <v>0</v>
      </c>
      <c r="K32" s="125">
        <f t="shared" si="19"/>
        <v>0</v>
      </c>
      <c r="L32" s="188">
        <f t="shared" si="5"/>
        <v>0</v>
      </c>
      <c r="M32" s="909">
        <f t="shared" si="6"/>
        <v>0</v>
      </c>
      <c r="N32" s="125">
        <f t="shared" si="20"/>
        <v>0</v>
      </c>
      <c r="O32" s="164">
        <f t="shared" si="7"/>
        <v>0</v>
      </c>
      <c r="P32" s="137">
        <f t="shared" si="8"/>
        <v>0</v>
      </c>
      <c r="Q32" s="125">
        <f t="shared" si="21"/>
        <v>0</v>
      </c>
      <c r="R32" s="188">
        <f t="shared" si="9"/>
        <v>0</v>
      </c>
      <c r="S32" s="909">
        <f t="shared" si="10"/>
        <v>0</v>
      </c>
      <c r="T32" s="125">
        <f t="shared" si="22"/>
        <v>0</v>
      </c>
      <c r="U32" s="188">
        <f t="shared" si="11"/>
        <v>0</v>
      </c>
      <c r="V32" s="909">
        <f t="shared" si="12"/>
        <v>0</v>
      </c>
      <c r="W32" s="125">
        <f t="shared" si="23"/>
        <v>0</v>
      </c>
      <c r="X32" s="188">
        <f t="shared" si="13"/>
        <v>0</v>
      </c>
      <c r="Y32" s="909">
        <f t="shared" si="14"/>
        <v>0</v>
      </c>
      <c r="Z32" s="125">
        <f t="shared" si="24"/>
        <v>0</v>
      </c>
      <c r="AA32" s="164">
        <f t="shared" si="15"/>
        <v>0</v>
      </c>
      <c r="AB32" s="186"/>
      <c r="AC32" s="204" t="s">
        <v>90</v>
      </c>
      <c r="AD32" s="191" t="s">
        <v>441</v>
      </c>
      <c r="AE32" s="199">
        <v>100</v>
      </c>
      <c r="AF32" s="203">
        <f>AE32*$AD$23</f>
        <v>0</v>
      </c>
      <c r="AG32" s="199"/>
      <c r="AH32" s="194"/>
      <c r="AI32" s="200">
        <v>100</v>
      </c>
      <c r="AJ32" s="201">
        <v>111</v>
      </c>
      <c r="AK32" s="193">
        <f t="shared" si="2"/>
        <v>0</v>
      </c>
      <c r="AL32" s="197"/>
      <c r="AM32" s="129"/>
      <c r="AN32" s="62"/>
      <c r="AO32" s="127"/>
      <c r="AP32" s="127"/>
      <c r="AQ32" s="127"/>
      <c r="AR32" s="127"/>
      <c r="AS32" s="127"/>
      <c r="AT32" s="127"/>
      <c r="AU32" s="127"/>
      <c r="AV32" s="127"/>
    </row>
    <row r="33" spans="1:62" x14ac:dyDescent="0.2">
      <c r="A33" s="134"/>
      <c r="B33" s="187" t="str">
        <f>'P&amp;L'!B23</f>
        <v>Insurance</v>
      </c>
      <c r="C33" s="129"/>
      <c r="D33" s="909">
        <v>0</v>
      </c>
      <c r="E33" s="125">
        <f t="shared" si="16"/>
        <v>0</v>
      </c>
      <c r="F33" s="188">
        <f t="shared" si="17"/>
        <v>0</v>
      </c>
      <c r="G33" s="909">
        <f t="shared" si="25"/>
        <v>0</v>
      </c>
      <c r="H33" s="125">
        <f t="shared" si="18"/>
        <v>0</v>
      </c>
      <c r="I33" s="188">
        <f t="shared" si="3"/>
        <v>0</v>
      </c>
      <c r="J33" s="909">
        <f t="shared" si="4"/>
        <v>0</v>
      </c>
      <c r="K33" s="125">
        <f t="shared" si="19"/>
        <v>0</v>
      </c>
      <c r="L33" s="188">
        <f t="shared" si="5"/>
        <v>0</v>
      </c>
      <c r="M33" s="909">
        <f t="shared" si="6"/>
        <v>0</v>
      </c>
      <c r="N33" s="125">
        <f t="shared" si="20"/>
        <v>0</v>
      </c>
      <c r="O33" s="164">
        <f t="shared" si="7"/>
        <v>0</v>
      </c>
      <c r="P33" s="137">
        <f t="shared" si="8"/>
        <v>0</v>
      </c>
      <c r="Q33" s="125">
        <f t="shared" si="21"/>
        <v>0</v>
      </c>
      <c r="R33" s="188">
        <f t="shared" si="9"/>
        <v>0</v>
      </c>
      <c r="S33" s="909">
        <f t="shared" si="10"/>
        <v>0</v>
      </c>
      <c r="T33" s="125">
        <f t="shared" si="22"/>
        <v>0</v>
      </c>
      <c r="U33" s="188">
        <f t="shared" si="11"/>
        <v>0</v>
      </c>
      <c r="V33" s="909">
        <f t="shared" si="12"/>
        <v>0</v>
      </c>
      <c r="W33" s="125">
        <f t="shared" si="23"/>
        <v>0</v>
      </c>
      <c r="X33" s="188">
        <f t="shared" si="13"/>
        <v>0</v>
      </c>
      <c r="Y33" s="909">
        <f t="shared" si="14"/>
        <v>0</v>
      </c>
      <c r="Z33" s="125">
        <f t="shared" si="24"/>
        <v>0</v>
      </c>
      <c r="AA33" s="164">
        <f t="shared" si="15"/>
        <v>0</v>
      </c>
      <c r="AB33" s="186"/>
      <c r="AC33" s="204" t="s">
        <v>91</v>
      </c>
      <c r="AD33" s="191" t="s">
        <v>345</v>
      </c>
      <c r="AE33" s="199">
        <v>100</v>
      </c>
      <c r="AF33" s="193">
        <f>AE33*$AD$23*12</f>
        <v>0</v>
      </c>
      <c r="AG33" s="199"/>
      <c r="AH33" s="194"/>
      <c r="AI33" s="200"/>
      <c r="AJ33" s="201"/>
      <c r="AK33" s="193">
        <f>AF33</f>
        <v>0</v>
      </c>
      <c r="AL33" s="197"/>
      <c r="AM33" s="129"/>
      <c r="AN33" s="62"/>
      <c r="AO33" s="127"/>
      <c r="AP33" s="127"/>
      <c r="AQ33" s="127"/>
      <c r="AR33" s="127"/>
      <c r="AS33" s="127"/>
      <c r="AT33" s="127"/>
      <c r="AU33" s="127"/>
      <c r="AV33" s="127"/>
      <c r="AW33" s="47"/>
      <c r="AX33" s="47"/>
      <c r="AY33" s="47"/>
      <c r="AZ33" s="47"/>
      <c r="BA33" s="47"/>
      <c r="BB33" s="47"/>
      <c r="BC33" s="47"/>
      <c r="BD33" s="47"/>
      <c r="BE33" s="47"/>
      <c r="BF33" s="47"/>
      <c r="BG33" s="47"/>
      <c r="BH33" s="47"/>
      <c r="BI33" s="47"/>
      <c r="BJ33" s="47"/>
    </row>
    <row r="34" spans="1:62" x14ac:dyDescent="0.2">
      <c r="A34" s="134"/>
      <c r="B34" s="187" t="str">
        <f>'P&amp;L'!B24</f>
        <v>Legal</v>
      </c>
      <c r="C34" s="129"/>
      <c r="D34" s="909">
        <v>0</v>
      </c>
      <c r="E34" s="125">
        <f t="shared" si="16"/>
        <v>0</v>
      </c>
      <c r="F34" s="188">
        <f t="shared" si="17"/>
        <v>0</v>
      </c>
      <c r="G34" s="909">
        <f t="shared" si="25"/>
        <v>0</v>
      </c>
      <c r="H34" s="125">
        <f t="shared" si="18"/>
        <v>0</v>
      </c>
      <c r="I34" s="188">
        <f t="shared" si="3"/>
        <v>0</v>
      </c>
      <c r="J34" s="909">
        <f t="shared" si="4"/>
        <v>0</v>
      </c>
      <c r="K34" s="125">
        <f t="shared" si="19"/>
        <v>0</v>
      </c>
      <c r="L34" s="188">
        <f t="shared" si="5"/>
        <v>0</v>
      </c>
      <c r="M34" s="909">
        <f t="shared" si="6"/>
        <v>0</v>
      </c>
      <c r="N34" s="125">
        <f t="shared" si="20"/>
        <v>0</v>
      </c>
      <c r="O34" s="164">
        <f t="shared" si="7"/>
        <v>0</v>
      </c>
      <c r="P34" s="137">
        <f t="shared" si="8"/>
        <v>0</v>
      </c>
      <c r="Q34" s="125">
        <f t="shared" si="21"/>
        <v>0</v>
      </c>
      <c r="R34" s="188">
        <f t="shared" si="9"/>
        <v>0</v>
      </c>
      <c r="S34" s="909">
        <f t="shared" si="10"/>
        <v>0</v>
      </c>
      <c r="T34" s="125">
        <f t="shared" si="22"/>
        <v>0</v>
      </c>
      <c r="U34" s="188">
        <f t="shared" si="11"/>
        <v>0</v>
      </c>
      <c r="V34" s="909">
        <f t="shared" si="12"/>
        <v>0</v>
      </c>
      <c r="W34" s="125">
        <f t="shared" si="23"/>
        <v>0</v>
      </c>
      <c r="X34" s="188">
        <f t="shared" si="13"/>
        <v>0</v>
      </c>
      <c r="Y34" s="909">
        <f t="shared" si="14"/>
        <v>0</v>
      </c>
      <c r="Z34" s="125">
        <f t="shared" si="24"/>
        <v>0</v>
      </c>
      <c r="AA34" s="164">
        <f t="shared" si="15"/>
        <v>0</v>
      </c>
      <c r="AB34" s="186"/>
      <c r="AC34" s="204" t="s">
        <v>119</v>
      </c>
      <c r="AD34" s="198" t="s">
        <v>137</v>
      </c>
      <c r="AE34" s="199">
        <v>400</v>
      </c>
      <c r="AF34" s="203">
        <f>AE34*$AD$23</f>
        <v>0</v>
      </c>
      <c r="AG34" s="199">
        <v>500</v>
      </c>
      <c r="AH34" s="194">
        <f>AG34*$AD$23</f>
        <v>0</v>
      </c>
      <c r="AI34" s="200">
        <v>500</v>
      </c>
      <c r="AJ34" s="201">
        <v>607</v>
      </c>
      <c r="AK34" s="193">
        <f>AF34</f>
        <v>0</v>
      </c>
      <c r="AL34" s="197"/>
      <c r="AM34" s="129"/>
      <c r="AN34" s="62"/>
      <c r="AO34" s="127"/>
      <c r="AP34" s="127"/>
      <c r="AQ34" s="127"/>
      <c r="AR34" s="127"/>
      <c r="AS34" s="127"/>
      <c r="AT34" s="127"/>
      <c r="AU34" s="127"/>
      <c r="AV34" s="127"/>
      <c r="AW34" s="47"/>
      <c r="AX34" s="47"/>
      <c r="AY34" s="47"/>
      <c r="AZ34" s="47"/>
      <c r="BA34" s="47"/>
      <c r="BB34" s="47"/>
      <c r="BC34" s="47"/>
      <c r="BD34" s="47"/>
      <c r="BE34" s="47"/>
      <c r="BF34" s="47"/>
      <c r="BG34" s="47"/>
      <c r="BH34" s="47"/>
      <c r="BI34" s="47"/>
      <c r="BJ34" s="47"/>
    </row>
    <row r="35" spans="1:62" x14ac:dyDescent="0.2">
      <c r="A35" s="134"/>
      <c r="B35" s="187" t="str">
        <f>'P&amp;L'!B25</f>
        <v>Real Estate Taxes</v>
      </c>
      <c r="C35" s="129"/>
      <c r="D35" s="909">
        <v>0</v>
      </c>
      <c r="E35" s="125">
        <f t="shared" si="16"/>
        <v>0</v>
      </c>
      <c r="F35" s="188">
        <f t="shared" si="17"/>
        <v>0</v>
      </c>
      <c r="G35" s="909">
        <f t="shared" si="25"/>
        <v>0</v>
      </c>
      <c r="H35" s="125">
        <f t="shared" si="18"/>
        <v>0</v>
      </c>
      <c r="I35" s="188">
        <f t="shared" si="3"/>
        <v>0</v>
      </c>
      <c r="J35" s="909">
        <f t="shared" si="4"/>
        <v>0</v>
      </c>
      <c r="K35" s="125">
        <f t="shared" si="19"/>
        <v>0</v>
      </c>
      <c r="L35" s="188">
        <f t="shared" si="5"/>
        <v>0</v>
      </c>
      <c r="M35" s="909">
        <f t="shared" si="6"/>
        <v>0</v>
      </c>
      <c r="N35" s="125">
        <f t="shared" si="20"/>
        <v>0</v>
      </c>
      <c r="O35" s="164">
        <f t="shared" si="7"/>
        <v>0</v>
      </c>
      <c r="P35" s="137">
        <f t="shared" si="8"/>
        <v>0</v>
      </c>
      <c r="Q35" s="125">
        <f t="shared" si="21"/>
        <v>0</v>
      </c>
      <c r="R35" s="188">
        <f t="shared" si="9"/>
        <v>0</v>
      </c>
      <c r="S35" s="909">
        <f t="shared" si="10"/>
        <v>0</v>
      </c>
      <c r="T35" s="125">
        <f t="shared" si="22"/>
        <v>0</v>
      </c>
      <c r="U35" s="188">
        <f t="shared" si="11"/>
        <v>0</v>
      </c>
      <c r="V35" s="909">
        <f t="shared" si="12"/>
        <v>0</v>
      </c>
      <c r="W35" s="125">
        <f t="shared" si="23"/>
        <v>0</v>
      </c>
      <c r="X35" s="188">
        <f t="shared" si="13"/>
        <v>0</v>
      </c>
      <c r="Y35" s="909">
        <f t="shared" si="14"/>
        <v>0</v>
      </c>
      <c r="Z35" s="125">
        <f t="shared" si="24"/>
        <v>0</v>
      </c>
      <c r="AA35" s="164">
        <f t="shared" si="15"/>
        <v>0</v>
      </c>
      <c r="AB35" s="186"/>
      <c r="AC35" s="190" t="s">
        <v>117</v>
      </c>
      <c r="AD35" s="205" t="s">
        <v>144</v>
      </c>
      <c r="AE35" s="192">
        <f>IFERROR(AF35/$AD$23,0)</f>
        <v>0</v>
      </c>
      <c r="AF35" s="206">
        <f>150*AD23</f>
        <v>0</v>
      </c>
      <c r="AG35" s="199">
        <v>150</v>
      </c>
      <c r="AH35" s="194">
        <f>AG35*$AD$23</f>
        <v>0</v>
      </c>
      <c r="AI35" s="207"/>
      <c r="AJ35" s="196"/>
      <c r="AK35" s="193">
        <f>AF35</f>
        <v>0</v>
      </c>
      <c r="AL35" s="197"/>
      <c r="AM35" s="129"/>
      <c r="AN35" s="62"/>
      <c r="AO35" s="127"/>
      <c r="AP35" s="127"/>
      <c r="AQ35" s="127"/>
      <c r="AR35" s="127"/>
      <c r="AS35" s="127"/>
      <c r="AT35" s="127"/>
      <c r="AU35" s="127"/>
      <c r="AV35" s="127"/>
      <c r="AW35" s="47"/>
      <c r="AX35" s="47"/>
      <c r="AY35" s="47"/>
      <c r="AZ35" s="47"/>
      <c r="BA35" s="47"/>
      <c r="BB35" s="47"/>
      <c r="BC35" s="47"/>
      <c r="BD35" s="47"/>
      <c r="BE35" s="47"/>
      <c r="BF35" s="47"/>
      <c r="BG35" s="47"/>
      <c r="BH35" s="47"/>
      <c r="BI35" s="47"/>
      <c r="BJ35" s="47"/>
    </row>
    <row r="36" spans="1:62" x14ac:dyDescent="0.2">
      <c r="A36" s="134"/>
      <c r="B36" s="187" t="str">
        <f>'P&amp;L'!B26</f>
        <v>Trash Removal</v>
      </c>
      <c r="C36" s="129"/>
      <c r="D36" s="909">
        <v>0</v>
      </c>
      <c r="E36" s="125">
        <f t="shared" si="16"/>
        <v>0</v>
      </c>
      <c r="F36" s="188">
        <f t="shared" si="17"/>
        <v>0</v>
      </c>
      <c r="G36" s="909">
        <f t="shared" si="25"/>
        <v>0</v>
      </c>
      <c r="H36" s="125">
        <f t="shared" si="18"/>
        <v>0</v>
      </c>
      <c r="I36" s="188">
        <f t="shared" si="3"/>
        <v>0</v>
      </c>
      <c r="J36" s="909">
        <f t="shared" si="4"/>
        <v>0</v>
      </c>
      <c r="K36" s="125">
        <f t="shared" si="19"/>
        <v>0</v>
      </c>
      <c r="L36" s="188">
        <f t="shared" si="5"/>
        <v>0</v>
      </c>
      <c r="M36" s="909">
        <f t="shared" si="6"/>
        <v>0</v>
      </c>
      <c r="N36" s="125">
        <f t="shared" si="20"/>
        <v>0</v>
      </c>
      <c r="O36" s="164">
        <f t="shared" si="7"/>
        <v>0</v>
      </c>
      <c r="P36" s="137">
        <f t="shared" si="8"/>
        <v>0</v>
      </c>
      <c r="Q36" s="125">
        <f t="shared" si="21"/>
        <v>0</v>
      </c>
      <c r="R36" s="188">
        <f t="shared" si="9"/>
        <v>0</v>
      </c>
      <c r="S36" s="909">
        <f t="shared" si="10"/>
        <v>0</v>
      </c>
      <c r="T36" s="125">
        <f t="shared" si="22"/>
        <v>0</v>
      </c>
      <c r="U36" s="188">
        <f t="shared" si="11"/>
        <v>0</v>
      </c>
      <c r="V36" s="909">
        <f t="shared" si="12"/>
        <v>0</v>
      </c>
      <c r="W36" s="125">
        <f t="shared" si="23"/>
        <v>0</v>
      </c>
      <c r="X36" s="188">
        <f t="shared" si="13"/>
        <v>0</v>
      </c>
      <c r="Y36" s="909">
        <f t="shared" si="14"/>
        <v>0</v>
      </c>
      <c r="Z36" s="125">
        <f t="shared" si="24"/>
        <v>0</v>
      </c>
      <c r="AA36" s="164">
        <f t="shared" si="15"/>
        <v>0</v>
      </c>
      <c r="AB36" s="113"/>
      <c r="AC36" s="190" t="s">
        <v>29</v>
      </c>
      <c r="AD36" s="198" t="s">
        <v>139</v>
      </c>
      <c r="AE36" s="192"/>
      <c r="AF36" s="193"/>
      <c r="AG36" s="199">
        <v>0.06</v>
      </c>
      <c r="AH36" s="194"/>
      <c r="AI36" s="195"/>
      <c r="AJ36" s="196"/>
      <c r="AK36" s="193">
        <f>AF36</f>
        <v>0</v>
      </c>
      <c r="AL36" s="197"/>
      <c r="AM36" s="129"/>
      <c r="AN36" s="62"/>
      <c r="AO36" s="127"/>
      <c r="AP36" s="127"/>
      <c r="AQ36" s="127"/>
      <c r="AR36" s="127"/>
      <c r="AS36" s="127"/>
      <c r="AT36" s="127"/>
      <c r="AU36" s="127"/>
      <c r="AV36" s="127"/>
      <c r="AW36" s="47"/>
      <c r="AX36" s="47"/>
      <c r="AY36" s="47"/>
      <c r="AZ36" s="47"/>
      <c r="BA36" s="47"/>
      <c r="BB36" s="47"/>
      <c r="BC36" s="47"/>
      <c r="BD36" s="47"/>
      <c r="BE36" s="47"/>
      <c r="BF36" s="47"/>
      <c r="BG36" s="47"/>
      <c r="BH36" s="47"/>
      <c r="BI36" s="47"/>
      <c r="BJ36" s="47"/>
    </row>
    <row r="37" spans="1:62" x14ac:dyDescent="0.2">
      <c r="A37" s="134"/>
      <c r="B37" s="187" t="str">
        <f>'P&amp;L'!B27</f>
        <v>Management Fee</v>
      </c>
      <c r="C37" s="129"/>
      <c r="D37" s="909">
        <v>0</v>
      </c>
      <c r="E37" s="125">
        <f t="shared" si="16"/>
        <v>0</v>
      </c>
      <c r="F37" s="188">
        <f t="shared" si="17"/>
        <v>0</v>
      </c>
      <c r="G37" s="911">
        <f>I37*G26</f>
        <v>0</v>
      </c>
      <c r="H37" s="125">
        <f t="shared" si="18"/>
        <v>0</v>
      </c>
      <c r="I37" s="208">
        <v>0</v>
      </c>
      <c r="J37" s="911">
        <f>L37*J26</f>
        <v>0</v>
      </c>
      <c r="K37" s="125">
        <f t="shared" si="19"/>
        <v>0</v>
      </c>
      <c r="L37" s="208">
        <f>I37</f>
        <v>0</v>
      </c>
      <c r="M37" s="911">
        <f>O37*M26</f>
        <v>0</v>
      </c>
      <c r="N37" s="125">
        <f t="shared" si="20"/>
        <v>0</v>
      </c>
      <c r="O37" s="165">
        <f>L37</f>
        <v>0</v>
      </c>
      <c r="P37" s="125">
        <f>R37*P26</f>
        <v>0</v>
      </c>
      <c r="Q37" s="125">
        <f t="shared" si="21"/>
        <v>0</v>
      </c>
      <c r="R37" s="208">
        <f>O37</f>
        <v>0</v>
      </c>
      <c r="S37" s="911">
        <f>U37*S26</f>
        <v>0</v>
      </c>
      <c r="T37" s="125">
        <f t="shared" si="22"/>
        <v>0</v>
      </c>
      <c r="U37" s="208">
        <f>R37</f>
        <v>0</v>
      </c>
      <c r="V37" s="911">
        <f>X37*V26</f>
        <v>0</v>
      </c>
      <c r="W37" s="125">
        <f t="shared" si="23"/>
        <v>0</v>
      </c>
      <c r="X37" s="208">
        <f>U37</f>
        <v>0</v>
      </c>
      <c r="Y37" s="911">
        <f>AA37*Y26</f>
        <v>0</v>
      </c>
      <c r="Z37" s="125">
        <f t="shared" si="24"/>
        <v>0</v>
      </c>
      <c r="AA37" s="165">
        <f>X37</f>
        <v>0</v>
      </c>
      <c r="AB37" s="113"/>
      <c r="AC37" s="190" t="s">
        <v>30</v>
      </c>
      <c r="AD37" s="205" t="s">
        <v>141</v>
      </c>
      <c r="AE37" s="192"/>
      <c r="AF37" s="193">
        <f>0.1*AD24</f>
        <v>0</v>
      </c>
      <c r="AG37" s="199">
        <v>1000</v>
      </c>
      <c r="AH37" s="194">
        <f>AG37*$AD$23</f>
        <v>0</v>
      </c>
      <c r="AI37" s="195"/>
      <c r="AJ37" s="196"/>
      <c r="AK37" s="193">
        <f>AF37</f>
        <v>0</v>
      </c>
      <c r="AL37" s="197"/>
      <c r="AM37" s="129"/>
      <c r="AN37" s="62"/>
      <c r="AO37" s="127"/>
      <c r="AP37" s="127"/>
      <c r="AQ37" s="127"/>
      <c r="AR37" s="127"/>
      <c r="AS37" s="127"/>
      <c r="AT37" s="127"/>
      <c r="AU37" s="127"/>
      <c r="AV37" s="127"/>
      <c r="AW37" s="47"/>
      <c r="AX37" s="47"/>
      <c r="AY37" s="47"/>
      <c r="AZ37" s="47"/>
      <c r="BA37" s="47"/>
      <c r="BB37" s="47"/>
      <c r="BC37" s="47"/>
      <c r="BD37" s="47"/>
      <c r="BE37" s="47"/>
      <c r="BF37" s="47"/>
      <c r="BG37" s="47"/>
      <c r="BH37" s="47"/>
      <c r="BI37" s="47"/>
      <c r="BJ37" s="47"/>
    </row>
    <row r="38" spans="1:62" x14ac:dyDescent="0.2">
      <c r="A38" s="134"/>
      <c r="B38" s="187" t="str">
        <f>'P&amp;L'!B28</f>
        <v>Payroll</v>
      </c>
      <c r="C38" s="129"/>
      <c r="D38" s="909">
        <v>0</v>
      </c>
      <c r="E38" s="125">
        <f t="shared" si="16"/>
        <v>0</v>
      </c>
      <c r="F38" s="188">
        <f t="shared" si="17"/>
        <v>0</v>
      </c>
      <c r="G38" s="909">
        <f>D38</f>
        <v>0</v>
      </c>
      <c r="H38" s="125">
        <f t="shared" si="18"/>
        <v>0</v>
      </c>
      <c r="I38" s="188">
        <f>IF(G$26=0,0,G38/G$26)</f>
        <v>0</v>
      </c>
      <c r="J38" s="909">
        <f>G38</f>
        <v>0</v>
      </c>
      <c r="K38" s="125">
        <f t="shared" si="19"/>
        <v>0</v>
      </c>
      <c r="L38" s="188">
        <f>IF(J$26=0,0,J38/J$26)</f>
        <v>0</v>
      </c>
      <c r="M38" s="909">
        <f>J38</f>
        <v>0</v>
      </c>
      <c r="N38" s="125">
        <f t="shared" si="20"/>
        <v>0</v>
      </c>
      <c r="O38" s="164">
        <f>IF(M$26=0,0,M38/M$26)</f>
        <v>0</v>
      </c>
      <c r="P38" s="137">
        <f>M38</f>
        <v>0</v>
      </c>
      <c r="Q38" s="125">
        <f t="shared" si="21"/>
        <v>0</v>
      </c>
      <c r="R38" s="188">
        <f>IF(P$26=0,0,P38/P$26)</f>
        <v>0</v>
      </c>
      <c r="S38" s="909">
        <f>P38</f>
        <v>0</v>
      </c>
      <c r="T38" s="125">
        <f t="shared" si="22"/>
        <v>0</v>
      </c>
      <c r="U38" s="188">
        <f>IF(S$26=0,0,S38/S$26)</f>
        <v>0</v>
      </c>
      <c r="V38" s="909">
        <f>S38</f>
        <v>0</v>
      </c>
      <c r="W38" s="125">
        <f t="shared" si="23"/>
        <v>0</v>
      </c>
      <c r="X38" s="188">
        <f>IF(V$26=0,0,V38/V$26)</f>
        <v>0</v>
      </c>
      <c r="Y38" s="909">
        <f>V38</f>
        <v>0</v>
      </c>
      <c r="Z38" s="125">
        <f t="shared" si="24"/>
        <v>0</v>
      </c>
      <c r="AA38" s="164">
        <f>IF(Y$26=0,0,Y38/Y$26)</f>
        <v>0</v>
      </c>
      <c r="AB38" s="186"/>
      <c r="AC38" s="190" t="s">
        <v>455</v>
      </c>
      <c r="AD38" s="205" t="s">
        <v>142</v>
      </c>
      <c r="AE38" s="192"/>
      <c r="AF38" s="206"/>
      <c r="AG38" s="199"/>
      <c r="AH38" s="194"/>
      <c r="AI38" s="207"/>
      <c r="AJ38" s="196"/>
      <c r="AK38" s="193">
        <v>1700</v>
      </c>
      <c r="AL38" s="197"/>
      <c r="AM38" s="129"/>
      <c r="AN38" s="62"/>
      <c r="AO38" s="127"/>
      <c r="AP38" s="127"/>
      <c r="AQ38" s="127"/>
      <c r="AR38" s="127"/>
      <c r="AS38" s="127"/>
      <c r="AT38" s="127"/>
      <c r="AU38" s="127"/>
      <c r="AV38" s="127"/>
      <c r="AW38" s="47"/>
      <c r="AX38" s="47"/>
      <c r="AY38" s="47"/>
      <c r="AZ38" s="47"/>
      <c r="BA38" s="47"/>
      <c r="BB38" s="47"/>
      <c r="BC38" s="47"/>
      <c r="BD38" s="47"/>
      <c r="BE38" s="47"/>
      <c r="BF38" s="47"/>
      <c r="BG38" s="47"/>
      <c r="BH38" s="47"/>
      <c r="BI38" s="47"/>
      <c r="BJ38" s="47"/>
    </row>
    <row r="39" spans="1:62" x14ac:dyDescent="0.2">
      <c r="A39" s="134"/>
      <c r="B39" s="187" t="str">
        <f>'P&amp;L'!B29</f>
        <v xml:space="preserve">Repairs and Maintenance </v>
      </c>
      <c r="C39" s="129"/>
      <c r="D39" s="909">
        <v>0</v>
      </c>
      <c r="E39" s="125">
        <f t="shared" si="16"/>
        <v>0</v>
      </c>
      <c r="F39" s="188">
        <f t="shared" si="17"/>
        <v>0</v>
      </c>
      <c r="G39" s="909">
        <f>D39</f>
        <v>0</v>
      </c>
      <c r="H39" s="125">
        <f t="shared" si="18"/>
        <v>0</v>
      </c>
      <c r="I39" s="188">
        <f>IF(G$26=0,0,G39/G$26)</f>
        <v>0</v>
      </c>
      <c r="J39" s="909">
        <f>G39</f>
        <v>0</v>
      </c>
      <c r="K39" s="125">
        <f t="shared" si="19"/>
        <v>0</v>
      </c>
      <c r="L39" s="188">
        <f>IF(J$26=0,0,J39/J$26)</f>
        <v>0</v>
      </c>
      <c r="M39" s="909">
        <f>J39</f>
        <v>0</v>
      </c>
      <c r="N39" s="125">
        <f t="shared" si="20"/>
        <v>0</v>
      </c>
      <c r="O39" s="164">
        <f>IF(M$26=0,0,M39/M$26)</f>
        <v>0</v>
      </c>
      <c r="P39" s="137">
        <f>M39</f>
        <v>0</v>
      </c>
      <c r="Q39" s="125">
        <f t="shared" si="21"/>
        <v>0</v>
      </c>
      <c r="R39" s="188">
        <f>IF(P$26=0,0,P39/P$26)</f>
        <v>0</v>
      </c>
      <c r="S39" s="909">
        <f>P39</f>
        <v>0</v>
      </c>
      <c r="T39" s="125">
        <f t="shared" si="22"/>
        <v>0</v>
      </c>
      <c r="U39" s="188">
        <f>IF(S$26=0,0,S39/S$26)</f>
        <v>0</v>
      </c>
      <c r="V39" s="909">
        <f>S39</f>
        <v>0</v>
      </c>
      <c r="W39" s="125">
        <f t="shared" si="23"/>
        <v>0</v>
      </c>
      <c r="X39" s="188">
        <f>IF(V$26=0,0,V39/V$26)</f>
        <v>0</v>
      </c>
      <c r="Y39" s="909">
        <f>V39</f>
        <v>0</v>
      </c>
      <c r="Z39" s="125">
        <f t="shared" si="24"/>
        <v>0</v>
      </c>
      <c r="AA39" s="164">
        <f>IF(Y$26=0,0,Y39/Y$26)</f>
        <v>0</v>
      </c>
      <c r="AB39" s="186"/>
      <c r="AC39" s="190" t="s">
        <v>37</v>
      </c>
      <c r="AD39" s="205" t="s">
        <v>142</v>
      </c>
      <c r="AE39" s="192"/>
      <c r="AF39" s="206"/>
      <c r="AG39" s="199"/>
      <c r="AH39" s="194"/>
      <c r="AI39" s="207"/>
      <c r="AJ39" s="196"/>
      <c r="AK39" s="193">
        <v>1700</v>
      </c>
      <c r="AL39" s="197"/>
      <c r="AM39" s="129"/>
      <c r="AN39" s="62"/>
      <c r="AO39" s="127"/>
      <c r="AP39" s="127"/>
      <c r="AQ39" s="127"/>
      <c r="AR39" s="127"/>
      <c r="AS39" s="127"/>
      <c r="AT39" s="127"/>
      <c r="AU39" s="127"/>
      <c r="AV39" s="127"/>
      <c r="AW39" s="47"/>
      <c r="AX39" s="47"/>
      <c r="AY39" s="47"/>
      <c r="AZ39" s="47"/>
      <c r="BA39" s="47"/>
      <c r="BB39" s="47"/>
      <c r="BC39" s="47"/>
      <c r="BD39" s="47"/>
      <c r="BE39" s="47"/>
      <c r="BF39" s="47"/>
      <c r="BG39" s="47"/>
      <c r="BH39" s="47"/>
      <c r="BI39" s="47"/>
      <c r="BJ39" s="47"/>
    </row>
    <row r="40" spans="1:62" x14ac:dyDescent="0.2">
      <c r="A40" s="134"/>
      <c r="B40" s="187" t="str">
        <f>'P&amp;L'!B30</f>
        <v>Turnover</v>
      </c>
      <c r="C40" s="129"/>
      <c r="D40" s="909">
        <v>0</v>
      </c>
      <c r="E40" s="125">
        <f t="shared" si="16"/>
        <v>0</v>
      </c>
      <c r="F40" s="188">
        <f t="shared" si="17"/>
        <v>0</v>
      </c>
      <c r="G40" s="909">
        <f>D40</f>
        <v>0</v>
      </c>
      <c r="H40" s="125">
        <f t="shared" si="18"/>
        <v>0</v>
      </c>
      <c r="I40" s="188">
        <f>IF(G$26=0,0,G40/G$26)</f>
        <v>0</v>
      </c>
      <c r="J40" s="909">
        <f>G40</f>
        <v>0</v>
      </c>
      <c r="K40" s="125">
        <f t="shared" si="19"/>
        <v>0</v>
      </c>
      <c r="L40" s="188">
        <f>IF(J$26=0,0,J40/J$26)</f>
        <v>0</v>
      </c>
      <c r="M40" s="909">
        <f>J40</f>
        <v>0</v>
      </c>
      <c r="N40" s="125">
        <f t="shared" si="20"/>
        <v>0</v>
      </c>
      <c r="O40" s="164">
        <f>IF(M$26=0,0,M40/M$26)</f>
        <v>0</v>
      </c>
      <c r="P40" s="137">
        <f>M40</f>
        <v>0</v>
      </c>
      <c r="Q40" s="125">
        <f t="shared" si="21"/>
        <v>0</v>
      </c>
      <c r="R40" s="188">
        <f>IF(P$26=0,0,P40/P$26)</f>
        <v>0</v>
      </c>
      <c r="S40" s="909">
        <f>P40</f>
        <v>0</v>
      </c>
      <c r="T40" s="125">
        <f t="shared" si="22"/>
        <v>0</v>
      </c>
      <c r="U40" s="188">
        <f>IF(S$26=0,0,S40/S$26)</f>
        <v>0</v>
      </c>
      <c r="V40" s="909">
        <f>S40</f>
        <v>0</v>
      </c>
      <c r="W40" s="125">
        <f t="shared" si="23"/>
        <v>0</v>
      </c>
      <c r="X40" s="188">
        <f>IF(V$26=0,0,V40/V$26)</f>
        <v>0</v>
      </c>
      <c r="Y40" s="909">
        <f>V40</f>
        <v>0</v>
      </c>
      <c r="Z40" s="125">
        <f t="shared" si="24"/>
        <v>0</v>
      </c>
      <c r="AA40" s="164">
        <f>IF(Y$26=0,0,Y40/Y$26)</f>
        <v>0</v>
      </c>
      <c r="AB40" s="186"/>
      <c r="AC40" s="190" t="s">
        <v>38</v>
      </c>
      <c r="AD40" s="202" t="s">
        <v>465</v>
      </c>
      <c r="AE40" s="199"/>
      <c r="AF40" s="203"/>
      <c r="AG40" s="199"/>
      <c r="AH40" s="194"/>
      <c r="AI40" s="195"/>
      <c r="AJ40" s="196"/>
      <c r="AK40" s="193">
        <f>AF40</f>
        <v>0</v>
      </c>
      <c r="AL40" s="197"/>
      <c r="AM40" s="129"/>
      <c r="AN40" s="62"/>
      <c r="AO40" s="127"/>
      <c r="AP40" s="127"/>
      <c r="AQ40" s="127"/>
      <c r="AR40" s="127"/>
      <c r="AS40" s="127"/>
      <c r="AT40" s="127"/>
      <c r="AU40" s="127"/>
      <c r="AV40" s="127"/>
      <c r="AW40" s="47"/>
      <c r="AX40" s="47"/>
      <c r="AY40" s="47"/>
      <c r="AZ40" s="47"/>
      <c r="BA40" s="47"/>
      <c r="BB40" s="47"/>
      <c r="BC40" s="47"/>
      <c r="BD40" s="47"/>
      <c r="BE40" s="47"/>
      <c r="BF40" s="47"/>
      <c r="BG40" s="47"/>
      <c r="BH40" s="47"/>
      <c r="BI40" s="47"/>
      <c r="BJ40" s="47"/>
    </row>
    <row r="41" spans="1:62" x14ac:dyDescent="0.2">
      <c r="A41" s="134"/>
      <c r="B41" s="187" t="str">
        <f>'P&amp;L'!B31</f>
        <v>Water and Sewer</v>
      </c>
      <c r="C41" s="129"/>
      <c r="D41" s="909">
        <v>0</v>
      </c>
      <c r="E41" s="125">
        <f t="shared" si="16"/>
        <v>0</v>
      </c>
      <c r="F41" s="188">
        <f t="shared" si="17"/>
        <v>0</v>
      </c>
      <c r="G41" s="909">
        <f>D41</f>
        <v>0</v>
      </c>
      <c r="H41" s="125">
        <f t="shared" si="18"/>
        <v>0</v>
      </c>
      <c r="I41" s="188">
        <f>IF(G$26=0,0,G41/G$26)</f>
        <v>0</v>
      </c>
      <c r="J41" s="909">
        <f>G41</f>
        <v>0</v>
      </c>
      <c r="K41" s="125">
        <f t="shared" si="19"/>
        <v>0</v>
      </c>
      <c r="L41" s="188">
        <f>IF(J$26=0,0,J41/J$26)</f>
        <v>0</v>
      </c>
      <c r="M41" s="909">
        <f>J41</f>
        <v>0</v>
      </c>
      <c r="N41" s="125">
        <f t="shared" si="20"/>
        <v>0</v>
      </c>
      <c r="O41" s="164">
        <f>IF(M$26=0,0,M41/M$26)</f>
        <v>0</v>
      </c>
      <c r="P41" s="137">
        <f>M41</f>
        <v>0</v>
      </c>
      <c r="Q41" s="125">
        <f t="shared" si="21"/>
        <v>0</v>
      </c>
      <c r="R41" s="188">
        <f>IF(P$26=0,0,P41/P$26)</f>
        <v>0</v>
      </c>
      <c r="S41" s="909">
        <f>P41</f>
        <v>0</v>
      </c>
      <c r="T41" s="125">
        <f t="shared" si="22"/>
        <v>0</v>
      </c>
      <c r="U41" s="188">
        <f>IF(S$26=0,0,S41/S$26)</f>
        <v>0</v>
      </c>
      <c r="V41" s="909">
        <f>S41</f>
        <v>0</v>
      </c>
      <c r="W41" s="125">
        <f t="shared" si="23"/>
        <v>0</v>
      </c>
      <c r="X41" s="188">
        <f>IF(V$26=0,0,V41/V$26)</f>
        <v>0</v>
      </c>
      <c r="Y41" s="909">
        <f>V41</f>
        <v>0</v>
      </c>
      <c r="Z41" s="125">
        <f t="shared" si="24"/>
        <v>0</v>
      </c>
      <c r="AA41" s="164">
        <f>IF(Y$26=0,0,Y41/Y$26)</f>
        <v>0</v>
      </c>
      <c r="AB41" s="186"/>
      <c r="AC41" s="190" t="s">
        <v>457</v>
      </c>
      <c r="AD41" s="202"/>
      <c r="AE41" s="193"/>
      <c r="AF41" s="203"/>
      <c r="AG41" s="199"/>
      <c r="AH41" s="194"/>
      <c r="AI41" s="195"/>
      <c r="AJ41" s="196"/>
      <c r="AK41" s="193">
        <f>AF41</f>
        <v>0</v>
      </c>
      <c r="AL41" s="197"/>
      <c r="AM41" s="129"/>
      <c r="AN41" s="62"/>
      <c r="AO41" s="127"/>
      <c r="AP41" s="127"/>
      <c r="AQ41" s="127"/>
      <c r="AR41" s="127"/>
      <c r="AS41" s="127"/>
      <c r="AT41" s="127"/>
      <c r="AU41" s="127"/>
      <c r="AV41" s="127"/>
      <c r="AW41" s="47"/>
      <c r="AX41" s="47"/>
      <c r="AY41" s="47"/>
      <c r="AZ41" s="47"/>
      <c r="BA41" s="47"/>
      <c r="BB41" s="47"/>
      <c r="BC41" s="47"/>
      <c r="BD41" s="47"/>
      <c r="BE41" s="47"/>
      <c r="BF41" s="47"/>
      <c r="BG41" s="47"/>
      <c r="BH41" s="47"/>
      <c r="BI41" s="47"/>
      <c r="BJ41" s="47"/>
    </row>
    <row r="42" spans="1:62" ht="17" thickBot="1" x14ac:dyDescent="0.25">
      <c r="A42" s="134"/>
      <c r="B42" s="187" t="str">
        <f>'P&amp;L'!B32</f>
        <v>Deposit to Replacement Reserve</v>
      </c>
      <c r="C42" s="129"/>
      <c r="D42" s="909">
        <f>IF(SUM(D29:D41)=0,0,D8*AE42)</f>
        <v>0</v>
      </c>
      <c r="E42" s="627">
        <f t="shared" si="16"/>
        <v>0</v>
      </c>
      <c r="F42" s="629">
        <f t="shared" si="17"/>
        <v>0</v>
      </c>
      <c r="G42" s="943">
        <f>D42</f>
        <v>0</v>
      </c>
      <c r="H42" s="627">
        <f t="shared" si="18"/>
        <v>0</v>
      </c>
      <c r="I42" s="629">
        <f>IF(G$26=0,0,G42/G$26)</f>
        <v>0</v>
      </c>
      <c r="J42" s="943">
        <f>G42</f>
        <v>0</v>
      </c>
      <c r="K42" s="627">
        <f t="shared" si="19"/>
        <v>0</v>
      </c>
      <c r="L42" s="629">
        <f>IF(J$26=0,0,J42/J$26)</f>
        <v>0</v>
      </c>
      <c r="M42" s="943">
        <f>J42</f>
        <v>0</v>
      </c>
      <c r="N42" s="627">
        <f t="shared" si="20"/>
        <v>0</v>
      </c>
      <c r="O42" s="628">
        <f>IF(M$26=0,0,M42/M$26)</f>
        <v>0</v>
      </c>
      <c r="P42" s="137">
        <f>M42</f>
        <v>0</v>
      </c>
      <c r="Q42" s="125">
        <f t="shared" si="21"/>
        <v>0</v>
      </c>
      <c r="R42" s="188">
        <f>IF(P$26=0,0,P42/P$26)</f>
        <v>0</v>
      </c>
      <c r="S42" s="909">
        <f>P42</f>
        <v>0</v>
      </c>
      <c r="T42" s="125">
        <f t="shared" si="22"/>
        <v>0</v>
      </c>
      <c r="U42" s="188">
        <f>IF(S$26=0,0,S42/S$26)</f>
        <v>0</v>
      </c>
      <c r="V42" s="909">
        <f>S42</f>
        <v>0</v>
      </c>
      <c r="W42" s="125">
        <f t="shared" si="23"/>
        <v>0</v>
      </c>
      <c r="X42" s="188">
        <f>IF(V$26=0,0,V42/V$26)</f>
        <v>0</v>
      </c>
      <c r="Y42" s="909">
        <f>V42</f>
        <v>0</v>
      </c>
      <c r="Z42" s="125">
        <f t="shared" si="24"/>
        <v>0</v>
      </c>
      <c r="AA42" s="164">
        <f>IF(Y$26=0,0,Y42/Y$26)</f>
        <v>0</v>
      </c>
      <c r="AB42" s="209"/>
      <c r="AC42" s="214" t="s">
        <v>143</v>
      </c>
      <c r="AD42" s="215" t="s">
        <v>349</v>
      </c>
      <c r="AE42" s="216">
        <v>250</v>
      </c>
      <c r="AF42" s="217">
        <f>AE42*$AD$23</f>
        <v>0</v>
      </c>
      <c r="AG42" s="216">
        <v>250</v>
      </c>
      <c r="AH42" s="218">
        <f>AG42*$AD$23</f>
        <v>0</v>
      </c>
      <c r="AI42" s="219"/>
      <c r="AJ42" s="220"/>
      <c r="AK42" s="221">
        <f>AF42</f>
        <v>0</v>
      </c>
      <c r="AL42" s="222"/>
      <c r="AM42" s="129"/>
      <c r="AN42" s="62"/>
      <c r="AO42" s="127"/>
      <c r="AP42" s="127"/>
      <c r="AQ42" s="127"/>
      <c r="AR42" s="127"/>
      <c r="AS42" s="127"/>
      <c r="AT42" s="127"/>
      <c r="AU42" s="127"/>
      <c r="AV42" s="127"/>
      <c r="AW42" s="47"/>
      <c r="AX42" s="47"/>
      <c r="AY42" s="47"/>
      <c r="AZ42" s="47"/>
      <c r="BA42" s="47"/>
      <c r="BB42" s="47"/>
      <c r="BC42" s="47"/>
      <c r="BD42" s="47"/>
      <c r="BE42" s="47"/>
      <c r="BF42" s="47"/>
      <c r="BG42" s="47"/>
      <c r="BH42" s="47"/>
      <c r="BI42" s="47"/>
      <c r="BJ42" s="47"/>
    </row>
    <row r="43" spans="1:62" ht="17" thickBot="1" x14ac:dyDescent="0.25">
      <c r="A43" s="134"/>
      <c r="B43" s="210" t="s">
        <v>50</v>
      </c>
      <c r="C43" s="271"/>
      <c r="D43" s="932">
        <f>SUM(D29:D42)</f>
        <v>0</v>
      </c>
      <c r="E43" s="625">
        <f>SUM(E29:E42)</f>
        <v>0</v>
      </c>
      <c r="F43" s="921">
        <f>IF($D$26=0,0,D43/D26)</f>
        <v>0</v>
      </c>
      <c r="G43" s="944">
        <f>SUM(G29:G42)</f>
        <v>0</v>
      </c>
      <c r="H43" s="625">
        <f>SUM(H29:H42)</f>
        <v>0</v>
      </c>
      <c r="I43" s="921">
        <f>IF(G$26=0,0,G43/G26)</f>
        <v>0</v>
      </c>
      <c r="J43" s="944">
        <f>SUM(J29:J42)</f>
        <v>0</v>
      </c>
      <c r="K43" s="625">
        <f>SUM(K29:K42)</f>
        <v>0</v>
      </c>
      <c r="L43" s="921">
        <f>IF(J$26=0,0,J43/J26)</f>
        <v>0</v>
      </c>
      <c r="M43" s="944">
        <f>SUM(M29:M42)</f>
        <v>0</v>
      </c>
      <c r="N43" s="625">
        <f>SUM(N29:N42)</f>
        <v>0</v>
      </c>
      <c r="O43" s="626">
        <f>IF(M$26=0,0,M43/M26)</f>
        <v>0</v>
      </c>
      <c r="P43" s="211">
        <f>SUM(P29:P42)</f>
        <v>0</v>
      </c>
      <c r="Q43" s="211">
        <f>SUM(Q29:Q42)</f>
        <v>0</v>
      </c>
      <c r="R43" s="929">
        <f>IF(P$26=0,0,P43/P26)</f>
        <v>0</v>
      </c>
      <c r="S43" s="932">
        <f>SUM(S29:S42)</f>
        <v>0</v>
      </c>
      <c r="T43" s="211">
        <f>SUM(T29:T42)</f>
        <v>0</v>
      </c>
      <c r="U43" s="929">
        <f>IF(S$26=0,0,S43/S26)</f>
        <v>0</v>
      </c>
      <c r="V43" s="932">
        <f>SUM(V29:V42)</f>
        <v>0</v>
      </c>
      <c r="W43" s="211">
        <f>SUM(W29:W42)</f>
        <v>0</v>
      </c>
      <c r="X43" s="929">
        <f>IF(V$26=0,0,V43/V26)</f>
        <v>0</v>
      </c>
      <c r="Y43" s="932">
        <f>SUM(Y29:Y42)</f>
        <v>0</v>
      </c>
      <c r="Z43" s="211">
        <f>SUM(Z29:Z42)</f>
        <v>0</v>
      </c>
      <c r="AA43" s="212">
        <f>IF(Y$26=0,0,Y43/Y26)</f>
        <v>0</v>
      </c>
      <c r="AB43" s="213"/>
      <c r="AC43" s="125"/>
      <c r="AD43" s="129"/>
      <c r="AE43" s="129"/>
      <c r="AG43" s="129"/>
      <c r="AH43" s="129"/>
      <c r="AI43" s="129"/>
      <c r="AJ43" s="129"/>
      <c r="AK43" s="129"/>
      <c r="AL43" s="129"/>
      <c r="AM43" s="129"/>
      <c r="AN43" s="62"/>
      <c r="AO43" s="127"/>
      <c r="AP43" s="127"/>
      <c r="AQ43" s="127"/>
      <c r="AR43" s="127"/>
      <c r="AS43" s="127"/>
      <c r="AT43" s="127"/>
      <c r="AU43" s="127"/>
      <c r="AV43" s="127"/>
      <c r="AW43" s="47"/>
      <c r="AX43" s="47"/>
      <c r="AY43" s="47"/>
      <c r="AZ43" s="47"/>
      <c r="BA43" s="47"/>
      <c r="BB43" s="47"/>
      <c r="BC43" s="47"/>
      <c r="BD43" s="47"/>
      <c r="BE43" s="47"/>
      <c r="BF43" s="47"/>
      <c r="BG43" s="47"/>
      <c r="BH43" s="47"/>
      <c r="BI43" s="47"/>
      <c r="BJ43" s="47"/>
    </row>
    <row r="44" spans="1:62" ht="17" thickTop="1" x14ac:dyDescent="0.2">
      <c r="A44" s="134"/>
      <c r="B44" s="223"/>
      <c r="C44" s="176"/>
      <c r="D44" s="933"/>
      <c r="E44" s="117"/>
      <c r="F44" s="922"/>
      <c r="G44" s="933"/>
      <c r="H44" s="117"/>
      <c r="I44" s="922"/>
      <c r="J44" s="933"/>
      <c r="K44" s="117"/>
      <c r="L44" s="927"/>
      <c r="M44" s="933"/>
      <c r="N44" s="117"/>
      <c r="O44" s="224"/>
      <c r="P44" s="117"/>
      <c r="Q44" s="117"/>
      <c r="R44" s="927"/>
      <c r="S44" s="933"/>
      <c r="T44" s="117"/>
      <c r="U44" s="927"/>
      <c r="V44" s="933"/>
      <c r="W44" s="117"/>
      <c r="X44" s="927"/>
      <c r="Y44" s="933"/>
      <c r="Z44" s="117"/>
      <c r="AA44" s="789"/>
      <c r="AB44" s="213"/>
      <c r="AC44" s="128"/>
      <c r="AD44" s="54"/>
      <c r="AE44" s="225"/>
      <c r="AG44" s="129"/>
      <c r="AH44" s="129"/>
      <c r="AI44" s="129"/>
      <c r="AJ44" s="129"/>
      <c r="AK44" s="129"/>
      <c r="AL44" s="129"/>
      <c r="AM44" s="129"/>
      <c r="AN44" s="62"/>
      <c r="AO44" s="127"/>
      <c r="AP44" s="127"/>
      <c r="AQ44" s="127"/>
      <c r="AR44" s="127"/>
      <c r="AS44" s="127"/>
      <c r="AT44" s="127"/>
      <c r="AU44" s="127"/>
      <c r="AV44" s="127"/>
      <c r="AW44" s="47"/>
      <c r="AX44" s="47"/>
      <c r="AY44" s="47"/>
      <c r="AZ44" s="47"/>
      <c r="BA44" s="47"/>
      <c r="BB44" s="47"/>
      <c r="BC44" s="47"/>
      <c r="BD44" s="47"/>
      <c r="BE44" s="47"/>
      <c r="BF44" s="47"/>
      <c r="BG44" s="47"/>
      <c r="BH44" s="47"/>
      <c r="BI44" s="47"/>
      <c r="BJ44" s="47"/>
    </row>
    <row r="45" spans="1:62" x14ac:dyDescent="0.2">
      <c r="A45" s="134"/>
      <c r="B45" s="223" t="s">
        <v>128</v>
      </c>
      <c r="C45" s="176"/>
      <c r="D45" s="934">
        <v>0</v>
      </c>
      <c r="E45" s="125"/>
      <c r="F45" s="923">
        <f>IF(D45=0,0%,D45/D26)</f>
        <v>0</v>
      </c>
      <c r="G45" s="933">
        <f>IF(G43&gt;0,G43,I45*G26)</f>
        <v>0</v>
      </c>
      <c r="H45" s="125"/>
      <c r="I45" s="926">
        <f>IF(G43=0,50%,G45/G26)</f>
        <v>0.5</v>
      </c>
      <c r="J45" s="933">
        <f>IF(J43&gt;0,J43,L45*J26)</f>
        <v>0</v>
      </c>
      <c r="K45" s="125"/>
      <c r="L45" s="926">
        <f>IF(J43=0,50%,J45/J26)</f>
        <v>0.5</v>
      </c>
      <c r="M45" s="933">
        <f>IF(M43&gt;0,M43,O45*M26)</f>
        <v>0</v>
      </c>
      <c r="N45" s="125"/>
      <c r="O45" s="790">
        <f>IF(M43=0,50%,M45/M26)</f>
        <v>0.5</v>
      </c>
      <c r="P45" s="125">
        <f>IF(P43&gt;0,P43,R45*P26)</f>
        <v>0</v>
      </c>
      <c r="Q45" s="125"/>
      <c r="R45" s="926">
        <f>IF(P43=0,50%,P45/P26)</f>
        <v>0.5</v>
      </c>
      <c r="S45" s="911">
        <f>IF(S43&gt;0,S43,U45*S26)</f>
        <v>0</v>
      </c>
      <c r="T45" s="125"/>
      <c r="U45" s="926">
        <f>IF(S43=0,50%,S45/S26)</f>
        <v>0.5</v>
      </c>
      <c r="V45" s="911">
        <f>IF(V43&gt;0,V43,X45*V26)</f>
        <v>0</v>
      </c>
      <c r="W45" s="125"/>
      <c r="X45" s="926">
        <f>IF(V43=0,50%,V45/V26)</f>
        <v>0.5</v>
      </c>
      <c r="Y45" s="911">
        <f>IF(Y43&gt;0,Y43,AA45*Y26)</f>
        <v>0</v>
      </c>
      <c r="Z45" s="125"/>
      <c r="AA45" s="790">
        <f>IF(Y43=0,50%,Y45/Y26)</f>
        <v>0.5</v>
      </c>
      <c r="AB45" s="213"/>
      <c r="AC45" s="128"/>
      <c r="AD45" s="188"/>
      <c r="AE45" s="225"/>
      <c r="AG45" s="129"/>
      <c r="AH45" s="129"/>
      <c r="AI45" s="129"/>
      <c r="AJ45" s="129"/>
      <c r="AK45" s="129"/>
      <c r="AL45" s="129"/>
      <c r="AM45" s="129"/>
      <c r="AN45" s="127"/>
      <c r="AO45" s="127"/>
      <c r="AP45" s="127"/>
      <c r="AQ45" s="127"/>
      <c r="AR45" s="127"/>
      <c r="AS45" s="127"/>
      <c r="AT45" s="127"/>
      <c r="AU45" s="127"/>
      <c r="AV45" s="127"/>
      <c r="AW45" s="47"/>
      <c r="AX45" s="47"/>
      <c r="AY45" s="47"/>
      <c r="AZ45" s="47"/>
      <c r="BA45" s="47"/>
      <c r="BB45" s="47"/>
      <c r="BC45" s="47"/>
      <c r="BD45" s="47"/>
      <c r="BE45" s="47"/>
      <c r="BF45" s="47"/>
      <c r="BG45" s="47"/>
      <c r="BH45" s="47"/>
      <c r="BI45" s="47"/>
      <c r="BJ45" s="47"/>
    </row>
    <row r="46" spans="1:62" ht="43" thickBot="1" x14ac:dyDescent="0.25">
      <c r="A46" s="134"/>
      <c r="B46" s="243" t="s">
        <v>407</v>
      </c>
      <c r="C46" s="1040"/>
      <c r="D46" s="909"/>
      <c r="E46" s="137"/>
      <c r="F46" s="188"/>
      <c r="G46" s="911"/>
      <c r="H46" s="125"/>
      <c r="I46" s="927"/>
      <c r="J46" s="941"/>
      <c r="K46" s="226"/>
      <c r="L46" s="928"/>
      <c r="M46" s="941"/>
      <c r="N46" s="226"/>
      <c r="O46" s="227"/>
      <c r="P46" s="226"/>
      <c r="Q46" s="226"/>
      <c r="R46" s="928"/>
      <c r="S46" s="941"/>
      <c r="T46" s="226"/>
      <c r="U46" s="928"/>
      <c r="V46" s="941"/>
      <c r="W46" s="226"/>
      <c r="X46" s="928"/>
      <c r="Y46" s="941"/>
      <c r="Z46" s="226"/>
      <c r="AA46" s="227"/>
      <c r="AB46" s="213"/>
      <c r="AC46" s="128"/>
      <c r="AD46" s="156"/>
      <c r="AE46" s="157"/>
      <c r="AG46" s="129"/>
      <c r="AH46" s="129"/>
      <c r="AI46" s="129"/>
      <c r="AJ46" s="129"/>
      <c r="AK46" s="129"/>
      <c r="AL46" s="129"/>
      <c r="AM46" s="129"/>
      <c r="AN46" s="127"/>
      <c r="AO46" s="127"/>
      <c r="AP46" s="127"/>
      <c r="AQ46" s="127"/>
      <c r="AR46" s="127"/>
      <c r="AS46" s="127"/>
      <c r="AT46" s="127"/>
      <c r="AU46" s="127"/>
      <c r="AV46" s="127"/>
      <c r="AW46" s="47"/>
      <c r="AX46" s="47"/>
      <c r="AY46" s="47"/>
      <c r="AZ46" s="47"/>
      <c r="BA46" s="47"/>
      <c r="BB46" s="47"/>
      <c r="BC46" s="47"/>
      <c r="BD46" s="47"/>
      <c r="BE46" s="47"/>
      <c r="BF46" s="47"/>
      <c r="BG46" s="47"/>
      <c r="BH46" s="47"/>
      <c r="BI46" s="47"/>
      <c r="BJ46" s="47"/>
    </row>
    <row r="47" spans="1:62" ht="17" thickBot="1" x14ac:dyDescent="0.25">
      <c r="A47" s="134"/>
      <c r="B47" s="158" t="s">
        <v>55</v>
      </c>
      <c r="C47" s="1041"/>
      <c r="D47" s="935">
        <f>IF(D45&gt;0,D45,D43)</f>
        <v>0</v>
      </c>
      <c r="E47" s="130"/>
      <c r="F47" s="924">
        <f>IF(D26=0,0,D47/D26)</f>
        <v>0</v>
      </c>
      <c r="G47" s="935">
        <f>IF(G45&gt;0,G45,G43)</f>
        <v>0</v>
      </c>
      <c r="H47" s="130"/>
      <c r="I47" s="924">
        <f>IF(G26=0,0,G47/G26)</f>
        <v>0</v>
      </c>
      <c r="J47" s="935">
        <f>IF(J45&gt;0,J45,J43)</f>
        <v>0</v>
      </c>
      <c r="K47" s="130"/>
      <c r="L47" s="924">
        <f>IF(J26=0,0,J47/J26)</f>
        <v>0</v>
      </c>
      <c r="M47" s="935">
        <f>IF(M45&gt;0,M45,M43)</f>
        <v>0</v>
      </c>
      <c r="N47" s="130"/>
      <c r="O47" s="228">
        <f>IF(M26=0,0,M47/M26)</f>
        <v>0</v>
      </c>
      <c r="P47" s="130">
        <f>IF(P45&gt;0,P45,P43)</f>
        <v>0</v>
      </c>
      <c r="Q47" s="130"/>
      <c r="R47" s="924">
        <f>IF(P26=0,0,P47/P26)</f>
        <v>0</v>
      </c>
      <c r="S47" s="935">
        <f>IF(S45&gt;0,S45,S43)</f>
        <v>0</v>
      </c>
      <c r="T47" s="130"/>
      <c r="U47" s="924">
        <f>IF(S26=0,0,S47/S26)</f>
        <v>0</v>
      </c>
      <c r="V47" s="935">
        <f>IF(V45&gt;0,V45,V43)</f>
        <v>0</v>
      </c>
      <c r="W47" s="130"/>
      <c r="X47" s="924">
        <f>IF(V26=0,0,V47/V26)</f>
        <v>0</v>
      </c>
      <c r="Y47" s="935">
        <f>IF(Y45&gt;0,Y45,Y43)</f>
        <v>0</v>
      </c>
      <c r="Z47" s="130"/>
      <c r="AA47" s="228">
        <f>IF(Y26=0,0,Y47/Y26)</f>
        <v>0</v>
      </c>
      <c r="AB47" s="1171">
        <f>CHOOSE(Summary!$G$3,D47,G47,J47,M47,P47,S47,V47,Y47)</f>
        <v>0</v>
      </c>
      <c r="AC47" s="128"/>
      <c r="AD47" s="156"/>
      <c r="AE47" s="129"/>
      <c r="AG47" s="129"/>
      <c r="AH47" s="129"/>
      <c r="AI47" s="129"/>
      <c r="AJ47" s="129"/>
      <c r="AK47" s="129"/>
      <c r="AL47" s="129"/>
      <c r="AM47" s="129"/>
      <c r="AN47" s="127"/>
      <c r="AO47" s="127"/>
      <c r="AP47" s="127"/>
      <c r="AQ47" s="127"/>
      <c r="AR47" s="127"/>
      <c r="AS47" s="127"/>
      <c r="AT47" s="127"/>
      <c r="AU47" s="127"/>
      <c r="AV47" s="127"/>
      <c r="AW47" s="47"/>
      <c r="AX47" s="47"/>
      <c r="AY47" s="47"/>
      <c r="AZ47" s="47"/>
      <c r="BA47" s="47"/>
      <c r="BB47" s="47"/>
      <c r="BC47" s="47"/>
      <c r="BD47" s="47"/>
      <c r="BE47" s="47"/>
      <c r="BF47" s="47"/>
      <c r="BG47" s="47"/>
      <c r="BH47" s="47"/>
      <c r="BI47" s="47"/>
      <c r="BJ47" s="47"/>
    </row>
    <row r="48" spans="1:62" ht="17" thickBot="1" x14ac:dyDescent="0.25">
      <c r="A48" s="134"/>
      <c r="B48" s="229"/>
      <c r="C48" s="266"/>
      <c r="D48" s="936"/>
      <c r="E48" s="230"/>
      <c r="F48" s="230"/>
      <c r="G48" s="945"/>
      <c r="H48" s="157"/>
      <c r="I48" s="157"/>
      <c r="J48" s="946"/>
      <c r="K48" s="231"/>
      <c r="L48" s="231"/>
      <c r="M48" s="946"/>
      <c r="N48" s="231"/>
      <c r="O48" s="232"/>
      <c r="P48" s="231"/>
      <c r="Q48" s="231"/>
      <c r="R48" s="231"/>
      <c r="S48" s="946"/>
      <c r="T48" s="231"/>
      <c r="U48" s="231"/>
      <c r="V48" s="946"/>
      <c r="W48" s="231"/>
      <c r="X48" s="231"/>
      <c r="Y48" s="946"/>
      <c r="Z48" s="231"/>
      <c r="AA48" s="232"/>
      <c r="AB48" s="131"/>
      <c r="AC48" s="128"/>
      <c r="AD48" s="156"/>
      <c r="AE48" s="129"/>
      <c r="AG48" s="129"/>
      <c r="AH48" s="129"/>
      <c r="AI48" s="129"/>
      <c r="AJ48" s="129"/>
      <c r="AK48" s="129"/>
      <c r="AL48" s="129"/>
      <c r="AM48" s="129"/>
      <c r="AN48" s="127"/>
      <c r="AO48" s="127"/>
      <c r="AP48" s="127"/>
      <c r="AQ48" s="127"/>
      <c r="AR48" s="127"/>
      <c r="AS48" s="127"/>
      <c r="AT48" s="127"/>
      <c r="AU48" s="127"/>
      <c r="AV48" s="127"/>
      <c r="AW48" s="47"/>
      <c r="AX48" s="47"/>
      <c r="AY48" s="47"/>
      <c r="AZ48" s="47"/>
      <c r="BA48" s="47"/>
      <c r="BB48" s="47"/>
      <c r="BC48" s="47"/>
      <c r="BD48" s="47"/>
      <c r="BE48" s="47"/>
      <c r="BF48" s="47"/>
      <c r="BG48" s="47"/>
      <c r="BH48" s="47"/>
      <c r="BI48" s="47"/>
      <c r="BJ48" s="47"/>
    </row>
    <row r="49" spans="1:62" ht="17" thickBot="1" x14ac:dyDescent="0.25">
      <c r="A49" s="134"/>
      <c r="B49" s="158" t="s">
        <v>32</v>
      </c>
      <c r="C49" s="1041"/>
      <c r="D49" s="935">
        <f>D26-D47</f>
        <v>0</v>
      </c>
      <c r="E49" s="130"/>
      <c r="F49" s="130"/>
      <c r="G49" s="935">
        <f>G26-G47</f>
        <v>0</v>
      </c>
      <c r="H49" s="130"/>
      <c r="I49" s="130"/>
      <c r="J49" s="935">
        <f>J26-J47</f>
        <v>0</v>
      </c>
      <c r="K49" s="130"/>
      <c r="L49" s="130"/>
      <c r="M49" s="935">
        <f>M26-M47</f>
        <v>0</v>
      </c>
      <c r="N49" s="130"/>
      <c r="O49" s="185"/>
      <c r="P49" s="130">
        <f>P26-P47</f>
        <v>0</v>
      </c>
      <c r="Q49" s="130"/>
      <c r="R49" s="130"/>
      <c r="S49" s="935">
        <f>S26-S47</f>
        <v>0</v>
      </c>
      <c r="T49" s="130"/>
      <c r="U49" s="130"/>
      <c r="V49" s="935">
        <f>V26-V47</f>
        <v>0</v>
      </c>
      <c r="W49" s="130"/>
      <c r="X49" s="130"/>
      <c r="Y49" s="935">
        <f>Y26-Y47</f>
        <v>0</v>
      </c>
      <c r="Z49" s="130"/>
      <c r="AA49" s="185"/>
      <c r="AB49" s="131"/>
      <c r="AC49" s="233"/>
      <c r="AD49" s="157"/>
      <c r="AE49" s="157"/>
      <c r="AG49" s="129"/>
      <c r="AH49" s="129"/>
      <c r="AI49" s="129"/>
      <c r="AJ49" s="129"/>
      <c r="AK49" s="129"/>
      <c r="AL49" s="129"/>
      <c r="AM49" s="129"/>
      <c r="AN49" s="62"/>
    </row>
    <row r="50" spans="1:62" ht="17" thickBot="1" x14ac:dyDescent="0.25">
      <c r="A50" s="134"/>
      <c r="B50" s="223"/>
      <c r="C50" s="176"/>
      <c r="D50" s="117"/>
      <c r="E50" s="117"/>
      <c r="F50" s="947"/>
      <c r="G50" s="117"/>
      <c r="H50" s="117"/>
      <c r="I50" s="947"/>
      <c r="J50" s="117"/>
      <c r="K50" s="117"/>
      <c r="L50" s="947"/>
      <c r="M50" s="117"/>
      <c r="N50" s="117"/>
      <c r="O50" s="959"/>
      <c r="P50" s="117"/>
      <c r="Q50" s="117"/>
      <c r="R50" s="947"/>
      <c r="S50" s="117"/>
      <c r="T50" s="117"/>
      <c r="U50" s="947"/>
      <c r="V50" s="117"/>
      <c r="W50" s="117"/>
      <c r="X50" s="947"/>
      <c r="Y50" s="117"/>
      <c r="Z50" s="117"/>
      <c r="AA50" s="117"/>
      <c r="AB50" s="131"/>
      <c r="AC50" s="233"/>
      <c r="AD50" s="156"/>
      <c r="AE50" s="157"/>
      <c r="AG50" s="129"/>
      <c r="AH50" s="129"/>
      <c r="AI50" s="129"/>
      <c r="AJ50" s="129"/>
      <c r="AK50" s="129"/>
      <c r="AL50" s="129"/>
      <c r="AM50" s="129"/>
      <c r="AN50" s="127"/>
      <c r="AO50" s="127"/>
      <c r="AP50" s="127"/>
      <c r="AQ50" s="127"/>
      <c r="AR50" s="127"/>
      <c r="AS50" s="127"/>
      <c r="AT50" s="127"/>
      <c r="AU50" s="127"/>
      <c r="AV50" s="127"/>
    </row>
    <row r="51" spans="1:62" x14ac:dyDescent="0.2">
      <c r="A51" s="134"/>
      <c r="B51" s="536" t="s">
        <v>33</v>
      </c>
      <c r="C51" s="1042"/>
      <c r="D51" s="937"/>
      <c r="E51" s="535"/>
      <c r="F51" s="902"/>
      <c r="G51" s="937"/>
      <c r="H51" s="535"/>
      <c r="I51" s="902"/>
      <c r="J51" s="918"/>
      <c r="K51" s="635"/>
      <c r="L51" s="919"/>
      <c r="M51" s="918"/>
      <c r="N51" s="635"/>
      <c r="O51" s="631"/>
      <c r="P51" s="635"/>
      <c r="Q51" s="635"/>
      <c r="R51" s="919"/>
      <c r="S51" s="918"/>
      <c r="T51" s="635"/>
      <c r="U51" s="919"/>
      <c r="V51" s="918"/>
      <c r="W51" s="635"/>
      <c r="X51" s="919"/>
      <c r="Y51" s="918"/>
      <c r="Z51" s="635"/>
      <c r="AA51" s="631"/>
      <c r="AB51" s="126"/>
      <c r="AC51" s="233"/>
      <c r="AD51" s="156"/>
      <c r="AE51" s="157"/>
      <c r="AG51" s="129"/>
      <c r="AH51" s="129"/>
      <c r="AI51" s="129"/>
      <c r="AJ51" s="129"/>
      <c r="AK51" s="129"/>
      <c r="AL51" s="129"/>
      <c r="AM51" s="129"/>
      <c r="AN51" s="127"/>
      <c r="AO51" s="127"/>
      <c r="AP51" s="127"/>
      <c r="AQ51" s="127"/>
      <c r="AR51" s="127"/>
      <c r="AS51" s="127"/>
      <c r="AT51" s="127"/>
      <c r="AU51" s="127"/>
      <c r="AV51" s="127"/>
    </row>
    <row r="52" spans="1:62" ht="17" x14ac:dyDescent="0.2">
      <c r="A52" s="134"/>
      <c r="B52" s="538" t="s">
        <v>15</v>
      </c>
      <c r="C52" s="1043"/>
      <c r="D52" s="938">
        <f>IF(D12&gt;0,D53*D13,PMT(D53/12,D54*12,-D13)*12)</f>
        <v>0</v>
      </c>
      <c r="E52" s="539"/>
      <c r="F52" s="539"/>
      <c r="G52" s="938">
        <f>IF(G12&gt;0,G53*G13,PMT(G53/12,G54*12,-G13)*12)</f>
        <v>0</v>
      </c>
      <c r="H52" s="539"/>
      <c r="I52" s="539"/>
      <c r="J52" s="911">
        <f>IF(J12&gt;0,J53*J13,PMT(J53/12,J54*12,-J13)*12)</f>
        <v>0</v>
      </c>
      <c r="K52" s="125"/>
      <c r="L52" s="125"/>
      <c r="M52" s="911">
        <f>IF(M12&gt;0,M53*M13,PMT(M53/12,M54*12,-M13)*12)</f>
        <v>0</v>
      </c>
      <c r="N52" s="125"/>
      <c r="O52" s="147"/>
      <c r="P52" s="125">
        <f>IF(P12&gt;0,P53*P13,PMT(P53/12,P54*12,-P13)*12)</f>
        <v>0</v>
      </c>
      <c r="Q52" s="125"/>
      <c r="R52" s="125"/>
      <c r="S52" s="911">
        <f>IF(S12&gt;0,S53*S13,PMT(S53/12,S54*12,-S13)*12)</f>
        <v>0</v>
      </c>
      <c r="T52" s="125"/>
      <c r="U52" s="125"/>
      <c r="V52" s="911">
        <f>IF(V12&gt;0,V53*V13,PMT(V53/12,V54*12,-V13)*12)</f>
        <v>0</v>
      </c>
      <c r="W52" s="125"/>
      <c r="X52" s="125"/>
      <c r="Y52" s="911">
        <f>IF(Y12&gt;0,Y53*Y13,PMT(Y53/12,Y54*12,-Y13)*12)</f>
        <v>0</v>
      </c>
      <c r="Z52" s="125"/>
      <c r="AA52" s="147"/>
      <c r="AB52" s="126"/>
      <c r="AC52" s="233"/>
      <c r="AD52" s="156"/>
      <c r="AE52" s="157"/>
      <c r="AG52" s="129"/>
      <c r="AH52" s="129"/>
      <c r="AI52" s="129"/>
      <c r="AJ52" s="129"/>
      <c r="AK52" s="129"/>
      <c r="AL52" s="129"/>
      <c r="AM52" s="129"/>
      <c r="AN52" s="127"/>
      <c r="AO52" s="127"/>
      <c r="AP52" s="127"/>
      <c r="AQ52" s="127"/>
      <c r="AR52" s="127"/>
      <c r="AS52" s="127"/>
      <c r="AT52" s="127"/>
      <c r="AU52" s="127"/>
      <c r="AV52" s="127"/>
    </row>
    <row r="53" spans="1:62" ht="17" x14ac:dyDescent="0.2">
      <c r="A53" s="134"/>
      <c r="B53" s="88" t="s">
        <v>13</v>
      </c>
      <c r="C53" s="1044"/>
      <c r="D53" s="1178">
        <v>0.05</v>
      </c>
      <c r="E53" s="137"/>
      <c r="F53" s="125"/>
      <c r="G53" s="1178">
        <f>D53</f>
        <v>0.05</v>
      </c>
      <c r="H53" s="125"/>
      <c r="I53" s="125"/>
      <c r="J53" s="1178">
        <f>G53</f>
        <v>0.05</v>
      </c>
      <c r="K53" s="125"/>
      <c r="L53" s="125"/>
      <c r="M53" s="1178">
        <f>J53</f>
        <v>0.05</v>
      </c>
      <c r="N53" s="125"/>
      <c r="O53" s="147"/>
      <c r="P53" s="208">
        <f>M53</f>
        <v>0.05</v>
      </c>
      <c r="Q53" s="125"/>
      <c r="R53" s="125"/>
      <c r="S53" s="1178">
        <f>P53</f>
        <v>0.05</v>
      </c>
      <c r="T53" s="125"/>
      <c r="U53" s="125"/>
      <c r="V53" s="1178">
        <f>S53</f>
        <v>0.05</v>
      </c>
      <c r="W53" s="125"/>
      <c r="X53" s="125"/>
      <c r="Y53" s="1178">
        <f>V53</f>
        <v>0.05</v>
      </c>
      <c r="Z53" s="125"/>
      <c r="AA53" s="147"/>
      <c r="AB53" s="126"/>
      <c r="AC53" s="233"/>
      <c r="AD53" s="157"/>
      <c r="AE53" s="157"/>
      <c r="AG53" s="129"/>
      <c r="AH53" s="129"/>
      <c r="AI53" s="129"/>
      <c r="AJ53" s="129"/>
      <c r="AK53" s="129"/>
      <c r="AL53" s="129"/>
      <c r="AM53" s="129"/>
      <c r="AN53" s="127"/>
      <c r="AO53" s="127"/>
      <c r="AP53" s="127"/>
      <c r="AQ53" s="127"/>
      <c r="AR53" s="127"/>
      <c r="AS53" s="127"/>
      <c r="AT53" s="127"/>
      <c r="AU53" s="127"/>
      <c r="AV53" s="127"/>
    </row>
    <row r="54" spans="1:62" ht="17" x14ac:dyDescent="0.2">
      <c r="A54" s="134"/>
      <c r="B54" s="88" t="s">
        <v>381</v>
      </c>
      <c r="C54" s="1044"/>
      <c r="D54" s="939">
        <v>30</v>
      </c>
      <c r="E54" s="137"/>
      <c r="F54" s="125"/>
      <c r="G54" s="939">
        <f>D54</f>
        <v>30</v>
      </c>
      <c r="H54" s="125"/>
      <c r="I54" s="125"/>
      <c r="J54" s="939">
        <f>G54</f>
        <v>30</v>
      </c>
      <c r="K54" s="125"/>
      <c r="L54" s="125"/>
      <c r="M54" s="939">
        <f>J54</f>
        <v>30</v>
      </c>
      <c r="N54" s="125"/>
      <c r="O54" s="147"/>
      <c r="P54" s="958">
        <f>M54</f>
        <v>30</v>
      </c>
      <c r="Q54" s="125"/>
      <c r="R54" s="125"/>
      <c r="S54" s="939">
        <f>P54</f>
        <v>30</v>
      </c>
      <c r="T54" s="125"/>
      <c r="U54" s="125"/>
      <c r="V54" s="939">
        <f>S54</f>
        <v>30</v>
      </c>
      <c r="W54" s="125"/>
      <c r="X54" s="125"/>
      <c r="Y54" s="939">
        <f>V54</f>
        <v>30</v>
      </c>
      <c r="Z54" s="125"/>
      <c r="AA54" s="147"/>
      <c r="AB54" s="126"/>
      <c r="AC54" s="128"/>
      <c r="AD54" s="125"/>
      <c r="AE54" s="125"/>
      <c r="AG54" s="129"/>
      <c r="AH54" s="129"/>
      <c r="AI54" s="129"/>
      <c r="AJ54" s="129"/>
      <c r="AK54" s="129"/>
      <c r="AL54" s="129"/>
      <c r="AM54" s="129"/>
      <c r="AN54" s="127"/>
      <c r="AO54" s="127"/>
      <c r="AP54" s="127"/>
      <c r="AQ54" s="127"/>
      <c r="AR54" s="127"/>
      <c r="AS54" s="127"/>
      <c r="AT54" s="127"/>
      <c r="AU54" s="127"/>
      <c r="AV54" s="127"/>
    </row>
    <row r="55" spans="1:62" x14ac:dyDescent="0.2">
      <c r="A55" s="134"/>
      <c r="B55" s="187" t="s">
        <v>70</v>
      </c>
      <c r="C55" s="129"/>
      <c r="D55" s="911">
        <f>D49-D52</f>
        <v>0</v>
      </c>
      <c r="E55" s="125"/>
      <c r="F55" s="125"/>
      <c r="G55" s="911">
        <f>G49-G52</f>
        <v>0</v>
      </c>
      <c r="H55" s="125"/>
      <c r="I55" s="125"/>
      <c r="J55" s="911">
        <f>J49-J52</f>
        <v>0</v>
      </c>
      <c r="K55" s="125"/>
      <c r="L55" s="125"/>
      <c r="M55" s="911">
        <f>M49-M52</f>
        <v>0</v>
      </c>
      <c r="N55" s="125"/>
      <c r="O55" s="147"/>
      <c r="P55" s="125">
        <f>P49-P52</f>
        <v>0</v>
      </c>
      <c r="Q55" s="125"/>
      <c r="R55" s="125"/>
      <c r="S55" s="911">
        <f>S49-S52</f>
        <v>0</v>
      </c>
      <c r="T55" s="125"/>
      <c r="U55" s="125"/>
      <c r="V55" s="911">
        <f>V49-V52</f>
        <v>0</v>
      </c>
      <c r="W55" s="125"/>
      <c r="X55" s="125"/>
      <c r="Y55" s="911">
        <f>Y49-Y52</f>
        <v>0</v>
      </c>
      <c r="Z55" s="125"/>
      <c r="AA55" s="147"/>
      <c r="AB55" s="186"/>
      <c r="AC55" s="128"/>
      <c r="AD55" s="125"/>
      <c r="AE55" s="125"/>
      <c r="AG55" s="129"/>
      <c r="AH55" s="129"/>
      <c r="AI55" s="129"/>
      <c r="AJ55" s="129"/>
      <c r="AK55" s="129"/>
      <c r="AL55" s="129"/>
      <c r="AM55" s="129"/>
      <c r="AN55" s="127"/>
      <c r="AO55" s="127"/>
      <c r="AP55" s="127"/>
      <c r="AQ55" s="127"/>
      <c r="AR55" s="127"/>
      <c r="AS55" s="127"/>
      <c r="AT55" s="127"/>
      <c r="AU55" s="127"/>
      <c r="AV55" s="127"/>
    </row>
    <row r="56" spans="1:62" x14ac:dyDescent="0.2">
      <c r="A56" s="134"/>
      <c r="B56" s="187" t="s">
        <v>34</v>
      </c>
      <c r="C56" s="129"/>
      <c r="D56" s="1148">
        <f>IF(D7=0,0,D49/D7)</f>
        <v>0</v>
      </c>
      <c r="E56" s="125"/>
      <c r="F56" s="188"/>
      <c r="G56" s="1148">
        <f>IF(G7=0,0,G49/G7)</f>
        <v>0</v>
      </c>
      <c r="H56" s="125"/>
      <c r="I56" s="188"/>
      <c r="J56" s="1148">
        <f>IF(J7=0,0,J49/J7)</f>
        <v>0</v>
      </c>
      <c r="K56" s="125"/>
      <c r="L56" s="188"/>
      <c r="M56" s="1148">
        <f>IF(M7=0,0,M49/M7)</f>
        <v>0</v>
      </c>
      <c r="N56" s="125"/>
      <c r="O56" s="164"/>
      <c r="P56" s="1149">
        <f>IF(P7=0,0,P49/P7)</f>
        <v>0</v>
      </c>
      <c r="Q56" s="125"/>
      <c r="R56" s="188"/>
      <c r="S56" s="1148">
        <f>IF(S7=0,0,S49/S7)</f>
        <v>0</v>
      </c>
      <c r="T56" s="125"/>
      <c r="U56" s="188"/>
      <c r="V56" s="1148">
        <f>IF(V7=0,0,V49/V7)</f>
        <v>0</v>
      </c>
      <c r="W56" s="125"/>
      <c r="X56" s="188"/>
      <c r="Y56" s="1148">
        <f>IF(Y7=0,0,Y49/Y7)</f>
        <v>0</v>
      </c>
      <c r="Z56" s="125"/>
      <c r="AA56" s="164"/>
      <c r="AB56" s="159"/>
      <c r="AC56" s="128"/>
      <c r="AD56" s="125"/>
      <c r="AE56" s="125"/>
      <c r="AF56" s="129"/>
      <c r="AG56" s="129"/>
      <c r="AH56" s="129"/>
      <c r="AI56" s="129"/>
      <c r="AJ56" s="129"/>
      <c r="AK56" s="129"/>
      <c r="AL56" s="129"/>
      <c r="AM56" s="129"/>
      <c r="AN56" s="127"/>
      <c r="AO56" s="127"/>
      <c r="AP56" s="127"/>
      <c r="AQ56" s="127"/>
      <c r="AR56" s="127"/>
      <c r="AS56" s="127"/>
      <c r="AT56" s="127"/>
      <c r="AU56" s="127"/>
      <c r="AV56" s="127"/>
    </row>
    <row r="57" spans="1:62" ht="18" thickBot="1" x14ac:dyDescent="0.25">
      <c r="A57" s="134"/>
      <c r="B57" s="234" t="s">
        <v>80</v>
      </c>
      <c r="C57" s="1045"/>
      <c r="D57" s="940">
        <f>IF(D52=0,0,D49/D52)</f>
        <v>0</v>
      </c>
      <c r="E57" s="226"/>
      <c r="F57" s="925"/>
      <c r="G57" s="940">
        <f>IF(G52=0,0,G49/G52)</f>
        <v>0</v>
      </c>
      <c r="H57" s="226"/>
      <c r="I57" s="925"/>
      <c r="J57" s="940">
        <f>IF(J52=0,0,J49/J52)</f>
        <v>0</v>
      </c>
      <c r="K57" s="226"/>
      <c r="L57" s="925"/>
      <c r="M57" s="940">
        <f>IF(M52=0,0,M49/M52)</f>
        <v>0</v>
      </c>
      <c r="N57" s="226"/>
      <c r="O57" s="235"/>
      <c r="P57" s="925">
        <f>IF(P52=0,0,P49/P52)</f>
        <v>0</v>
      </c>
      <c r="Q57" s="226"/>
      <c r="R57" s="925"/>
      <c r="S57" s="940">
        <f>IF(S52=0,0,S49/S52)</f>
        <v>0</v>
      </c>
      <c r="T57" s="226"/>
      <c r="U57" s="925"/>
      <c r="V57" s="940">
        <f>IF(V52=0,0,V49/V52)</f>
        <v>0</v>
      </c>
      <c r="W57" s="226"/>
      <c r="X57" s="925"/>
      <c r="Y57" s="940">
        <f>IF(Y52=0,0,Y49/Y52)</f>
        <v>0</v>
      </c>
      <c r="Z57" s="226"/>
      <c r="AA57" s="235"/>
      <c r="AB57" s="126"/>
      <c r="AC57" s="233"/>
      <c r="AD57" s="157"/>
      <c r="AE57" s="157"/>
      <c r="AF57" s="129"/>
      <c r="AG57" s="129"/>
      <c r="AH57" s="129"/>
      <c r="AI57" s="129"/>
      <c r="AJ57" s="129"/>
      <c r="AK57" s="129"/>
      <c r="AL57" s="129"/>
      <c r="AM57" s="129"/>
      <c r="AN57" s="127"/>
      <c r="AO57" s="127"/>
      <c r="AP57" s="127"/>
      <c r="AQ57" s="127"/>
      <c r="AR57" s="127"/>
      <c r="AS57" s="127"/>
      <c r="AT57" s="127"/>
      <c r="AU57" s="127"/>
      <c r="AV57" s="127"/>
    </row>
    <row r="58" spans="1:62" ht="17" thickBot="1" x14ac:dyDescent="0.25">
      <c r="A58" s="134"/>
      <c r="B58" s="187"/>
      <c r="C58" s="129"/>
      <c r="D58" s="125"/>
      <c r="E58" s="125"/>
      <c r="F58" s="948"/>
      <c r="G58" s="125"/>
      <c r="H58" s="125"/>
      <c r="I58" s="948"/>
      <c r="J58" s="125"/>
      <c r="K58" s="125"/>
      <c r="L58" s="948"/>
      <c r="M58" s="125"/>
      <c r="N58" s="125"/>
      <c r="O58" s="960"/>
      <c r="P58" s="125"/>
      <c r="Q58" s="125"/>
      <c r="R58" s="948"/>
      <c r="S58" s="125"/>
      <c r="T58" s="125"/>
      <c r="U58" s="948"/>
      <c r="V58" s="125"/>
      <c r="W58" s="125"/>
      <c r="X58" s="948"/>
      <c r="Y58" s="125"/>
      <c r="Z58" s="125"/>
      <c r="AA58" s="125"/>
      <c r="AB58" s="131"/>
      <c r="AC58" s="128"/>
      <c r="AD58" s="125"/>
      <c r="AE58" s="125"/>
      <c r="AF58" s="129"/>
      <c r="AG58" s="129"/>
      <c r="AH58" s="129"/>
      <c r="AI58" s="129"/>
      <c r="AJ58" s="129"/>
      <c r="AK58" s="129"/>
      <c r="AL58" s="129"/>
      <c r="AM58" s="129"/>
      <c r="AN58" s="127"/>
      <c r="AO58" s="127"/>
      <c r="AP58" s="127"/>
      <c r="AQ58" s="127"/>
      <c r="AR58" s="127"/>
      <c r="AS58" s="127"/>
      <c r="AT58" s="127"/>
      <c r="AU58" s="127"/>
      <c r="AV58" s="127"/>
    </row>
    <row r="59" spans="1:62" x14ac:dyDescent="0.2">
      <c r="A59" s="129"/>
      <c r="B59" s="536" t="s">
        <v>467</v>
      </c>
      <c r="C59" s="1042"/>
      <c r="D59" s="937"/>
      <c r="E59" s="535"/>
      <c r="F59" s="902"/>
      <c r="G59" s="937"/>
      <c r="H59" s="535"/>
      <c r="I59" s="902"/>
      <c r="J59" s="918"/>
      <c r="K59" s="635"/>
      <c r="L59" s="919"/>
      <c r="M59" s="918"/>
      <c r="N59" s="635"/>
      <c r="O59" s="631"/>
      <c r="P59" s="635"/>
      <c r="Q59" s="635"/>
      <c r="R59" s="919"/>
      <c r="S59" s="918"/>
      <c r="T59" s="635"/>
      <c r="U59" s="919"/>
      <c r="V59" s="918"/>
      <c r="W59" s="635"/>
      <c r="X59" s="919"/>
      <c r="Y59" s="918"/>
      <c r="Z59" s="635"/>
      <c r="AA59" s="631"/>
      <c r="AB59" s="126"/>
      <c r="AC59" s="128"/>
      <c r="AD59" s="125"/>
      <c r="AE59" s="125"/>
      <c r="AF59" s="129"/>
      <c r="AG59" s="129"/>
      <c r="AH59" s="129"/>
      <c r="AI59" s="129"/>
      <c r="AJ59" s="129"/>
      <c r="AK59" s="129"/>
      <c r="AL59" s="129"/>
      <c r="AM59" s="129"/>
      <c r="AN59" s="127"/>
      <c r="AO59" s="127"/>
      <c r="AP59" s="127"/>
      <c r="AQ59" s="127"/>
      <c r="AR59" s="127"/>
      <c r="AS59" s="127"/>
      <c r="AT59" s="127"/>
      <c r="AU59" s="127"/>
      <c r="AV59" s="127"/>
    </row>
    <row r="60" spans="1:62" x14ac:dyDescent="0.2">
      <c r="A60" s="129"/>
      <c r="B60" s="537" t="s">
        <v>358</v>
      </c>
      <c r="C60" s="1046"/>
      <c r="D60" s="1150">
        <v>7.0000000000000007E-2</v>
      </c>
      <c r="E60" s="539"/>
      <c r="F60" s="539"/>
      <c r="G60" s="1150">
        <v>7.0000000000000007E-2</v>
      </c>
      <c r="H60" s="539"/>
      <c r="I60" s="539"/>
      <c r="J60" s="1151">
        <f>G60</f>
        <v>7.0000000000000007E-2</v>
      </c>
      <c r="K60" s="125"/>
      <c r="L60" s="125"/>
      <c r="M60" s="1151">
        <f>J60</f>
        <v>7.0000000000000007E-2</v>
      </c>
      <c r="N60" s="125"/>
      <c r="O60" s="147"/>
      <c r="P60" s="1152">
        <f>M60</f>
        <v>7.0000000000000007E-2</v>
      </c>
      <c r="Q60" s="125"/>
      <c r="R60" s="125"/>
      <c r="S60" s="1151">
        <f>P60</f>
        <v>7.0000000000000007E-2</v>
      </c>
      <c r="T60" s="125"/>
      <c r="U60" s="125"/>
      <c r="V60" s="1151">
        <f>S60</f>
        <v>7.0000000000000007E-2</v>
      </c>
      <c r="W60" s="125"/>
      <c r="X60" s="125"/>
      <c r="Y60" s="1151">
        <f>V60</f>
        <v>7.0000000000000007E-2</v>
      </c>
      <c r="Z60" s="125"/>
      <c r="AA60" s="147"/>
      <c r="AB60" s="126"/>
      <c r="AC60" s="128"/>
      <c r="AD60" s="125"/>
      <c r="AE60" s="125"/>
      <c r="AF60" s="129"/>
      <c r="AG60" s="129"/>
      <c r="AH60" s="129"/>
      <c r="AI60" s="129"/>
      <c r="AJ60" s="129"/>
      <c r="AK60" s="129"/>
      <c r="AL60" s="129"/>
      <c r="AM60" s="129"/>
      <c r="AN60" s="127"/>
      <c r="AO60" s="127"/>
      <c r="AP60" s="127"/>
      <c r="AQ60" s="127"/>
      <c r="AR60" s="127"/>
      <c r="AS60" s="127"/>
      <c r="AT60" s="127"/>
      <c r="AU60" s="127"/>
      <c r="AV60" s="127"/>
    </row>
    <row r="61" spans="1:62" ht="17" thickBot="1" x14ac:dyDescent="0.25">
      <c r="A61" s="129"/>
      <c r="B61" s="237" t="s">
        <v>468</v>
      </c>
      <c r="C61" s="1047"/>
      <c r="D61" s="941">
        <f>D49/D60</f>
        <v>0</v>
      </c>
      <c r="E61" s="226"/>
      <c r="F61" s="226"/>
      <c r="G61" s="941">
        <f>G49/G60</f>
        <v>0</v>
      </c>
      <c r="H61" s="226"/>
      <c r="I61" s="226"/>
      <c r="J61" s="941">
        <f>J49/J60</f>
        <v>0</v>
      </c>
      <c r="K61" s="226"/>
      <c r="L61" s="226"/>
      <c r="M61" s="941">
        <f>M49/M60</f>
        <v>0</v>
      </c>
      <c r="N61" s="226"/>
      <c r="O61" s="155"/>
      <c r="P61" s="226">
        <f>P49/P60</f>
        <v>0</v>
      </c>
      <c r="Q61" s="226"/>
      <c r="R61" s="226"/>
      <c r="S61" s="941">
        <f>S49/S60</f>
        <v>0</v>
      </c>
      <c r="T61" s="226"/>
      <c r="U61" s="226"/>
      <c r="V61" s="941">
        <f>V49/V60</f>
        <v>0</v>
      </c>
      <c r="W61" s="226"/>
      <c r="X61" s="226"/>
      <c r="Y61" s="941">
        <f>Y49/Y60</f>
        <v>0</v>
      </c>
      <c r="Z61" s="226"/>
      <c r="AA61" s="155"/>
      <c r="AB61" s="126"/>
      <c r="AC61" s="128"/>
      <c r="AD61" s="125"/>
      <c r="AE61" s="125"/>
      <c r="AF61" s="129"/>
      <c r="AG61" s="129"/>
      <c r="AH61" s="129"/>
      <c r="AI61" s="129"/>
      <c r="AJ61" s="129"/>
      <c r="AK61" s="129"/>
      <c r="AL61" s="129"/>
      <c r="AM61" s="129"/>
      <c r="AN61" s="127"/>
      <c r="AO61" s="127"/>
      <c r="AP61" s="127"/>
      <c r="AQ61" s="127"/>
      <c r="AR61" s="127"/>
      <c r="AS61" s="127"/>
      <c r="AT61" s="127"/>
      <c r="AU61" s="127"/>
      <c r="AV61" s="127"/>
    </row>
    <row r="62" spans="1:62" x14ac:dyDescent="0.2">
      <c r="A62" s="129"/>
      <c r="B62" s="129"/>
      <c r="C62" s="129"/>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6"/>
      <c r="AC62" s="128"/>
      <c r="AD62" s="125"/>
      <c r="AE62" s="125"/>
      <c r="AF62" s="129"/>
      <c r="AG62" s="129"/>
      <c r="AH62" s="129"/>
      <c r="AI62" s="129"/>
      <c r="AJ62" s="129"/>
      <c r="AK62" s="129"/>
      <c r="AL62" s="129"/>
      <c r="AM62" s="129"/>
      <c r="AN62" s="127"/>
      <c r="AO62" s="127"/>
      <c r="AP62" s="127"/>
      <c r="AQ62" s="127"/>
      <c r="AR62" s="127"/>
      <c r="AS62" s="127"/>
      <c r="AT62" s="127"/>
      <c r="AU62" s="127"/>
      <c r="AV62" s="127"/>
    </row>
    <row r="63" spans="1:62" x14ac:dyDescent="0.2">
      <c r="A63" s="129"/>
      <c r="B63" s="238" t="str">
        <f ca="1">copyright</f>
        <v>Copyright © 2026 Michael Blank.</v>
      </c>
      <c r="C63" s="238"/>
      <c r="D63" s="52"/>
      <c r="E63" s="623"/>
      <c r="F63" s="52"/>
      <c r="G63" s="125"/>
      <c r="H63" s="125"/>
      <c r="I63" s="125"/>
      <c r="J63" s="125"/>
      <c r="K63" s="125"/>
      <c r="L63" s="125"/>
      <c r="M63" s="125"/>
      <c r="N63" s="125"/>
      <c r="O63" s="125"/>
      <c r="P63" s="125"/>
      <c r="Q63" s="125"/>
      <c r="R63" s="125"/>
      <c r="S63" s="125"/>
      <c r="T63" s="125"/>
      <c r="U63" s="125"/>
      <c r="V63" s="125"/>
      <c r="W63" s="125"/>
      <c r="X63" s="125"/>
      <c r="Y63" s="125"/>
      <c r="Z63" s="125"/>
      <c r="AA63" s="125"/>
      <c r="AB63" s="126"/>
      <c r="AC63" s="128"/>
      <c r="AD63" s="125"/>
      <c r="AE63" s="125"/>
      <c r="AF63" s="129"/>
      <c r="AG63" s="129"/>
      <c r="AH63" s="129"/>
      <c r="AI63" s="129"/>
      <c r="AJ63" s="129"/>
      <c r="AK63" s="129"/>
      <c r="AL63" s="129"/>
      <c r="AM63" s="129"/>
      <c r="AN63" s="127"/>
      <c r="AO63" s="127"/>
      <c r="AP63" s="127"/>
      <c r="AQ63" s="127"/>
      <c r="AR63" s="127"/>
      <c r="AS63" s="127"/>
      <c r="AT63" s="127"/>
      <c r="AU63" s="127"/>
      <c r="AV63" s="127"/>
      <c r="AW63" s="47"/>
      <c r="AX63" s="47"/>
      <c r="AY63" s="47"/>
      <c r="AZ63" s="47"/>
      <c r="BA63" s="47"/>
      <c r="BB63" s="47"/>
      <c r="BC63" s="47"/>
      <c r="BD63" s="47"/>
      <c r="BE63" s="47"/>
      <c r="BF63" s="47"/>
      <c r="BG63" s="47"/>
      <c r="BH63" s="47"/>
      <c r="BI63" s="47"/>
      <c r="BJ63" s="47"/>
    </row>
    <row r="64" spans="1:62" x14ac:dyDescent="0.2">
      <c r="A64" s="129"/>
      <c r="B64" s="52" t="s">
        <v>124</v>
      </c>
      <c r="C64" s="52"/>
      <c r="D64" s="129"/>
      <c r="E64" s="622"/>
      <c r="F64" s="129"/>
      <c r="G64" s="129"/>
      <c r="H64" s="622"/>
      <c r="I64" s="125"/>
      <c r="J64" s="125"/>
      <c r="K64" s="125"/>
      <c r="L64" s="125"/>
      <c r="M64" s="125"/>
      <c r="N64" s="125"/>
      <c r="O64" s="125"/>
      <c r="P64" s="125"/>
      <c r="Q64" s="125"/>
      <c r="R64" s="125"/>
      <c r="S64" s="125"/>
      <c r="T64" s="125"/>
      <c r="U64" s="125"/>
      <c r="V64" s="125"/>
      <c r="W64" s="125"/>
      <c r="X64" s="125"/>
      <c r="Y64" s="125"/>
      <c r="Z64" s="125"/>
      <c r="AA64" s="125"/>
      <c r="AB64" s="126"/>
      <c r="AC64" s="128"/>
      <c r="AD64" s="125"/>
      <c r="AE64" s="125"/>
      <c r="AF64" s="129"/>
      <c r="AG64" s="129"/>
      <c r="AH64" s="129"/>
      <c r="AI64" s="129"/>
      <c r="AJ64" s="129"/>
      <c r="AK64" s="129"/>
      <c r="AL64" s="129"/>
      <c r="AM64" s="129"/>
      <c r="AN64" s="127"/>
      <c r="AO64" s="127"/>
      <c r="AP64" s="127"/>
      <c r="AQ64" s="127"/>
      <c r="AR64" s="127"/>
      <c r="AS64" s="127"/>
      <c r="AT64" s="127"/>
      <c r="AU64" s="127"/>
      <c r="AV64" s="127"/>
      <c r="AW64" s="47"/>
      <c r="AX64" s="47"/>
      <c r="AY64" s="47"/>
      <c r="AZ64" s="47"/>
      <c r="BA64" s="47"/>
      <c r="BB64" s="47"/>
      <c r="BC64" s="47"/>
      <c r="BD64" s="47"/>
      <c r="BE64" s="47"/>
      <c r="BF64" s="47"/>
      <c r="BG64" s="47"/>
      <c r="BH64" s="47"/>
      <c r="BI64" s="47"/>
      <c r="BJ64" s="47"/>
    </row>
    <row r="65" spans="1:62" x14ac:dyDescent="0.2">
      <c r="A65" s="129"/>
      <c r="B65" s="54"/>
      <c r="C65" s="54"/>
      <c r="D65" s="129"/>
      <c r="E65" s="622"/>
      <c r="F65" s="129"/>
      <c r="G65" s="129"/>
      <c r="H65" s="622"/>
      <c r="I65" s="54"/>
      <c r="J65" s="125"/>
      <c r="K65" s="125"/>
      <c r="L65" s="125"/>
      <c r="M65" s="125"/>
      <c r="N65" s="125"/>
      <c r="O65" s="125"/>
      <c r="P65" s="125"/>
      <c r="Q65" s="125"/>
      <c r="R65" s="125"/>
      <c r="S65" s="125"/>
      <c r="T65" s="125"/>
      <c r="U65" s="125"/>
      <c r="V65" s="125"/>
      <c r="W65" s="125"/>
      <c r="X65" s="125"/>
      <c r="Y65" s="125"/>
      <c r="Z65" s="125"/>
      <c r="AA65" s="125"/>
      <c r="AB65" s="126"/>
      <c r="AC65" s="128"/>
      <c r="AD65" s="125"/>
      <c r="AE65" s="125"/>
      <c r="AF65" s="129"/>
      <c r="AG65" s="129"/>
      <c r="AH65" s="129"/>
      <c r="AI65" s="129"/>
      <c r="AJ65" s="129"/>
      <c r="AK65" s="129"/>
      <c r="AL65" s="129"/>
      <c r="AM65" s="129"/>
      <c r="AN65" s="127"/>
      <c r="AO65" s="127"/>
      <c r="AP65" s="127"/>
      <c r="AQ65" s="127"/>
      <c r="AR65" s="127"/>
      <c r="AS65" s="127"/>
      <c r="AT65" s="127"/>
      <c r="AU65" s="127"/>
      <c r="AV65" s="127"/>
      <c r="AW65" s="47"/>
      <c r="AX65" s="47"/>
      <c r="AY65" s="47"/>
      <c r="AZ65" s="47"/>
      <c r="BA65" s="47"/>
      <c r="BB65" s="47"/>
      <c r="BC65" s="47"/>
      <c r="BD65" s="47"/>
      <c r="BE65" s="47"/>
      <c r="BF65" s="47"/>
      <c r="BG65" s="47"/>
      <c r="BH65" s="47"/>
      <c r="BI65" s="47"/>
      <c r="BJ65" s="47"/>
    </row>
    <row r="66" spans="1:62" x14ac:dyDescent="0.2">
      <c r="A66" s="129"/>
      <c r="B66" s="54"/>
      <c r="C66" s="54"/>
      <c r="D66" s="129"/>
      <c r="E66" s="622"/>
      <c r="F66" s="52"/>
      <c r="G66" s="52"/>
      <c r="H66" s="623"/>
      <c r="I66" s="54"/>
      <c r="J66" s="125"/>
      <c r="K66" s="125"/>
      <c r="L66" s="125"/>
      <c r="M66" s="125"/>
      <c r="N66" s="125"/>
      <c r="O66" s="125"/>
      <c r="P66" s="125"/>
      <c r="Q66" s="125"/>
      <c r="R66" s="125"/>
      <c r="S66" s="125"/>
      <c r="T66" s="125"/>
      <c r="U66" s="125"/>
      <c r="V66" s="125"/>
      <c r="W66" s="125"/>
      <c r="X66" s="125"/>
      <c r="Y66" s="125"/>
      <c r="Z66" s="125"/>
      <c r="AA66" s="125"/>
      <c r="AB66" s="77"/>
      <c r="AC66" s="128"/>
      <c r="AD66" s="125"/>
      <c r="AE66" s="125"/>
      <c r="AF66" s="129"/>
      <c r="AG66" s="129"/>
      <c r="AH66" s="129"/>
      <c r="AI66" s="129"/>
      <c r="AJ66" s="129"/>
      <c r="AK66" s="129"/>
      <c r="AL66" s="129"/>
      <c r="AM66" s="129"/>
      <c r="AN66" s="127"/>
      <c r="AO66" s="127"/>
      <c r="AP66" s="127"/>
      <c r="AQ66" s="127"/>
      <c r="AR66" s="127"/>
      <c r="AS66" s="127"/>
      <c r="AT66" s="127"/>
      <c r="AU66" s="127"/>
      <c r="AV66" s="127"/>
      <c r="AW66" s="47"/>
      <c r="AX66" s="47"/>
      <c r="AY66" s="47"/>
      <c r="AZ66" s="47"/>
      <c r="BA66" s="47"/>
      <c r="BB66" s="47"/>
      <c r="BC66" s="47"/>
      <c r="BD66" s="47"/>
      <c r="BE66" s="47"/>
      <c r="BF66" s="47"/>
      <c r="BG66" s="47"/>
      <c r="BH66" s="47"/>
      <c r="BI66" s="47"/>
      <c r="BJ66" s="47"/>
    </row>
    <row r="67" spans="1:62" x14ac:dyDescent="0.2">
      <c r="A67" s="129"/>
      <c r="B67" s="129"/>
      <c r="C67" s="129"/>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77"/>
      <c r="AC67" s="128"/>
      <c r="AD67" s="125"/>
      <c r="AE67" s="125"/>
      <c r="AF67" s="129"/>
      <c r="AG67" s="129"/>
      <c r="AH67" s="129"/>
      <c r="AI67" s="129"/>
      <c r="AJ67" s="129"/>
      <c r="AK67" s="129"/>
      <c r="AL67" s="129"/>
      <c r="AM67" s="129"/>
      <c r="AN67" s="127"/>
      <c r="AO67" s="127"/>
      <c r="AP67" s="127"/>
      <c r="AQ67" s="127"/>
      <c r="AR67" s="127"/>
      <c r="AS67" s="127"/>
      <c r="AT67" s="127"/>
      <c r="AU67" s="127"/>
      <c r="AV67" s="127"/>
      <c r="AW67" s="47"/>
      <c r="AX67" s="47"/>
      <c r="AY67" s="47"/>
      <c r="AZ67" s="47"/>
      <c r="BA67" s="47"/>
      <c r="BB67" s="47"/>
      <c r="BC67" s="47"/>
      <c r="BD67" s="47"/>
      <c r="BE67" s="47"/>
      <c r="BF67" s="47"/>
      <c r="BG67" s="47"/>
      <c r="BH67" s="47"/>
      <c r="BI67" s="47"/>
      <c r="BJ67" s="47"/>
    </row>
    <row r="68" spans="1:62" x14ac:dyDescent="0.2">
      <c r="A68" s="129"/>
      <c r="B68" s="129"/>
      <c r="C68" s="129"/>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77"/>
      <c r="AC68" s="128"/>
      <c r="AD68" s="125"/>
      <c r="AE68" s="125"/>
      <c r="AF68" s="129"/>
      <c r="AG68" s="129"/>
      <c r="AH68" s="129"/>
      <c r="AI68" s="129"/>
      <c r="AJ68" s="129"/>
      <c r="AK68" s="129"/>
      <c r="AL68" s="129"/>
      <c r="AM68" s="129"/>
      <c r="AN68" s="127"/>
      <c r="AO68" s="127"/>
      <c r="AP68" s="127"/>
      <c r="AQ68" s="127"/>
      <c r="AR68" s="127"/>
      <c r="AS68" s="127"/>
      <c r="AT68" s="127"/>
      <c r="AU68" s="127"/>
      <c r="AV68" s="127"/>
      <c r="AW68" s="47"/>
      <c r="AX68" s="47"/>
      <c r="AY68" s="47"/>
      <c r="AZ68" s="47"/>
      <c r="BA68" s="47"/>
      <c r="BB68" s="47"/>
      <c r="BC68" s="47"/>
      <c r="BD68" s="47"/>
      <c r="BE68" s="47"/>
      <c r="BF68" s="47"/>
      <c r="BG68" s="47"/>
      <c r="BH68" s="47"/>
      <c r="BI68" s="47"/>
      <c r="BJ68" s="47"/>
    </row>
    <row r="69" spans="1:62" x14ac:dyDescent="0.2">
      <c r="A69" s="129"/>
      <c r="B69" s="129"/>
      <c r="C69" s="129"/>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C69" s="128"/>
      <c r="AD69" s="125"/>
      <c r="AE69" s="125"/>
      <c r="AF69" s="129"/>
      <c r="AG69" s="129"/>
      <c r="AH69" s="129"/>
      <c r="AI69" s="129"/>
      <c r="AJ69" s="129"/>
      <c r="AK69" s="129"/>
      <c r="AL69" s="129"/>
      <c r="AM69" s="129"/>
      <c r="AN69" s="54"/>
      <c r="AO69" s="54"/>
      <c r="AP69" s="124"/>
      <c r="AQ69" s="54"/>
      <c r="AR69" s="54"/>
      <c r="AS69" s="54"/>
      <c r="AT69" s="54"/>
      <c r="AU69" s="54"/>
      <c r="AV69" s="54"/>
      <c r="AW69" s="47"/>
      <c r="AX69" s="47"/>
      <c r="AY69" s="47"/>
      <c r="AZ69" s="47"/>
      <c r="BA69" s="47"/>
      <c r="BB69" s="47"/>
      <c r="BC69" s="47"/>
      <c r="BD69" s="47"/>
      <c r="BE69" s="47"/>
      <c r="BF69" s="47"/>
      <c r="BG69" s="47"/>
      <c r="BH69" s="47"/>
      <c r="BI69" s="47"/>
      <c r="BJ69" s="47"/>
    </row>
    <row r="70" spans="1:62" x14ac:dyDescent="0.2">
      <c r="A70" s="129"/>
      <c r="B70" s="129"/>
      <c r="C70" s="129"/>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C70" s="128"/>
      <c r="AD70" s="125"/>
      <c r="AE70" s="125"/>
      <c r="AF70" s="129"/>
      <c r="AG70" s="129"/>
      <c r="AH70" s="129"/>
      <c r="AI70" s="129"/>
      <c r="AJ70" s="129"/>
      <c r="AK70" s="129"/>
      <c r="AL70" s="129"/>
      <c r="AM70" s="129"/>
      <c r="AW70" s="47"/>
      <c r="AX70" s="47"/>
      <c r="AY70" s="47"/>
      <c r="AZ70" s="47"/>
      <c r="BA70" s="47"/>
      <c r="BB70" s="47"/>
      <c r="BC70" s="47"/>
      <c r="BD70" s="47"/>
      <c r="BE70" s="47"/>
      <c r="BF70" s="47"/>
      <c r="BG70" s="47"/>
      <c r="BH70" s="47"/>
      <c r="BI70" s="47"/>
      <c r="BJ70" s="47"/>
    </row>
    <row r="71" spans="1:62" x14ac:dyDescent="0.2">
      <c r="A71" s="129"/>
      <c r="B71" s="129"/>
      <c r="C71" s="129"/>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C71" s="128"/>
      <c r="AD71" s="125"/>
      <c r="AE71" s="125"/>
      <c r="AF71" s="129"/>
      <c r="AG71" s="129"/>
      <c r="AH71" s="129"/>
      <c r="AI71" s="129"/>
      <c r="AJ71" s="129"/>
      <c r="AK71" s="129"/>
      <c r="AL71" s="129"/>
      <c r="AM71" s="129"/>
      <c r="AW71" s="47"/>
      <c r="AX71" s="47"/>
      <c r="AY71" s="47"/>
      <c r="AZ71" s="47"/>
      <c r="BA71" s="47"/>
      <c r="BB71" s="47"/>
      <c r="BC71" s="47"/>
      <c r="BD71" s="47"/>
      <c r="BE71" s="47"/>
      <c r="BF71" s="47"/>
      <c r="BG71" s="47"/>
      <c r="BH71" s="47"/>
      <c r="BI71" s="47"/>
      <c r="BJ71" s="47"/>
    </row>
    <row r="72" spans="1:62" x14ac:dyDescent="0.2">
      <c r="A72" s="129"/>
      <c r="B72" s="129"/>
      <c r="C72" s="129"/>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C72" s="128"/>
      <c r="AD72" s="125"/>
      <c r="AE72" s="125"/>
      <c r="AF72" s="129"/>
      <c r="AG72" s="129"/>
      <c r="AH72" s="129"/>
      <c r="AI72" s="129"/>
      <c r="AJ72" s="129"/>
      <c r="AK72" s="129"/>
      <c r="AL72" s="129"/>
      <c r="AM72" s="129"/>
      <c r="AW72" s="47"/>
      <c r="AX72" s="47"/>
      <c r="AY72" s="47"/>
      <c r="AZ72" s="47"/>
      <c r="BA72" s="47"/>
      <c r="BB72" s="47"/>
      <c r="BC72" s="47"/>
      <c r="BD72" s="47"/>
      <c r="BE72" s="47"/>
      <c r="BF72" s="47"/>
      <c r="BG72" s="47"/>
      <c r="BH72" s="47"/>
      <c r="BI72" s="47"/>
      <c r="BJ72" s="47"/>
    </row>
    <row r="73" spans="1:62" x14ac:dyDescent="0.2">
      <c r="A73" s="129"/>
      <c r="B73" s="129"/>
      <c r="C73" s="129"/>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C73" s="128"/>
      <c r="AD73" s="125"/>
      <c r="AE73" s="125"/>
      <c r="AF73" s="129"/>
      <c r="AG73" s="129"/>
      <c r="AH73" s="129"/>
      <c r="AI73" s="129"/>
      <c r="AJ73" s="129"/>
      <c r="AK73" s="129"/>
      <c r="AL73" s="129"/>
      <c r="AM73" s="129"/>
      <c r="AW73" s="47"/>
      <c r="AX73" s="47"/>
      <c r="AY73" s="47"/>
      <c r="AZ73" s="47"/>
      <c r="BA73" s="47"/>
      <c r="BB73" s="47"/>
      <c r="BC73" s="47"/>
      <c r="BD73" s="47"/>
      <c r="BE73" s="47"/>
      <c r="BF73" s="47"/>
      <c r="BG73" s="47"/>
      <c r="BH73" s="47"/>
      <c r="BI73" s="47"/>
      <c r="BJ73" s="47"/>
    </row>
    <row r="74" spans="1:62" x14ac:dyDescent="0.2">
      <c r="A74" s="129"/>
      <c r="B74" s="129"/>
      <c r="C74" s="129"/>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C74" s="128"/>
      <c r="AD74" s="125"/>
      <c r="AE74" s="125"/>
      <c r="AF74" s="129"/>
      <c r="AG74" s="129"/>
      <c r="AH74" s="129"/>
      <c r="AI74" s="129"/>
      <c r="AJ74" s="129"/>
      <c r="AK74" s="129"/>
      <c r="AL74" s="129"/>
      <c r="AM74" s="129"/>
      <c r="AW74" s="47"/>
      <c r="AX74" s="47"/>
      <c r="AY74" s="47"/>
      <c r="AZ74" s="47"/>
      <c r="BA74" s="47"/>
      <c r="BB74" s="47"/>
      <c r="BC74" s="47"/>
      <c r="BD74" s="47"/>
      <c r="BE74" s="47"/>
      <c r="BF74" s="47"/>
      <c r="BG74" s="47"/>
      <c r="BH74" s="47"/>
      <c r="BI74" s="47"/>
      <c r="BJ74" s="47"/>
    </row>
    <row r="75" spans="1:62" x14ac:dyDescent="0.2">
      <c r="A75" s="129"/>
      <c r="B75" s="129"/>
      <c r="C75" s="129"/>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C75" s="128"/>
      <c r="AD75" s="125"/>
      <c r="AE75" s="125"/>
      <c r="AF75" s="129"/>
      <c r="AG75" s="129"/>
      <c r="AH75" s="129"/>
      <c r="AI75" s="129"/>
      <c r="AJ75" s="129"/>
      <c r="AK75" s="129"/>
      <c r="AL75" s="129"/>
      <c r="AM75" s="129"/>
      <c r="AW75" s="47"/>
      <c r="AX75" s="47"/>
      <c r="AY75" s="47"/>
      <c r="AZ75" s="47"/>
      <c r="BA75" s="47"/>
      <c r="BB75" s="47"/>
      <c r="BC75" s="47"/>
      <c r="BD75" s="47"/>
      <c r="BE75" s="47"/>
      <c r="BF75" s="47"/>
      <c r="BG75" s="47"/>
      <c r="BH75" s="47"/>
      <c r="BI75" s="47"/>
      <c r="BJ75" s="47"/>
    </row>
    <row r="76" spans="1:62" x14ac:dyDescent="0.2">
      <c r="A76" s="129"/>
      <c r="B76" s="129"/>
      <c r="C76" s="129"/>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C76" s="128"/>
      <c r="AD76" s="125"/>
      <c r="AE76" s="125"/>
      <c r="AF76" s="129"/>
      <c r="AG76" s="129"/>
      <c r="AH76" s="129"/>
      <c r="AI76" s="129"/>
      <c r="AJ76" s="129"/>
      <c r="AK76" s="129"/>
      <c r="AL76" s="129"/>
      <c r="AM76" s="129"/>
      <c r="AW76" s="47"/>
      <c r="AX76" s="47"/>
      <c r="AY76" s="47"/>
      <c r="AZ76" s="47"/>
      <c r="BA76" s="47"/>
      <c r="BB76" s="47"/>
      <c r="BC76" s="47"/>
      <c r="BD76" s="47"/>
      <c r="BE76" s="47"/>
      <c r="BF76" s="47"/>
      <c r="BG76" s="47"/>
      <c r="BH76" s="47"/>
      <c r="BI76" s="47"/>
      <c r="BJ76" s="47"/>
    </row>
    <row r="77" spans="1:62" x14ac:dyDescent="0.2">
      <c r="A77" s="129"/>
      <c r="B77" s="129"/>
      <c r="C77" s="129"/>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C77" s="128"/>
      <c r="AD77" s="125"/>
      <c r="AE77" s="125"/>
      <c r="AF77" s="129"/>
      <c r="AG77" s="129"/>
      <c r="AH77" s="129"/>
      <c r="AI77" s="129"/>
      <c r="AJ77" s="129"/>
      <c r="AK77" s="129"/>
      <c r="AL77" s="129"/>
      <c r="AM77" s="129"/>
      <c r="AW77" s="47"/>
      <c r="AX77" s="47"/>
      <c r="AY77" s="47"/>
      <c r="AZ77" s="47"/>
      <c r="BA77" s="47"/>
      <c r="BB77" s="47"/>
      <c r="BC77" s="47"/>
      <c r="BD77" s="47"/>
      <c r="BE77" s="47"/>
      <c r="BF77" s="47"/>
      <c r="BG77" s="47"/>
      <c r="BH77" s="47"/>
      <c r="BI77" s="47"/>
      <c r="BJ77" s="47"/>
    </row>
    <row r="78" spans="1:62" x14ac:dyDescent="0.2">
      <c r="A78" s="129"/>
      <c r="B78" s="129"/>
      <c r="C78" s="129"/>
      <c r="D78" s="125"/>
      <c r="E78" s="125"/>
      <c r="F78" s="125"/>
      <c r="G78" s="125"/>
      <c r="H78" s="125"/>
      <c r="I78" s="125"/>
      <c r="J78" s="125"/>
      <c r="K78" s="125"/>
      <c r="L78" s="125"/>
      <c r="M78" s="125"/>
      <c r="N78" s="125"/>
      <c r="O78" s="125"/>
      <c r="P78" s="125"/>
      <c r="Q78" s="125"/>
      <c r="R78" s="125"/>
      <c r="S78" s="125"/>
      <c r="T78" s="125"/>
      <c r="U78" s="125"/>
      <c r="V78" s="125"/>
      <c r="W78" s="125"/>
      <c r="X78" s="125"/>
      <c r="Y78" s="125"/>
      <c r="Z78" s="125"/>
      <c r="AA78" s="125"/>
      <c r="AC78" s="128"/>
      <c r="AD78" s="125"/>
      <c r="AE78" s="125"/>
      <c r="AF78" s="129"/>
      <c r="AG78" s="129"/>
      <c r="AH78" s="129"/>
      <c r="AI78" s="129"/>
      <c r="AJ78" s="129"/>
      <c r="AK78" s="129"/>
      <c r="AL78" s="129"/>
      <c r="AM78" s="129"/>
      <c r="AW78" s="47"/>
      <c r="AX78" s="47"/>
      <c r="AY78" s="47"/>
      <c r="AZ78" s="47"/>
      <c r="BA78" s="47"/>
      <c r="BB78" s="47"/>
      <c r="BC78" s="47"/>
      <c r="BD78" s="47"/>
      <c r="BE78" s="47"/>
      <c r="BF78" s="47"/>
      <c r="BG78" s="47"/>
      <c r="BH78" s="47"/>
      <c r="BI78" s="47"/>
      <c r="BJ78" s="47"/>
    </row>
    <row r="79" spans="1:62" x14ac:dyDescent="0.2">
      <c r="A79" s="129"/>
      <c r="B79" s="129"/>
      <c r="C79" s="129"/>
      <c r="D79" s="125"/>
      <c r="E79" s="125"/>
      <c r="F79" s="125"/>
      <c r="G79" s="125"/>
      <c r="H79" s="125"/>
      <c r="I79" s="125"/>
      <c r="J79" s="125"/>
      <c r="K79" s="125"/>
      <c r="L79" s="125"/>
      <c r="M79" s="125"/>
      <c r="N79" s="125"/>
      <c r="O79" s="125"/>
      <c r="P79" s="125"/>
      <c r="Q79" s="125"/>
      <c r="R79" s="125"/>
      <c r="S79" s="125"/>
      <c r="T79" s="125"/>
      <c r="U79" s="125"/>
      <c r="V79" s="125"/>
      <c r="W79" s="125"/>
      <c r="X79" s="125"/>
      <c r="Y79" s="125"/>
      <c r="Z79" s="125"/>
      <c r="AA79" s="125"/>
      <c r="AC79" s="128"/>
      <c r="AD79" s="125"/>
      <c r="AE79" s="125"/>
      <c r="AF79" s="129"/>
      <c r="AG79" s="129"/>
      <c r="AH79" s="129"/>
      <c r="AI79" s="129"/>
      <c r="AJ79" s="129"/>
      <c r="AK79" s="129"/>
      <c r="AL79" s="129"/>
      <c r="AM79" s="129"/>
      <c r="AN79" s="47"/>
      <c r="AO79" s="47"/>
      <c r="AP79" s="239"/>
      <c r="AQ79" s="47"/>
      <c r="AR79" s="47"/>
      <c r="AS79" s="47"/>
      <c r="AT79" s="47"/>
      <c r="AU79" s="47"/>
      <c r="AV79" s="47"/>
      <c r="AW79" s="47"/>
      <c r="AX79" s="47"/>
      <c r="AY79" s="47"/>
      <c r="AZ79" s="47"/>
      <c r="BA79" s="47"/>
      <c r="BB79" s="47"/>
      <c r="BC79" s="47"/>
      <c r="BD79" s="47"/>
      <c r="BE79" s="47"/>
      <c r="BF79" s="47"/>
      <c r="BG79" s="47"/>
      <c r="BH79" s="47"/>
      <c r="BI79" s="47"/>
      <c r="BJ79" s="47"/>
    </row>
    <row r="80" spans="1:62" x14ac:dyDescent="0.2">
      <c r="A80" s="129"/>
      <c r="B80" s="129"/>
      <c r="C80" s="129"/>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C80" s="128"/>
      <c r="AD80" s="125"/>
      <c r="AE80" s="125"/>
      <c r="AF80" s="129"/>
      <c r="AG80" s="129"/>
      <c r="AH80" s="129"/>
      <c r="AI80" s="129"/>
      <c r="AJ80" s="129"/>
      <c r="AK80" s="129"/>
      <c r="AL80" s="129"/>
      <c r="AM80" s="129"/>
      <c r="AN80" s="47"/>
      <c r="AO80" s="47"/>
      <c r="AP80" s="239"/>
      <c r="AQ80" s="47"/>
      <c r="AR80" s="47"/>
      <c r="AS80" s="47"/>
      <c r="AT80" s="47"/>
      <c r="AU80" s="47"/>
      <c r="AV80" s="47"/>
      <c r="AW80" s="47"/>
      <c r="AX80" s="47"/>
      <c r="AY80" s="47"/>
      <c r="AZ80" s="47"/>
      <c r="BA80" s="47"/>
      <c r="BB80" s="47"/>
      <c r="BC80" s="47"/>
      <c r="BD80" s="47"/>
      <c r="BE80" s="47"/>
      <c r="BF80" s="47"/>
      <c r="BG80" s="47"/>
      <c r="BH80" s="47"/>
      <c r="BI80" s="47"/>
      <c r="BJ80" s="47"/>
    </row>
    <row r="81" spans="1:62" x14ac:dyDescent="0.2">
      <c r="A81" s="129"/>
      <c r="B81" s="129"/>
      <c r="C81" s="129"/>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C81" s="128"/>
      <c r="AD81" s="125"/>
      <c r="AE81" s="125"/>
      <c r="AF81" s="129"/>
      <c r="AG81" s="129"/>
      <c r="AH81" s="129"/>
      <c r="AI81" s="129"/>
      <c r="AJ81" s="129"/>
      <c r="AK81" s="129"/>
      <c r="AL81" s="129"/>
      <c r="AM81" s="129"/>
      <c r="AN81" s="47"/>
      <c r="AO81" s="47"/>
      <c r="AP81" s="239"/>
      <c r="AQ81" s="47"/>
      <c r="AR81" s="47"/>
      <c r="AS81" s="47"/>
      <c r="AT81" s="47"/>
      <c r="AU81" s="47"/>
      <c r="AV81" s="47"/>
      <c r="AW81" s="47"/>
      <c r="AX81" s="47"/>
      <c r="AY81" s="47"/>
      <c r="AZ81" s="47"/>
      <c r="BA81" s="47"/>
      <c r="BB81" s="47"/>
      <c r="BC81" s="47"/>
      <c r="BD81" s="47"/>
      <c r="BE81" s="47"/>
      <c r="BF81" s="47"/>
      <c r="BG81" s="47"/>
      <c r="BH81" s="47"/>
      <c r="BI81" s="47"/>
      <c r="BJ81" s="47"/>
    </row>
    <row r="82" spans="1:62" x14ac:dyDescent="0.2">
      <c r="A82" s="129"/>
      <c r="B82" s="129"/>
      <c r="C82" s="129"/>
      <c r="D82" s="125"/>
      <c r="E82" s="125"/>
      <c r="F82" s="125"/>
      <c r="G82" s="125"/>
      <c r="H82" s="125"/>
      <c r="I82" s="125"/>
      <c r="J82" s="125"/>
      <c r="K82" s="125"/>
      <c r="L82" s="125"/>
      <c r="M82" s="125"/>
      <c r="N82" s="125"/>
      <c r="O82" s="125"/>
      <c r="P82" s="125"/>
      <c r="Q82" s="125"/>
      <c r="R82" s="125"/>
      <c r="S82" s="125"/>
      <c r="T82" s="125"/>
      <c r="U82" s="125"/>
      <c r="V82" s="125"/>
      <c r="W82" s="125"/>
      <c r="X82" s="125"/>
      <c r="Y82" s="125"/>
      <c r="Z82" s="125"/>
      <c r="AA82" s="125"/>
      <c r="AC82" s="128"/>
      <c r="AD82" s="125"/>
      <c r="AE82" s="125"/>
      <c r="AF82" s="129"/>
      <c r="AG82" s="129"/>
      <c r="AH82" s="129"/>
      <c r="AI82" s="129"/>
      <c r="AJ82" s="129"/>
      <c r="AK82" s="129"/>
      <c r="AL82" s="129"/>
      <c r="AM82" s="129"/>
      <c r="AN82" s="47"/>
      <c r="AO82" s="47"/>
      <c r="AP82" s="239"/>
      <c r="AQ82" s="47"/>
      <c r="AR82" s="47"/>
      <c r="AS82" s="47"/>
      <c r="AT82" s="47"/>
      <c r="AU82" s="47"/>
      <c r="AV82" s="47"/>
      <c r="AW82" s="47"/>
      <c r="AX82" s="47"/>
      <c r="AY82" s="47"/>
      <c r="AZ82" s="47"/>
      <c r="BA82" s="47"/>
      <c r="BB82" s="47"/>
      <c r="BC82" s="47"/>
      <c r="BD82" s="47"/>
      <c r="BE82" s="47"/>
      <c r="BF82" s="47"/>
      <c r="BG82" s="47"/>
      <c r="BH82" s="47"/>
      <c r="BI82" s="47"/>
      <c r="BJ82" s="47"/>
    </row>
    <row r="83" spans="1:62" x14ac:dyDescent="0.2">
      <c r="A83" s="129"/>
      <c r="B83" s="129"/>
      <c r="C83" s="129"/>
      <c r="D83" s="125"/>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C83" s="128"/>
      <c r="AD83" s="125"/>
      <c r="AE83" s="125"/>
      <c r="AF83" s="129"/>
      <c r="AG83" s="129"/>
      <c r="AH83" s="129"/>
      <c r="AI83" s="129"/>
      <c r="AJ83" s="129"/>
      <c r="AK83" s="129"/>
      <c r="AL83" s="129"/>
      <c r="AM83" s="129"/>
      <c r="AN83" s="47"/>
      <c r="AO83" s="47"/>
      <c r="AP83" s="239"/>
      <c r="AQ83" s="47"/>
      <c r="AR83" s="47"/>
      <c r="AS83" s="47"/>
      <c r="AT83" s="47"/>
      <c r="AU83" s="47"/>
      <c r="AV83" s="47"/>
      <c r="AW83" s="47"/>
      <c r="AX83" s="47"/>
      <c r="AY83" s="47"/>
      <c r="AZ83" s="47"/>
      <c r="BA83" s="47"/>
      <c r="BB83" s="47"/>
      <c r="BC83" s="47"/>
      <c r="BD83" s="47"/>
      <c r="BE83" s="47"/>
      <c r="BF83" s="47"/>
      <c r="BG83" s="47"/>
      <c r="BH83" s="47"/>
      <c r="BI83" s="47"/>
      <c r="BJ83" s="47"/>
    </row>
    <row r="84" spans="1:62" x14ac:dyDescent="0.2">
      <c r="A84" s="129"/>
      <c r="B84" s="129"/>
      <c r="C84" s="129"/>
      <c r="D84" s="125"/>
      <c r="E84" s="125"/>
      <c r="F84" s="125"/>
      <c r="G84" s="125"/>
      <c r="H84" s="125"/>
      <c r="I84" s="125"/>
      <c r="J84" s="125"/>
      <c r="K84" s="125"/>
      <c r="L84" s="125"/>
      <c r="M84" s="125"/>
      <c r="N84" s="125"/>
      <c r="O84" s="125"/>
      <c r="P84" s="125"/>
      <c r="Q84" s="125"/>
      <c r="R84" s="125"/>
      <c r="S84" s="125"/>
      <c r="T84" s="125"/>
      <c r="U84" s="125"/>
      <c r="V84" s="125"/>
      <c r="W84" s="125"/>
      <c r="X84" s="125"/>
      <c r="Y84" s="125"/>
      <c r="Z84" s="125"/>
      <c r="AA84" s="125"/>
      <c r="AC84" s="128"/>
      <c r="AD84" s="125"/>
      <c r="AE84" s="125"/>
      <c r="AF84" s="129"/>
      <c r="AG84" s="129"/>
      <c r="AH84" s="129"/>
      <c r="AI84" s="129"/>
      <c r="AJ84" s="129"/>
      <c r="AK84" s="129"/>
      <c r="AL84" s="129"/>
      <c r="AM84" s="129"/>
      <c r="AN84" s="47"/>
      <c r="AO84" s="47"/>
      <c r="AP84" s="239"/>
      <c r="AQ84" s="47"/>
      <c r="AR84" s="47"/>
      <c r="AS84" s="47"/>
      <c r="AT84" s="47"/>
      <c r="AU84" s="47"/>
      <c r="AV84" s="47"/>
      <c r="AW84" s="47"/>
      <c r="AX84" s="47"/>
      <c r="AY84" s="47"/>
      <c r="AZ84" s="47"/>
      <c r="BA84" s="47"/>
      <c r="BB84" s="47"/>
      <c r="BC84" s="47"/>
      <c r="BD84" s="47"/>
      <c r="BE84" s="47"/>
      <c r="BF84" s="47"/>
      <c r="BG84" s="47"/>
      <c r="BH84" s="47"/>
      <c r="BI84" s="47"/>
      <c r="BJ84" s="47"/>
    </row>
    <row r="85" spans="1:62" x14ac:dyDescent="0.2">
      <c r="A85" s="129"/>
      <c r="B85" s="129"/>
      <c r="C85" s="129"/>
      <c r="D85" s="125"/>
      <c r="E85" s="125"/>
      <c r="F85" s="125"/>
      <c r="G85" s="125"/>
      <c r="H85" s="125"/>
      <c r="I85" s="125"/>
      <c r="J85" s="125"/>
      <c r="K85" s="125"/>
      <c r="L85" s="125"/>
      <c r="M85" s="125"/>
      <c r="N85" s="125"/>
      <c r="O85" s="125"/>
      <c r="P85" s="125"/>
      <c r="Q85" s="125"/>
      <c r="R85" s="125"/>
      <c r="S85" s="125"/>
      <c r="T85" s="125"/>
      <c r="U85" s="125"/>
      <c r="V85" s="125"/>
      <c r="W85" s="125"/>
      <c r="X85" s="125"/>
      <c r="Y85" s="125"/>
      <c r="Z85" s="125"/>
      <c r="AA85" s="125"/>
      <c r="AC85" s="128"/>
      <c r="AD85" s="125"/>
      <c r="AE85" s="125"/>
      <c r="AF85" s="129"/>
      <c r="AG85" s="129"/>
      <c r="AH85" s="129"/>
      <c r="AI85" s="129"/>
      <c r="AJ85" s="129"/>
      <c r="AK85" s="129"/>
      <c r="AL85" s="129"/>
      <c r="AM85" s="129"/>
      <c r="AN85" s="47"/>
      <c r="AO85" s="47"/>
      <c r="AP85" s="239"/>
      <c r="AQ85" s="47"/>
      <c r="AR85" s="47"/>
      <c r="AS85" s="47"/>
      <c r="AT85" s="47"/>
      <c r="AU85" s="47"/>
      <c r="AV85" s="47"/>
      <c r="AW85" s="47"/>
      <c r="AX85" s="47"/>
      <c r="AY85" s="47"/>
      <c r="AZ85" s="47"/>
      <c r="BA85" s="47"/>
      <c r="BB85" s="47"/>
      <c r="BC85" s="47"/>
      <c r="BD85" s="47"/>
      <c r="BE85" s="47"/>
      <c r="BF85" s="47"/>
      <c r="BG85" s="47"/>
      <c r="BH85" s="47"/>
      <c r="BI85" s="47"/>
      <c r="BJ85" s="47"/>
    </row>
    <row r="86" spans="1:62" x14ac:dyDescent="0.2">
      <c r="A86" s="129"/>
      <c r="B86" s="129"/>
      <c r="C86" s="129"/>
      <c r="D86" s="125"/>
      <c r="E86" s="125"/>
      <c r="F86" s="125"/>
      <c r="G86" s="125"/>
      <c r="H86" s="125"/>
      <c r="I86" s="125"/>
      <c r="J86" s="125"/>
      <c r="K86" s="125"/>
      <c r="L86" s="125"/>
      <c r="M86" s="125"/>
      <c r="N86" s="125"/>
      <c r="O86" s="125"/>
      <c r="P86" s="125"/>
      <c r="Q86" s="125"/>
      <c r="R86" s="125"/>
      <c r="S86" s="125"/>
      <c r="T86" s="125"/>
      <c r="U86" s="125"/>
      <c r="V86" s="125"/>
      <c r="W86" s="125"/>
      <c r="X86" s="125"/>
      <c r="Y86" s="125"/>
      <c r="Z86" s="125"/>
      <c r="AA86" s="125"/>
      <c r="AC86" s="128"/>
      <c r="AD86" s="125"/>
      <c r="AE86" s="125"/>
      <c r="AF86" s="129"/>
      <c r="AG86" s="129"/>
      <c r="AH86" s="129"/>
      <c r="AI86" s="129"/>
      <c r="AJ86" s="129"/>
      <c r="AK86" s="129"/>
      <c r="AL86" s="129"/>
      <c r="AM86" s="129"/>
      <c r="AN86" s="47"/>
      <c r="AO86" s="47"/>
      <c r="AP86" s="239"/>
      <c r="AQ86" s="47"/>
      <c r="AR86" s="47"/>
      <c r="AS86" s="47"/>
      <c r="AT86" s="47"/>
      <c r="AU86" s="47"/>
      <c r="AV86" s="47"/>
      <c r="AW86" s="47"/>
      <c r="AX86" s="47"/>
      <c r="AY86" s="47"/>
      <c r="AZ86" s="47"/>
      <c r="BA86" s="47"/>
      <c r="BB86" s="47"/>
      <c r="BC86" s="47"/>
      <c r="BD86" s="47"/>
      <c r="BE86" s="47"/>
      <c r="BF86" s="47"/>
      <c r="BG86" s="47"/>
      <c r="BH86" s="47"/>
      <c r="BI86" s="47"/>
      <c r="BJ86" s="47"/>
    </row>
    <row r="87" spans="1:62" x14ac:dyDescent="0.2">
      <c r="A87" s="129"/>
      <c r="B87" s="129"/>
      <c r="C87" s="129"/>
      <c r="D87" s="125"/>
      <c r="E87" s="125"/>
      <c r="F87" s="125"/>
      <c r="G87" s="125"/>
      <c r="H87" s="125"/>
      <c r="I87" s="125"/>
      <c r="J87" s="125"/>
      <c r="K87" s="125"/>
      <c r="L87" s="125"/>
      <c r="M87" s="125"/>
      <c r="N87" s="125"/>
      <c r="O87" s="125"/>
      <c r="P87" s="125"/>
      <c r="Q87" s="125"/>
      <c r="R87" s="125"/>
      <c r="S87" s="125"/>
      <c r="T87" s="125"/>
      <c r="U87" s="125"/>
      <c r="V87" s="125"/>
      <c r="W87" s="125"/>
      <c r="X87" s="125"/>
      <c r="Y87" s="125"/>
      <c r="Z87" s="125"/>
      <c r="AA87" s="125"/>
      <c r="AC87" s="128"/>
      <c r="AD87" s="125"/>
      <c r="AE87" s="125"/>
      <c r="AF87" s="129"/>
      <c r="AG87" s="129"/>
      <c r="AH87" s="129"/>
      <c r="AI87" s="129"/>
      <c r="AJ87" s="129"/>
      <c r="AK87" s="129"/>
      <c r="AL87" s="129"/>
      <c r="AM87" s="129"/>
      <c r="AN87" s="47"/>
      <c r="AO87" s="47"/>
      <c r="AP87" s="239"/>
      <c r="AQ87" s="47"/>
      <c r="AR87" s="47"/>
      <c r="AS87" s="47"/>
      <c r="AT87" s="47"/>
      <c r="AU87" s="47"/>
      <c r="AV87" s="47"/>
      <c r="AW87" s="47"/>
      <c r="AX87" s="47"/>
      <c r="AY87" s="47"/>
      <c r="AZ87" s="47"/>
      <c r="BA87" s="47"/>
      <c r="BB87" s="47"/>
      <c r="BC87" s="47"/>
      <c r="BD87" s="47"/>
      <c r="BE87" s="47"/>
      <c r="BF87" s="47"/>
      <c r="BG87" s="47"/>
      <c r="BH87" s="47"/>
      <c r="BI87" s="47"/>
      <c r="BJ87" s="47"/>
    </row>
    <row r="88" spans="1:62" x14ac:dyDescent="0.2">
      <c r="A88" s="129"/>
      <c r="B88" s="129"/>
      <c r="C88" s="129"/>
      <c r="D88" s="125"/>
      <c r="E88" s="125"/>
      <c r="F88" s="125"/>
      <c r="G88" s="125"/>
      <c r="H88" s="125"/>
      <c r="I88" s="125"/>
      <c r="J88" s="125"/>
      <c r="K88" s="125"/>
      <c r="L88" s="125"/>
      <c r="M88" s="125"/>
      <c r="N88" s="125"/>
      <c r="O88" s="125"/>
      <c r="P88" s="125"/>
      <c r="Q88" s="125"/>
      <c r="R88" s="125"/>
      <c r="S88" s="125"/>
      <c r="T88" s="125"/>
      <c r="U88" s="125"/>
      <c r="V88" s="125"/>
      <c r="W88" s="125"/>
      <c r="X88" s="125"/>
      <c r="Y88" s="125"/>
      <c r="Z88" s="125"/>
      <c r="AA88" s="125"/>
      <c r="AC88" s="128"/>
      <c r="AD88" s="125"/>
      <c r="AE88" s="125"/>
      <c r="AF88" s="129"/>
      <c r="AG88" s="129"/>
      <c r="AH88" s="129"/>
      <c r="AI88" s="129"/>
      <c r="AJ88" s="129"/>
      <c r="AK88" s="129"/>
      <c r="AL88" s="129"/>
      <c r="AM88" s="129"/>
      <c r="AN88" s="47"/>
      <c r="AO88" s="47"/>
      <c r="AP88" s="239"/>
      <c r="AQ88" s="47"/>
      <c r="AR88" s="47"/>
      <c r="AS88" s="47"/>
      <c r="AT88" s="47"/>
      <c r="AU88" s="47"/>
      <c r="AV88" s="47"/>
      <c r="AW88" s="47"/>
      <c r="AX88" s="47"/>
      <c r="AY88" s="47"/>
      <c r="AZ88" s="47"/>
      <c r="BA88" s="47"/>
      <c r="BB88" s="47"/>
      <c r="BC88" s="47"/>
      <c r="BD88" s="47"/>
      <c r="BE88" s="47"/>
      <c r="BF88" s="47"/>
      <c r="BG88" s="47"/>
      <c r="BH88" s="47"/>
      <c r="BI88" s="47"/>
      <c r="BJ88" s="47"/>
    </row>
    <row r="89" spans="1:62" x14ac:dyDescent="0.2">
      <c r="A89" s="129"/>
      <c r="B89" s="129"/>
      <c r="C89" s="129"/>
      <c r="D89" s="125"/>
      <c r="E89" s="125"/>
      <c r="F89" s="125"/>
      <c r="G89" s="125"/>
      <c r="H89" s="125"/>
      <c r="I89" s="125"/>
      <c r="J89" s="125"/>
      <c r="K89" s="125"/>
      <c r="L89" s="125"/>
      <c r="M89" s="125"/>
      <c r="N89" s="125"/>
      <c r="O89" s="125"/>
      <c r="P89" s="125"/>
      <c r="Q89" s="125"/>
      <c r="R89" s="125"/>
      <c r="S89" s="125"/>
      <c r="T89" s="125"/>
      <c r="U89" s="125"/>
      <c r="V89" s="125"/>
      <c r="W89" s="125"/>
      <c r="X89" s="125"/>
      <c r="Y89" s="125"/>
      <c r="Z89" s="125"/>
      <c r="AA89" s="125"/>
      <c r="AC89" s="128"/>
      <c r="AD89" s="125"/>
      <c r="AE89" s="125"/>
      <c r="AF89" s="129"/>
      <c r="AG89" s="129"/>
      <c r="AH89" s="129"/>
      <c r="AI89" s="129"/>
      <c r="AJ89" s="129"/>
      <c r="AK89" s="129"/>
      <c r="AL89" s="129"/>
      <c r="AM89" s="129"/>
      <c r="AN89" s="47"/>
      <c r="AO89" s="47"/>
      <c r="AP89" s="239"/>
      <c r="AQ89" s="47"/>
      <c r="AR89" s="47"/>
      <c r="AS89" s="47"/>
      <c r="AT89" s="47"/>
      <c r="AU89" s="47"/>
      <c r="AV89" s="47"/>
      <c r="AW89" s="47"/>
      <c r="AX89" s="47"/>
      <c r="AY89" s="47"/>
      <c r="AZ89" s="47"/>
      <c r="BA89" s="47"/>
      <c r="BB89" s="47"/>
      <c r="BC89" s="47"/>
      <c r="BD89" s="47"/>
      <c r="BE89" s="47"/>
      <c r="BF89" s="47"/>
      <c r="BG89" s="47"/>
      <c r="BH89" s="47"/>
      <c r="BI89" s="47"/>
      <c r="BJ89" s="47"/>
    </row>
    <row r="90" spans="1:62" x14ac:dyDescent="0.2">
      <c r="A90" s="129"/>
      <c r="B90" s="129"/>
      <c r="C90" s="129"/>
      <c r="D90" s="125"/>
      <c r="E90" s="125"/>
      <c r="F90" s="125"/>
      <c r="G90" s="125"/>
      <c r="H90" s="125"/>
      <c r="I90" s="125"/>
      <c r="J90" s="125"/>
      <c r="K90" s="125"/>
      <c r="L90" s="125"/>
      <c r="M90" s="125"/>
      <c r="N90" s="125"/>
      <c r="O90" s="125"/>
      <c r="P90" s="125"/>
      <c r="Q90" s="125"/>
      <c r="R90" s="125"/>
      <c r="S90" s="125"/>
      <c r="T90" s="125"/>
      <c r="U90" s="125"/>
      <c r="V90" s="125"/>
      <c r="W90" s="125"/>
      <c r="X90" s="125"/>
      <c r="Y90" s="125"/>
      <c r="Z90" s="125"/>
      <c r="AA90" s="125"/>
      <c r="AC90" s="128"/>
      <c r="AD90" s="125"/>
      <c r="AE90" s="125"/>
      <c r="AF90" s="129"/>
      <c r="AG90" s="129"/>
      <c r="AH90" s="129"/>
      <c r="AI90" s="129"/>
      <c r="AJ90" s="129"/>
      <c r="AK90" s="129"/>
      <c r="AL90" s="129"/>
      <c r="AM90" s="129"/>
      <c r="AN90" s="47"/>
      <c r="AO90" s="47"/>
      <c r="AP90" s="239"/>
      <c r="AQ90" s="47"/>
      <c r="AR90" s="47"/>
      <c r="AS90" s="47"/>
      <c r="AT90" s="47"/>
      <c r="AU90" s="47"/>
      <c r="AV90" s="47"/>
      <c r="AW90" s="47"/>
      <c r="AX90" s="47"/>
      <c r="AY90" s="47"/>
      <c r="AZ90" s="47"/>
      <c r="BA90" s="47"/>
      <c r="BB90" s="47"/>
      <c r="BC90" s="47"/>
      <c r="BD90" s="47"/>
      <c r="BE90" s="47"/>
      <c r="BF90" s="47"/>
      <c r="BG90" s="47"/>
      <c r="BH90" s="47"/>
      <c r="BI90" s="47"/>
      <c r="BJ90" s="47"/>
    </row>
    <row r="91" spans="1:62" x14ac:dyDescent="0.2">
      <c r="A91" s="129"/>
      <c r="B91" s="129"/>
      <c r="C91" s="129"/>
      <c r="D91" s="125"/>
      <c r="E91" s="125"/>
      <c r="F91" s="125"/>
      <c r="G91" s="125"/>
      <c r="H91" s="125"/>
      <c r="I91" s="125"/>
      <c r="J91" s="125"/>
      <c r="K91" s="125"/>
      <c r="L91" s="125"/>
      <c r="M91" s="125"/>
      <c r="N91" s="125"/>
      <c r="O91" s="125"/>
      <c r="P91" s="125"/>
      <c r="Q91" s="125"/>
      <c r="R91" s="125"/>
      <c r="S91" s="125"/>
      <c r="T91" s="125"/>
      <c r="U91" s="125"/>
      <c r="V91" s="125"/>
      <c r="W91" s="125"/>
      <c r="X91" s="125"/>
      <c r="Y91" s="125"/>
      <c r="Z91" s="125"/>
      <c r="AA91" s="125"/>
      <c r="AC91" s="128"/>
      <c r="AD91" s="125"/>
      <c r="AE91" s="125"/>
      <c r="AF91" s="129"/>
      <c r="AG91" s="129"/>
      <c r="AH91" s="129"/>
      <c r="AI91" s="129"/>
      <c r="AJ91" s="129"/>
      <c r="AK91" s="129"/>
      <c r="AL91" s="129"/>
      <c r="AM91" s="129"/>
      <c r="AN91" s="47"/>
      <c r="AO91" s="47"/>
      <c r="AP91" s="239"/>
      <c r="AQ91" s="47"/>
      <c r="AR91" s="47"/>
      <c r="AS91" s="47"/>
      <c r="AT91" s="47"/>
      <c r="AU91" s="47"/>
      <c r="AV91" s="47"/>
      <c r="AW91" s="47"/>
      <c r="AX91" s="47"/>
      <c r="AY91" s="47"/>
      <c r="AZ91" s="47"/>
      <c r="BA91" s="47"/>
      <c r="BB91" s="47"/>
      <c r="BC91" s="47"/>
      <c r="BD91" s="47"/>
      <c r="BE91" s="47"/>
      <c r="BF91" s="47"/>
      <c r="BG91" s="47"/>
      <c r="BH91" s="47"/>
      <c r="BI91" s="47"/>
      <c r="BJ91" s="47"/>
    </row>
    <row r="92" spans="1:62" x14ac:dyDescent="0.2">
      <c r="A92" s="129"/>
      <c r="B92" s="129"/>
      <c r="C92" s="129"/>
      <c r="D92" s="125"/>
      <c r="E92" s="125"/>
      <c r="F92" s="125"/>
      <c r="G92" s="125"/>
      <c r="H92" s="125"/>
      <c r="I92" s="125"/>
      <c r="J92" s="125"/>
      <c r="K92" s="125"/>
      <c r="L92" s="125"/>
      <c r="M92" s="125"/>
      <c r="N92" s="125"/>
      <c r="O92" s="125"/>
      <c r="P92" s="125"/>
      <c r="Q92" s="125"/>
      <c r="R92" s="125"/>
      <c r="S92" s="125"/>
      <c r="T92" s="125"/>
      <c r="U92" s="125"/>
      <c r="V92" s="125"/>
      <c r="W92" s="125"/>
      <c r="X92" s="125"/>
      <c r="Y92" s="125"/>
      <c r="Z92" s="125"/>
      <c r="AA92" s="125"/>
      <c r="AC92" s="128"/>
      <c r="AD92" s="125"/>
      <c r="AE92" s="125"/>
      <c r="AF92" s="129"/>
      <c r="AG92" s="129"/>
      <c r="AH92" s="129"/>
      <c r="AI92" s="129"/>
      <c r="AJ92" s="129"/>
      <c r="AK92" s="129"/>
      <c r="AL92" s="129"/>
      <c r="AM92" s="129"/>
      <c r="AN92" s="47"/>
      <c r="AO92" s="47"/>
      <c r="AP92" s="239"/>
      <c r="AQ92" s="47"/>
      <c r="AR92" s="47"/>
      <c r="AS92" s="47"/>
      <c r="AT92" s="47"/>
      <c r="AU92" s="47"/>
      <c r="AV92" s="47"/>
      <c r="AW92" s="47"/>
      <c r="AX92" s="47"/>
      <c r="AY92" s="47"/>
      <c r="AZ92" s="47"/>
      <c r="BA92" s="47"/>
      <c r="BB92" s="47"/>
      <c r="BC92" s="47"/>
      <c r="BD92" s="47"/>
      <c r="BE92" s="47"/>
      <c r="BF92" s="47"/>
      <c r="BG92" s="47"/>
      <c r="BH92" s="47"/>
      <c r="BI92" s="47"/>
      <c r="BJ92" s="47"/>
    </row>
    <row r="93" spans="1:62" x14ac:dyDescent="0.2">
      <c r="A93" s="129"/>
      <c r="B93" s="129"/>
      <c r="C93" s="129"/>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C93" s="128"/>
      <c r="AD93" s="125"/>
      <c r="AE93" s="125"/>
      <c r="AF93" s="129"/>
      <c r="AG93" s="129"/>
      <c r="AH93" s="129"/>
      <c r="AI93" s="129"/>
      <c r="AJ93" s="129"/>
      <c r="AK93" s="129"/>
      <c r="AL93" s="129"/>
      <c r="AM93" s="129"/>
      <c r="AN93" s="47"/>
      <c r="AO93" s="47"/>
      <c r="AP93" s="239"/>
      <c r="AQ93" s="47"/>
      <c r="AR93" s="47"/>
      <c r="AS93" s="47"/>
      <c r="AT93" s="47"/>
      <c r="AU93" s="47"/>
      <c r="AV93" s="47"/>
      <c r="AW93" s="47"/>
      <c r="AX93" s="47"/>
      <c r="AY93" s="47"/>
      <c r="AZ93" s="47"/>
      <c r="BA93" s="47"/>
      <c r="BB93" s="47"/>
      <c r="BC93" s="47"/>
      <c r="BD93" s="47"/>
      <c r="BE93" s="47"/>
      <c r="BF93" s="47"/>
      <c r="BG93" s="47"/>
      <c r="BH93" s="47"/>
      <c r="BI93" s="47"/>
      <c r="BJ93" s="47"/>
    </row>
    <row r="94" spans="1:62" x14ac:dyDescent="0.2">
      <c r="A94" s="129"/>
      <c r="B94" s="129"/>
      <c r="C94" s="129"/>
      <c r="D94" s="125"/>
      <c r="E94" s="125"/>
      <c r="F94" s="125"/>
      <c r="G94" s="125"/>
      <c r="H94" s="125"/>
      <c r="I94" s="125"/>
      <c r="J94" s="125"/>
      <c r="K94" s="125"/>
      <c r="L94" s="125"/>
      <c r="M94" s="125"/>
      <c r="N94" s="125"/>
      <c r="O94" s="125"/>
      <c r="P94" s="125"/>
      <c r="Q94" s="125"/>
      <c r="R94" s="125"/>
      <c r="S94" s="125"/>
      <c r="T94" s="125"/>
      <c r="U94" s="125"/>
      <c r="V94" s="125"/>
      <c r="W94" s="125"/>
      <c r="X94" s="125"/>
      <c r="Y94" s="125"/>
      <c r="Z94" s="125"/>
      <c r="AA94" s="125"/>
      <c r="AC94" s="128"/>
      <c r="AD94" s="125"/>
      <c r="AE94" s="125"/>
      <c r="AF94" s="129"/>
      <c r="AG94" s="129"/>
      <c r="AH94" s="129"/>
      <c r="AI94" s="129"/>
      <c r="AJ94" s="129"/>
      <c r="AK94" s="129"/>
      <c r="AL94" s="129"/>
      <c r="AM94" s="129"/>
      <c r="AN94" s="47"/>
      <c r="AO94" s="47"/>
      <c r="AP94" s="239"/>
      <c r="AQ94" s="47"/>
      <c r="AR94" s="47"/>
      <c r="AS94" s="47"/>
      <c r="AT94" s="47"/>
      <c r="AU94" s="47"/>
      <c r="AV94" s="47"/>
      <c r="AW94" s="47"/>
      <c r="AX94" s="47"/>
      <c r="AY94" s="47"/>
      <c r="AZ94" s="47"/>
      <c r="BA94" s="47"/>
      <c r="BB94" s="47"/>
      <c r="BC94" s="47"/>
      <c r="BD94" s="47"/>
      <c r="BE94" s="47"/>
      <c r="BF94" s="47"/>
      <c r="BG94" s="47"/>
      <c r="BH94" s="47"/>
      <c r="BI94" s="47"/>
      <c r="BJ94" s="47"/>
    </row>
    <row r="95" spans="1:62" x14ac:dyDescent="0.2">
      <c r="A95" s="129"/>
      <c r="B95" s="129"/>
      <c r="C95" s="129"/>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C95" s="128"/>
      <c r="AD95" s="125"/>
      <c r="AE95" s="125"/>
      <c r="AF95" s="129"/>
      <c r="AG95" s="129"/>
      <c r="AH95" s="129"/>
      <c r="AI95" s="129"/>
      <c r="AJ95" s="129"/>
      <c r="AK95" s="129"/>
      <c r="AL95" s="129"/>
      <c r="AM95" s="129"/>
      <c r="AN95" s="47"/>
      <c r="AO95" s="47"/>
      <c r="AP95" s="239"/>
      <c r="AQ95" s="47"/>
      <c r="AR95" s="47"/>
      <c r="AS95" s="47"/>
      <c r="AT95" s="47"/>
      <c r="AU95" s="47"/>
      <c r="AV95" s="47"/>
      <c r="AW95" s="47"/>
      <c r="AX95" s="47"/>
      <c r="AY95" s="47"/>
      <c r="AZ95" s="47"/>
      <c r="BA95" s="47"/>
      <c r="BB95" s="47"/>
      <c r="BC95" s="47"/>
      <c r="BD95" s="47"/>
      <c r="BE95" s="47"/>
      <c r="BF95" s="47"/>
      <c r="BG95" s="47"/>
      <c r="BH95" s="47"/>
      <c r="BI95" s="47"/>
      <c r="BJ95" s="47"/>
    </row>
    <row r="96" spans="1:62" x14ac:dyDescent="0.2">
      <c r="A96" s="129"/>
      <c r="B96" s="129"/>
      <c r="C96" s="129"/>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C96" s="128"/>
      <c r="AD96" s="125"/>
      <c r="AE96" s="125"/>
      <c r="AF96" s="129"/>
      <c r="AG96" s="129"/>
      <c r="AH96" s="129"/>
      <c r="AI96" s="129"/>
      <c r="AJ96" s="129"/>
      <c r="AK96" s="129"/>
      <c r="AL96" s="129"/>
      <c r="AM96" s="129"/>
      <c r="AN96" s="47"/>
      <c r="AO96" s="47"/>
      <c r="AP96" s="239"/>
      <c r="AQ96" s="47"/>
      <c r="AR96" s="47"/>
      <c r="AS96" s="47"/>
      <c r="AT96" s="47"/>
      <c r="AU96" s="47"/>
      <c r="AV96" s="47"/>
      <c r="AW96" s="47"/>
      <c r="AX96" s="47"/>
      <c r="AY96" s="47"/>
      <c r="AZ96" s="47"/>
      <c r="BA96" s="47"/>
      <c r="BB96" s="47"/>
      <c r="BC96" s="47"/>
      <c r="BD96" s="47"/>
      <c r="BE96" s="47"/>
      <c r="BF96" s="47"/>
      <c r="BG96" s="47"/>
      <c r="BH96" s="47"/>
      <c r="BI96" s="47"/>
      <c r="BJ96" s="47"/>
    </row>
    <row r="97" spans="1:62" x14ac:dyDescent="0.2">
      <c r="A97" s="129"/>
      <c r="B97" s="129"/>
      <c r="C97" s="129"/>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C97" s="128"/>
      <c r="AD97" s="125"/>
      <c r="AE97" s="125"/>
      <c r="AF97" s="129"/>
      <c r="AG97" s="129"/>
      <c r="AH97" s="129"/>
      <c r="AI97" s="129"/>
      <c r="AJ97" s="129"/>
      <c r="AK97" s="129"/>
      <c r="AL97" s="129"/>
      <c r="AM97" s="129"/>
      <c r="AN97" s="47"/>
      <c r="AO97" s="47"/>
      <c r="AP97" s="239"/>
      <c r="AQ97" s="47"/>
      <c r="AR97" s="47"/>
      <c r="AS97" s="47"/>
      <c r="AT97" s="47"/>
      <c r="AU97" s="47"/>
      <c r="AV97" s="47"/>
      <c r="AW97" s="47"/>
      <c r="AX97" s="47"/>
      <c r="AY97" s="47"/>
      <c r="AZ97" s="47"/>
      <c r="BA97" s="47"/>
      <c r="BB97" s="47"/>
      <c r="BC97" s="47"/>
      <c r="BD97" s="47"/>
      <c r="BE97" s="47"/>
      <c r="BF97" s="47"/>
      <c r="BG97" s="47"/>
      <c r="BH97" s="47"/>
      <c r="BI97" s="47"/>
      <c r="BJ97" s="47"/>
    </row>
    <row r="98" spans="1:62" x14ac:dyDescent="0.2">
      <c r="A98" s="129"/>
      <c r="B98" s="129"/>
      <c r="C98" s="129"/>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C98" s="128"/>
      <c r="AD98" s="125"/>
      <c r="AE98" s="125"/>
      <c r="AF98" s="129"/>
      <c r="AG98" s="129"/>
      <c r="AH98" s="129"/>
      <c r="AI98" s="129"/>
      <c r="AJ98" s="129"/>
      <c r="AK98" s="129"/>
      <c r="AL98" s="129"/>
      <c r="AM98" s="129"/>
      <c r="AN98" s="47"/>
      <c r="AO98" s="47"/>
      <c r="AP98" s="239"/>
      <c r="AQ98" s="47"/>
      <c r="AR98" s="47"/>
      <c r="AS98" s="47"/>
      <c r="AT98" s="47"/>
      <c r="AU98" s="47"/>
      <c r="AV98" s="47"/>
      <c r="AW98" s="47"/>
      <c r="AX98" s="47"/>
      <c r="AY98" s="47"/>
      <c r="AZ98" s="47"/>
      <c r="BA98" s="47"/>
      <c r="BB98" s="47"/>
      <c r="BC98" s="47"/>
      <c r="BD98" s="47"/>
      <c r="BE98" s="47"/>
      <c r="BF98" s="47"/>
      <c r="BG98" s="47"/>
      <c r="BH98" s="47"/>
      <c r="BI98" s="47"/>
      <c r="BJ98" s="47"/>
    </row>
    <row r="99" spans="1:62" x14ac:dyDescent="0.2">
      <c r="A99" s="129"/>
      <c r="B99" s="129"/>
      <c r="C99" s="129"/>
      <c r="D99" s="125"/>
      <c r="E99" s="125"/>
      <c r="F99" s="125"/>
      <c r="G99" s="125"/>
      <c r="H99" s="125"/>
      <c r="I99" s="125"/>
      <c r="J99" s="125"/>
      <c r="K99" s="125"/>
      <c r="L99" s="125"/>
      <c r="M99" s="125"/>
      <c r="N99" s="125"/>
      <c r="O99" s="125"/>
      <c r="P99" s="125"/>
      <c r="Q99" s="125"/>
      <c r="R99" s="125"/>
      <c r="S99" s="125"/>
      <c r="T99" s="125"/>
      <c r="U99" s="125"/>
      <c r="V99" s="125"/>
      <c r="W99" s="125"/>
      <c r="X99" s="125"/>
      <c r="Y99" s="125"/>
      <c r="Z99" s="125"/>
      <c r="AA99" s="125"/>
      <c r="AC99" s="128"/>
      <c r="AD99" s="125"/>
      <c r="AE99" s="125"/>
      <c r="AF99" s="129"/>
      <c r="AG99" s="129"/>
      <c r="AH99" s="129"/>
      <c r="AI99" s="129"/>
      <c r="AJ99" s="129"/>
      <c r="AK99" s="129"/>
      <c r="AL99" s="129"/>
      <c r="AM99" s="129"/>
      <c r="AN99" s="47"/>
      <c r="AO99" s="47"/>
      <c r="AP99" s="239"/>
      <c r="AQ99" s="47"/>
      <c r="AR99" s="47"/>
      <c r="AS99" s="47"/>
      <c r="AT99" s="47"/>
      <c r="AU99" s="47"/>
      <c r="AV99" s="47"/>
      <c r="AW99" s="47"/>
      <c r="AX99" s="47"/>
      <c r="AY99" s="47"/>
      <c r="AZ99" s="47"/>
      <c r="BA99" s="47"/>
      <c r="BB99" s="47"/>
      <c r="BC99" s="47"/>
      <c r="BD99" s="47"/>
      <c r="BE99" s="47"/>
      <c r="BF99" s="47"/>
      <c r="BG99" s="47"/>
      <c r="BH99" s="47"/>
      <c r="BI99" s="47"/>
      <c r="BJ99" s="47"/>
    </row>
    <row r="100" spans="1:62" x14ac:dyDescent="0.2">
      <c r="A100" s="129"/>
      <c r="B100" s="129"/>
      <c r="C100" s="129"/>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c r="AA100" s="125"/>
      <c r="AC100" s="128"/>
      <c r="AD100" s="125"/>
      <c r="AE100" s="125"/>
      <c r="AF100" s="129"/>
      <c r="AG100" s="129"/>
      <c r="AH100" s="129"/>
      <c r="AI100" s="129"/>
      <c r="AJ100" s="129"/>
      <c r="AK100" s="129"/>
      <c r="AL100" s="129"/>
      <c r="AM100" s="129"/>
      <c r="AN100" s="47"/>
      <c r="AO100" s="47"/>
      <c r="AP100" s="239"/>
      <c r="AQ100" s="47"/>
      <c r="AR100" s="47"/>
      <c r="AS100" s="47"/>
      <c r="AT100" s="47"/>
      <c r="AU100" s="47"/>
      <c r="AV100" s="47"/>
      <c r="AW100" s="47"/>
      <c r="AX100" s="47"/>
      <c r="AY100" s="47"/>
      <c r="AZ100" s="47"/>
      <c r="BA100" s="47"/>
      <c r="BB100" s="47"/>
      <c r="BC100" s="47"/>
      <c r="BD100" s="47"/>
      <c r="BE100" s="47"/>
      <c r="BF100" s="47"/>
      <c r="BG100" s="47"/>
      <c r="BH100" s="47"/>
      <c r="BI100" s="47"/>
      <c r="BJ100" s="47"/>
    </row>
    <row r="101" spans="1:62" x14ac:dyDescent="0.2">
      <c r="A101" s="129"/>
      <c r="B101" s="129"/>
      <c r="C101" s="129"/>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c r="AA101" s="125"/>
      <c r="AC101" s="128"/>
      <c r="AD101" s="125"/>
      <c r="AE101" s="125"/>
      <c r="AF101" s="129"/>
      <c r="AG101" s="129"/>
      <c r="AH101" s="129"/>
      <c r="AI101" s="129"/>
      <c r="AJ101" s="129"/>
      <c r="AK101" s="129"/>
      <c r="AL101" s="129"/>
      <c r="AM101" s="129"/>
      <c r="AN101" s="47"/>
      <c r="AO101" s="47"/>
      <c r="AP101" s="239"/>
      <c r="AQ101" s="47"/>
      <c r="AR101" s="47"/>
      <c r="AS101" s="47"/>
      <c r="AT101" s="47"/>
      <c r="AU101" s="47"/>
      <c r="AV101" s="47"/>
      <c r="AW101" s="47"/>
      <c r="AX101" s="47"/>
      <c r="AY101" s="47"/>
      <c r="AZ101" s="47"/>
      <c r="BA101" s="47"/>
      <c r="BB101" s="47"/>
      <c r="BC101" s="47"/>
      <c r="BD101" s="47"/>
      <c r="BE101" s="47"/>
      <c r="BF101" s="47"/>
      <c r="BG101" s="47"/>
      <c r="BH101" s="47"/>
      <c r="BI101" s="47"/>
      <c r="BJ101" s="47"/>
    </row>
    <row r="102" spans="1:62" x14ac:dyDescent="0.2">
      <c r="A102" s="129"/>
      <c r="B102" s="129"/>
      <c r="C102" s="129"/>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c r="AA102" s="125"/>
      <c r="AC102" s="128"/>
      <c r="AD102" s="125"/>
      <c r="AE102" s="125"/>
      <c r="AF102" s="129"/>
      <c r="AG102" s="129"/>
      <c r="AH102" s="129"/>
      <c r="AI102" s="129"/>
      <c r="AJ102" s="129"/>
      <c r="AK102" s="129"/>
      <c r="AL102" s="129"/>
      <c r="AM102" s="129"/>
      <c r="AN102" s="47"/>
      <c r="AO102" s="47"/>
      <c r="AP102" s="239"/>
      <c r="AQ102" s="47"/>
      <c r="AR102" s="47"/>
      <c r="AS102" s="47"/>
      <c r="AT102" s="47"/>
      <c r="AU102" s="47"/>
      <c r="AV102" s="47"/>
      <c r="AW102" s="47"/>
      <c r="AX102" s="47"/>
      <c r="AY102" s="47"/>
      <c r="AZ102" s="47"/>
      <c r="BA102" s="47"/>
      <c r="BB102" s="47"/>
      <c r="BC102" s="47"/>
      <c r="BD102" s="47"/>
      <c r="BE102" s="47"/>
      <c r="BF102" s="47"/>
      <c r="BG102" s="47"/>
      <c r="BH102" s="47"/>
      <c r="BI102" s="47"/>
      <c r="BJ102" s="47"/>
    </row>
    <row r="103" spans="1:62" x14ac:dyDescent="0.2">
      <c r="A103" s="129"/>
      <c r="B103" s="129"/>
      <c r="C103" s="129"/>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c r="AA103" s="125"/>
      <c r="AC103" s="128"/>
      <c r="AD103" s="125"/>
      <c r="AE103" s="125"/>
      <c r="AF103" s="129"/>
      <c r="AG103" s="129"/>
      <c r="AH103" s="129"/>
      <c r="AI103" s="129"/>
      <c r="AJ103" s="129"/>
      <c r="AK103" s="129"/>
      <c r="AL103" s="129"/>
      <c r="AM103" s="129"/>
      <c r="AN103" s="47"/>
      <c r="AO103" s="47"/>
      <c r="AP103" s="239"/>
      <c r="AQ103" s="47"/>
      <c r="AR103" s="47"/>
      <c r="AS103" s="47"/>
      <c r="AT103" s="47"/>
      <c r="AU103" s="47"/>
      <c r="AV103" s="47"/>
      <c r="AW103" s="47"/>
      <c r="AX103" s="47"/>
      <c r="AY103" s="47"/>
      <c r="AZ103" s="47"/>
      <c r="BA103" s="47"/>
      <c r="BB103" s="47"/>
      <c r="BC103" s="47"/>
      <c r="BD103" s="47"/>
      <c r="BE103" s="47"/>
      <c r="BF103" s="47"/>
      <c r="BG103" s="47"/>
      <c r="BH103" s="47"/>
      <c r="BI103" s="47"/>
      <c r="BJ103" s="47"/>
    </row>
    <row r="104" spans="1:62" x14ac:dyDescent="0.2">
      <c r="A104" s="129"/>
      <c r="B104" s="129"/>
      <c r="C104" s="129"/>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c r="AA104" s="125"/>
      <c r="AC104" s="128"/>
      <c r="AD104" s="125"/>
      <c r="AE104" s="125"/>
      <c r="AF104" s="129"/>
      <c r="AG104" s="129"/>
      <c r="AH104" s="129"/>
      <c r="AI104" s="129"/>
      <c r="AJ104" s="129"/>
      <c r="AK104" s="129"/>
      <c r="AL104" s="129"/>
      <c r="AM104" s="129"/>
      <c r="AN104" s="47"/>
      <c r="AO104" s="47"/>
      <c r="AP104" s="239"/>
      <c r="AQ104" s="47"/>
      <c r="AR104" s="47"/>
      <c r="AS104" s="47"/>
      <c r="AT104" s="47"/>
      <c r="AU104" s="47"/>
      <c r="AV104" s="47"/>
      <c r="AW104" s="47"/>
      <c r="AX104" s="47"/>
      <c r="AY104" s="47"/>
      <c r="AZ104" s="47"/>
      <c r="BA104" s="47"/>
      <c r="BB104" s="47"/>
      <c r="BC104" s="47"/>
      <c r="BD104" s="47"/>
      <c r="BE104" s="47"/>
      <c r="BF104" s="47"/>
      <c r="BG104" s="47"/>
      <c r="BH104" s="47"/>
      <c r="BI104" s="47"/>
      <c r="BJ104" s="47"/>
    </row>
    <row r="105" spans="1:62" x14ac:dyDescent="0.2">
      <c r="A105" s="129"/>
      <c r="B105" s="129"/>
      <c r="C105" s="129"/>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c r="AA105" s="125"/>
      <c r="AC105" s="128"/>
      <c r="AD105" s="125"/>
      <c r="AE105" s="125"/>
      <c r="AF105" s="129"/>
      <c r="AG105" s="129"/>
      <c r="AH105" s="129"/>
      <c r="AI105" s="129"/>
      <c r="AJ105" s="129"/>
      <c r="AK105" s="129"/>
      <c r="AL105" s="129"/>
      <c r="AM105" s="129"/>
      <c r="AN105" s="47"/>
      <c r="AO105" s="47"/>
      <c r="AP105" s="239"/>
      <c r="AQ105" s="47"/>
      <c r="AR105" s="47"/>
      <c r="AS105" s="47"/>
      <c r="AT105" s="47"/>
      <c r="AU105" s="47"/>
      <c r="AV105" s="47"/>
      <c r="AW105" s="47"/>
      <c r="AX105" s="47"/>
      <c r="AY105" s="47"/>
      <c r="AZ105" s="47"/>
      <c r="BA105" s="47"/>
      <c r="BB105" s="47"/>
      <c r="BC105" s="47"/>
      <c r="BD105" s="47"/>
      <c r="BE105" s="47"/>
      <c r="BF105" s="47"/>
      <c r="BG105" s="47"/>
      <c r="BH105" s="47"/>
      <c r="BI105" s="47"/>
      <c r="BJ105" s="47"/>
    </row>
    <row r="106" spans="1:62" x14ac:dyDescent="0.2">
      <c r="A106" s="129"/>
      <c r="B106" s="129"/>
      <c r="C106" s="129"/>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C106" s="128"/>
      <c r="AD106" s="125"/>
      <c r="AE106" s="125"/>
      <c r="AF106" s="129"/>
      <c r="AG106" s="129"/>
      <c r="AH106" s="129"/>
      <c r="AI106" s="129"/>
      <c r="AJ106" s="129"/>
      <c r="AK106" s="129"/>
      <c r="AL106" s="129"/>
      <c r="AM106" s="129"/>
      <c r="AN106" s="47"/>
      <c r="AO106" s="47"/>
      <c r="AP106" s="239"/>
      <c r="AQ106" s="47"/>
      <c r="AR106" s="47"/>
      <c r="AS106" s="47"/>
      <c r="AT106" s="47"/>
      <c r="AU106" s="47"/>
      <c r="AV106" s="47"/>
      <c r="AW106" s="47"/>
      <c r="AX106" s="47"/>
      <c r="AY106" s="47"/>
      <c r="AZ106" s="47"/>
      <c r="BA106" s="47"/>
      <c r="BB106" s="47"/>
      <c r="BC106" s="47"/>
      <c r="BD106" s="47"/>
      <c r="BE106" s="47"/>
      <c r="BF106" s="47"/>
      <c r="BG106" s="47"/>
      <c r="BH106" s="47"/>
      <c r="BI106" s="47"/>
      <c r="BJ106" s="47"/>
    </row>
    <row r="107" spans="1:62" x14ac:dyDescent="0.2">
      <c r="A107" s="129"/>
      <c r="B107" s="129"/>
      <c r="C107" s="129"/>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c r="AA107" s="125"/>
      <c r="AC107" s="128"/>
      <c r="AD107" s="125"/>
      <c r="AE107" s="125"/>
      <c r="AF107" s="129"/>
      <c r="AG107" s="129"/>
      <c r="AH107" s="129"/>
      <c r="AI107" s="129"/>
      <c r="AJ107" s="129"/>
      <c r="AK107" s="129"/>
      <c r="AL107" s="129"/>
      <c r="AM107" s="129"/>
      <c r="AN107" s="47"/>
      <c r="AO107" s="47"/>
      <c r="AP107" s="239"/>
      <c r="AQ107" s="47"/>
      <c r="AR107" s="47"/>
      <c r="AS107" s="47"/>
      <c r="AT107" s="47"/>
      <c r="AU107" s="47"/>
      <c r="AV107" s="47"/>
      <c r="AW107" s="47"/>
      <c r="AX107" s="47"/>
      <c r="AY107" s="47"/>
      <c r="AZ107" s="47"/>
      <c r="BA107" s="47"/>
      <c r="BB107" s="47"/>
      <c r="BC107" s="47"/>
      <c r="BD107" s="47"/>
      <c r="BE107" s="47"/>
      <c r="BF107" s="47"/>
      <c r="BG107" s="47"/>
      <c r="BH107" s="47"/>
      <c r="BI107" s="47"/>
      <c r="BJ107" s="47"/>
    </row>
    <row r="108" spans="1:62" x14ac:dyDescent="0.2">
      <c r="A108" s="129"/>
      <c r="B108" s="129"/>
      <c r="C108" s="129"/>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c r="AA108" s="125"/>
      <c r="AC108" s="128"/>
      <c r="AD108" s="125"/>
      <c r="AE108" s="125"/>
      <c r="AF108" s="129"/>
      <c r="AG108" s="129"/>
      <c r="AH108" s="129"/>
      <c r="AI108" s="129"/>
      <c r="AJ108" s="129"/>
      <c r="AK108" s="129"/>
      <c r="AL108" s="129"/>
      <c r="AM108" s="129"/>
      <c r="AN108" s="47"/>
      <c r="AO108" s="47"/>
      <c r="AP108" s="239"/>
      <c r="AQ108" s="47"/>
      <c r="AR108" s="47"/>
      <c r="AS108" s="47"/>
      <c r="AT108" s="47"/>
      <c r="AU108" s="47"/>
      <c r="AV108" s="47"/>
      <c r="AW108" s="47"/>
      <c r="AX108" s="47"/>
      <c r="AY108" s="47"/>
      <c r="AZ108" s="47"/>
      <c r="BA108" s="47"/>
      <c r="BB108" s="47"/>
      <c r="BC108" s="47"/>
      <c r="BD108" s="47"/>
      <c r="BE108" s="47"/>
      <c r="BF108" s="47"/>
      <c r="BG108" s="47"/>
      <c r="BH108" s="47"/>
      <c r="BI108" s="47"/>
      <c r="BJ108" s="47"/>
    </row>
    <row r="109" spans="1:62" x14ac:dyDescent="0.2">
      <c r="A109" s="129"/>
      <c r="B109" s="129"/>
      <c r="C109" s="129"/>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c r="AA109" s="125"/>
      <c r="AC109" s="128"/>
      <c r="AD109" s="125"/>
      <c r="AE109" s="125"/>
      <c r="AF109" s="129"/>
      <c r="AG109" s="129"/>
      <c r="AH109" s="129"/>
      <c r="AI109" s="129"/>
      <c r="AJ109" s="129"/>
      <c r="AK109" s="129"/>
      <c r="AL109" s="129"/>
      <c r="AM109" s="129"/>
      <c r="AN109" s="47"/>
      <c r="AO109" s="47"/>
      <c r="AP109" s="239"/>
      <c r="AQ109" s="47"/>
      <c r="AR109" s="47"/>
      <c r="AS109" s="47"/>
      <c r="AT109" s="47"/>
      <c r="AU109" s="47"/>
      <c r="AV109" s="47"/>
      <c r="AW109" s="47"/>
      <c r="AX109" s="47"/>
      <c r="AY109" s="47"/>
      <c r="AZ109" s="47"/>
      <c r="BA109" s="47"/>
      <c r="BB109" s="47"/>
      <c r="BC109" s="47"/>
      <c r="BD109" s="47"/>
      <c r="BE109" s="47"/>
      <c r="BF109" s="47"/>
      <c r="BG109" s="47"/>
      <c r="BH109" s="47"/>
      <c r="BI109" s="47"/>
      <c r="BJ109" s="47"/>
    </row>
    <row r="110" spans="1:62" x14ac:dyDescent="0.2">
      <c r="A110" s="129"/>
      <c r="B110" s="129"/>
      <c r="C110" s="129"/>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c r="AA110" s="125"/>
      <c r="AM110" s="129"/>
      <c r="AN110" s="47"/>
      <c r="AO110" s="47"/>
      <c r="AP110" s="239"/>
      <c r="AQ110" s="47"/>
      <c r="AR110" s="47"/>
      <c r="AS110" s="47"/>
      <c r="AT110" s="47"/>
      <c r="AU110" s="47"/>
      <c r="AV110" s="47"/>
      <c r="AW110" s="47"/>
      <c r="AX110" s="47"/>
      <c r="AY110" s="47"/>
      <c r="AZ110" s="47"/>
      <c r="BA110" s="47"/>
      <c r="BB110" s="47"/>
      <c r="BC110" s="47"/>
      <c r="BD110" s="47"/>
      <c r="BE110" s="47"/>
      <c r="BF110" s="47"/>
      <c r="BG110" s="47"/>
      <c r="BH110" s="47"/>
      <c r="BI110" s="47"/>
      <c r="BJ110" s="47"/>
    </row>
  </sheetData>
  <customSheetViews>
    <customSheetView guid="{238A3432-2201-4481-B06C-00480E9813A7}" showRuler="0" topLeftCell="A18">
      <selection activeCell="E52" sqref="E52:F52"/>
      <pageMargins left="0.75" right="0.75" top="1" bottom="1" header="0.5" footer="0.5"/>
      <pageSetup orientation="portrait" horizontalDpi="300" verticalDpi="300" r:id="rId1"/>
      <headerFooter alignWithMargins="0"/>
    </customSheetView>
    <customSheetView guid="{A0B83632-25B5-FE44-8A66-2590D6BCDFDC}" scale="130" hiddenColumns="1">
      <pane xSplit="1" ySplit="3" topLeftCell="B52" activePane="bottomRight" state="frozen"/>
      <selection pane="bottomRight" activeCell="B63" sqref="B63"/>
      <pageMargins left="0.75" right="0.75" top="1" bottom="1" header="0.5" footer="0.5"/>
      <pageSetup orientation="portrait" horizontalDpi="300" verticalDpi="300" r:id="rId2"/>
      <headerFooter alignWithMargins="0"/>
    </customSheetView>
  </customSheetViews>
  <mergeCells count="8">
    <mergeCell ref="A2:O2"/>
    <mergeCell ref="B1:O1"/>
    <mergeCell ref="AK25:AL25"/>
    <mergeCell ref="AE6:AF6"/>
    <mergeCell ref="AG6:AH6"/>
    <mergeCell ref="AG25:AH25"/>
    <mergeCell ref="AD25:AF25"/>
    <mergeCell ref="AI25:AJ25"/>
  </mergeCells>
  <phoneticPr fontId="0" type="noConversion"/>
  <conditionalFormatting sqref="D15 G15 J15 M15 P15 S15 V15 Y15">
    <cfRule type="expression" dxfId="52" priority="2" stopIfTrue="1">
      <formula>$D$7=0</formula>
    </cfRule>
    <cfRule type="cellIs" dxfId="51" priority="56" stopIfTrue="1" operator="lessThan">
      <formula>var_operatingReserves</formula>
    </cfRule>
    <cfRule type="cellIs" dxfId="50" priority="57" stopIfTrue="1" operator="greaterThanOrEqual">
      <formula>var_operatingReserves</formula>
    </cfRule>
  </conditionalFormatting>
  <conditionalFormatting sqref="D42 G42 J42 M42 P42 S42 V42 Y42">
    <cfRule type="expression" priority="1" stopIfTrue="1">
      <formula>SUM(D29:D42)=0</formula>
    </cfRule>
  </conditionalFormatting>
  <dataValidations count="3">
    <dataValidation type="list" allowBlank="1" showInputMessage="1" showErrorMessage="1" sqref="C14" xr:uid="{FB96F6BF-7EF9-DC4A-B6B3-7F13BDB18AEA}">
      <formula1>"OFF, ON"</formula1>
    </dataValidation>
    <dataValidation type="decimal" operator="lessThanOrEqual" allowBlank="1" showInputMessage="1" showErrorMessage="1" errorTitle="Input error" error="Enter vacancy, concessions, etc. as negative numbers" sqref="D23" xr:uid="{A1B2C3D4-0001-4000-8000-000000000001}">
      <formula1>0</formula1>
    </dataValidation>
    <dataValidation type="decimal" operator="lessThanOrEqual" allowBlank="1" showInputMessage="1" showErrorMessage="1" errorTitle="Input eror" error="Enter vacancy, concessions, etc. as negative numbers" sqref="D22" xr:uid="{76FB2CD9-25B5-DB45-8873-EAD299B1D5F8}">
      <formula1>0</formula1>
    </dataValidation>
  </dataValidations>
  <pageMargins left="0.75" right="0.75" top="1" bottom="1" header="0.5" footer="0.5"/>
  <pageSetup orientation="portrait" horizontalDpi="300" verticalDpi="300" r:id="rId3"/>
  <headerFooter alignWithMargins="0"/>
  <cellWatches>
    <cellWatch r="G9"/>
  </cellWatches>
  <ignoredErrors>
    <ignoredError sqref="P9 G37 G13:M13 G8:M9 F43:O43 J37 H7:I7 K7:L7 G11:M11 H10:M10 O37 L37:M37" formula="1"/>
  </ignoredErrors>
  <legacyDrawing r:id="rId4"/>
  <extLst>
    <ext xmlns:x14="http://schemas.microsoft.com/office/spreadsheetml/2009/9/main" uri="{78C0D931-6437-407d-A8EE-F0AAD7539E65}">
      <x14:conditionalFormattings>
        <x14:conditionalFormatting xmlns:xm="http://schemas.microsoft.com/office/excel/2006/main">
          <x14:cfRule type="cellIs" priority="173" stopIfTrue="1" operator="between" id="{6DE70850-29B4-2C43-920A-D65B8E6464E9}">
            <xm:f>Variables!$C$13</xm:f>
            <xm:f>1</xm:f>
            <x14:dxf>
              <fill>
                <patternFill>
                  <bgColor rgb="FFFFC000"/>
                </patternFill>
              </fill>
            </x14:dxf>
          </x14:cfRule>
          <x14:cfRule type="cellIs" priority="174" stopIfTrue="1" operator="greaterThanOrEqual" id="{918D9585-E75C-FE4F-85AB-91A0B9076B4D}">
            <xm:f>Variables!$C$13</xm:f>
            <x14:dxf>
              <fill>
                <patternFill>
                  <bgColor indexed="11"/>
                </patternFill>
              </fill>
            </x14:dxf>
          </x14:cfRule>
          <xm:sqref>D13 G13 J13 M13 P13 S13 V13 Y13</xm:sqref>
        </x14:conditionalFormatting>
        <x14:conditionalFormatting xmlns:xm="http://schemas.microsoft.com/office/excel/2006/main">
          <x14:cfRule type="cellIs" priority="189" stopIfTrue="1" operator="greaterThanOrEqual" id="{DA67B0C0-D4AB-3245-9A70-27393C128128}">
            <xm:f>Variables!$C$10</xm:f>
            <x14:dxf>
              <fill>
                <patternFill>
                  <bgColor indexed="11"/>
                </patternFill>
              </fill>
            </x14:dxf>
          </x14:cfRule>
          <xm:sqref>D42 G42 J42 M42 P42 S42 V42 Y42</xm:sqref>
        </x14:conditionalFormatting>
        <x14:conditionalFormatting xmlns:xm="http://schemas.microsoft.com/office/excel/2006/main">
          <x14:cfRule type="cellIs" priority="169" stopIfTrue="1" operator="lessThan" id="{93FCDC2A-4E1A-DC44-BAAD-04097E119A3F}">
            <xm:f>Variables!$C$10</xm:f>
            <x14:dxf>
              <fill>
                <patternFill>
                  <bgColor rgb="FFFFC000"/>
                </patternFill>
              </fill>
            </x14:dxf>
          </x14:cfRule>
          <xm:sqref>D42 G42 J42 M42</xm:sqref>
        </x14:conditionalFormatting>
        <x14:conditionalFormatting xmlns:xm="http://schemas.microsoft.com/office/excel/2006/main">
          <x14:cfRule type="cellIs" priority="153" stopIfTrue="1" operator="between" id="{2368DBDB-8C1D-C64E-BFE6-64AE236AD1C7}">
            <xm:f>Variables!$C$4</xm:f>
            <xm:f>0.01</xm:f>
            <x14:dxf>
              <fill>
                <patternFill>
                  <bgColor indexed="29"/>
                </patternFill>
              </fill>
            </x14:dxf>
          </x14:cfRule>
          <x14:cfRule type="cellIs" priority="154" stopIfTrue="1" operator="greaterThanOrEqual" id="{1A9F3825-D2FC-234A-AAA5-DC6CDDB8C28D}">
            <xm:f>Variables!$C$4</xm:f>
            <x14:dxf>
              <fill>
                <patternFill>
                  <bgColor indexed="11"/>
                </patternFill>
              </fill>
            </x14:dxf>
          </x14:cfRule>
          <xm:sqref>D57 G57 J57 M57 P57 S57 V57 Y57</xm:sqref>
        </x14:conditionalFormatting>
        <x14:conditionalFormatting xmlns:xm="http://schemas.microsoft.com/office/excel/2006/main">
          <x14:cfRule type="cellIs" priority="137" stopIfTrue="1" operator="greaterThanOrEqual" id="{1CC33C2A-F955-3B4D-8B03-55CAEC383A04}">
            <xm:f>Variables!$C$7</xm:f>
            <x14:dxf>
              <fill>
                <patternFill>
                  <bgColor indexed="11"/>
                </patternFill>
              </fill>
            </x14:dxf>
          </x14:cfRule>
          <x14:cfRule type="cellIs" priority="138" stopIfTrue="1" operator="between" id="{275BDFD9-0A93-0042-80FD-47214056786B}">
            <xm:f>Variables!$C$7</xm:f>
            <xm:f>0.0001</xm:f>
            <x14:dxf>
              <fill>
                <patternFill>
                  <bgColor indexed="29"/>
                </patternFill>
              </fill>
            </x14:dxf>
          </x14:cfRule>
          <xm:sqref>F47 I47 L47 O47 R47 U47 X47 AA47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outlinePr summaryBelow="0" summaryRight="0"/>
  </sheetPr>
  <dimension ref="A1:BD104"/>
  <sheetViews>
    <sheetView showGridLines="0" zoomScaleNormal="100" workbookViewId="0"/>
  </sheetViews>
  <sheetFormatPr baseColWidth="10" defaultColWidth="9" defaultRowHeight="16" customHeight="1" outlineLevelRow="1" x14ac:dyDescent="0.2"/>
  <cols>
    <col min="1" max="1" width="3.42578125" style="54" customWidth="1"/>
    <col min="2" max="2" width="42.5703125" style="10" customWidth="1"/>
    <col min="3" max="3" width="10" style="94" customWidth="1"/>
    <col min="4" max="4" width="18.5703125" style="92" customWidth="1"/>
    <col min="5" max="5" width="3" style="10" customWidth="1"/>
    <col min="6" max="6" width="21.42578125" style="10" customWidth="1"/>
    <col min="7" max="7" width="5.7109375" style="54" customWidth="1"/>
    <col min="8" max="8" width="2.28515625" style="54" customWidth="1"/>
    <col min="9" max="9" width="16" style="54" customWidth="1"/>
    <col min="10" max="10" width="14.85546875" style="54" customWidth="1"/>
    <col min="11" max="11" width="13.7109375" style="54" customWidth="1"/>
    <col min="12" max="12" width="14.28515625" style="54" customWidth="1"/>
    <col min="13" max="13" width="20" style="54" customWidth="1"/>
    <col min="14" max="16" width="9" style="54" customWidth="1"/>
    <col min="17" max="17" width="9" style="54"/>
    <col min="18" max="18" width="11.85546875" style="54" customWidth="1"/>
    <col min="19" max="20" width="9" style="54" customWidth="1"/>
    <col min="21" max="21" width="30.7109375" style="10" customWidth="1"/>
    <col min="22" max="22" width="10.42578125" style="10" customWidth="1"/>
    <col min="23" max="23" width="27.7109375" style="10" customWidth="1"/>
    <col min="24" max="28" width="9" style="10" customWidth="1"/>
    <col min="29" max="30" width="9" style="10"/>
    <col min="31" max="31" width="9.140625" style="10" customWidth="1"/>
    <col min="32" max="54" width="9" style="10"/>
    <col min="55" max="55" width="24.140625" style="10" bestFit="1" customWidth="1"/>
    <col min="56" max="56" width="9.85546875" style="10" bestFit="1" customWidth="1"/>
    <col min="57" max="16384" width="9" style="10"/>
  </cols>
  <sheetData>
    <row r="1" spans="1:56" s="50" customFormat="1" ht="24" customHeight="1" x14ac:dyDescent="0.2">
      <c r="B1" s="1179" t="s">
        <v>126</v>
      </c>
      <c r="C1" s="1179"/>
      <c r="D1" s="1179"/>
      <c r="E1" s="1179"/>
      <c r="F1" s="1179"/>
      <c r="G1" s="1179"/>
      <c r="H1" s="47"/>
      <c r="I1" s="47"/>
      <c r="J1" s="48"/>
      <c r="K1" s="48"/>
      <c r="L1" s="48"/>
      <c r="M1" s="48"/>
      <c r="N1" s="48"/>
      <c r="O1" s="48"/>
      <c r="P1" s="48"/>
      <c r="Q1" s="49"/>
      <c r="R1" s="49"/>
      <c r="S1" s="49"/>
      <c r="T1" s="49"/>
      <c r="U1" s="49"/>
      <c r="V1" s="49"/>
      <c r="W1" s="49"/>
      <c r="X1" s="49"/>
      <c r="Y1" s="49"/>
      <c r="Z1" s="49"/>
      <c r="AA1" s="49"/>
      <c r="AB1" s="49"/>
      <c r="AC1" s="49"/>
      <c r="AD1" s="49"/>
      <c r="AE1" s="49"/>
      <c r="AF1" s="49"/>
      <c r="AG1" s="49"/>
      <c r="AH1" s="49"/>
      <c r="AI1" s="49"/>
      <c r="AJ1" s="49"/>
      <c r="AK1" s="49"/>
      <c r="AL1" s="49"/>
      <c r="AM1" s="49"/>
      <c r="AN1" s="49"/>
    </row>
    <row r="2" spans="1:56" s="49" customFormat="1" ht="16" customHeight="1" thickBot="1" x14ac:dyDescent="0.25">
      <c r="A2" s="3"/>
      <c r="B2" s="51"/>
      <c r="C2" s="51"/>
      <c r="D2" s="51"/>
      <c r="E2" s="51"/>
      <c r="F2" s="51"/>
      <c r="G2" s="51"/>
      <c r="H2" s="51"/>
      <c r="I2" s="51"/>
      <c r="J2" s="52"/>
      <c r="K2" s="52"/>
      <c r="L2" s="52"/>
      <c r="M2" s="52"/>
    </row>
    <row r="3" spans="1:56" s="49" customFormat="1" ht="16" customHeight="1" x14ac:dyDescent="0.2">
      <c r="A3" s="53"/>
      <c r="B3" s="530" t="s">
        <v>81</v>
      </c>
      <c r="C3" s="719"/>
      <c r="D3" s="704"/>
      <c r="E3" s="54"/>
      <c r="F3" s="135" t="s">
        <v>561</v>
      </c>
      <c r="G3" s="55">
        <v>1</v>
      </c>
      <c r="I3" s="56" t="s">
        <v>178</v>
      </c>
      <c r="J3" s="54"/>
      <c r="K3" s="54"/>
      <c r="L3" s="56"/>
      <c r="M3" s="56"/>
    </row>
    <row r="4" spans="1:56" ht="16" customHeight="1" x14ac:dyDescent="0.2">
      <c r="A4" s="57"/>
      <c r="B4" s="356" t="s">
        <v>23</v>
      </c>
      <c r="C4" s="720"/>
      <c r="D4" s="705">
        <f>CHOOSE(Summary!$G$3,Scenarios!D8,Scenarios!G8,Scenarios!J8,Scenarios!M8,Scenarios!P8,Scenarios!S8,Scenarios!V8,Scenarios!Y8)</f>
        <v>0</v>
      </c>
      <c r="E4" s="54"/>
      <c r="G4" s="10"/>
      <c r="I4" s="56" t="s">
        <v>179</v>
      </c>
      <c r="L4" s="59"/>
      <c r="M4" s="10"/>
      <c r="N4" s="57"/>
      <c r="O4" s="57"/>
      <c r="P4" s="57"/>
      <c r="Q4" s="57"/>
      <c r="R4" s="57"/>
      <c r="S4" s="57"/>
      <c r="T4" s="57"/>
      <c r="U4" s="60"/>
      <c r="V4" s="60"/>
      <c r="W4" s="60"/>
    </row>
    <row r="5" spans="1:56" ht="16" customHeight="1" x14ac:dyDescent="0.2">
      <c r="A5" s="57"/>
      <c r="B5" s="58" t="s">
        <v>88</v>
      </c>
      <c r="C5" s="93"/>
      <c r="D5" s="706">
        <f>CHOOSE(Summary!$G$3,Scenarios!D6,Scenarios!G6,Scenarios!J6,Scenarios!M6,Scenarios!P6,Scenarios!S6,Scenarios!V6,Scenarios!Y6)</f>
        <v>0</v>
      </c>
      <c r="E5" s="54"/>
      <c r="F5" s="54"/>
      <c r="I5" s="56" t="s">
        <v>180</v>
      </c>
      <c r="N5" s="62"/>
      <c r="O5" s="57"/>
      <c r="P5" s="57"/>
      <c r="Q5" s="57"/>
      <c r="R5" s="63"/>
      <c r="S5" s="57"/>
      <c r="T5" s="57"/>
      <c r="U5" s="60"/>
      <c r="V5" s="60"/>
      <c r="W5" s="60"/>
    </row>
    <row r="6" spans="1:56" ht="16" customHeight="1" x14ac:dyDescent="0.2">
      <c r="A6" s="57"/>
      <c r="B6" s="58" t="s">
        <v>12</v>
      </c>
      <c r="C6" s="93"/>
      <c r="D6" s="706">
        <f>CHOOSE(Summary!$G$3,Scenarios!D7,Scenarios!G7,Scenarios!J7,Scenarios!M7,Scenarios!P7,Scenarios!S7,Scenarios!V7,Scenarios!Y7)</f>
        <v>0</v>
      </c>
      <c r="E6" s="54"/>
      <c r="F6" s="54"/>
      <c r="I6" s="56" t="s">
        <v>181</v>
      </c>
      <c r="J6" s="64"/>
      <c r="O6" s="57"/>
      <c r="P6" s="57"/>
      <c r="Q6" s="57"/>
      <c r="R6" s="57"/>
      <c r="S6" s="57"/>
      <c r="T6" s="65"/>
      <c r="W6" s="66"/>
      <c r="Z6" s="67"/>
    </row>
    <row r="7" spans="1:56" ht="16" customHeight="1" x14ac:dyDescent="0.2">
      <c r="A7" s="57"/>
      <c r="B7" s="68" t="s">
        <v>36</v>
      </c>
      <c r="C7" s="93"/>
      <c r="D7" s="706">
        <f>IF(D4=0,0,D6/D4)</f>
        <v>0</v>
      </c>
      <c r="E7" s="54"/>
      <c r="F7" s="56"/>
      <c r="G7" s="56"/>
      <c r="H7" s="56"/>
      <c r="I7" s="56"/>
      <c r="J7" s="56"/>
      <c r="K7" s="56"/>
      <c r="L7" s="64"/>
      <c r="N7" s="62"/>
      <c r="O7" s="57"/>
      <c r="P7" s="57"/>
      <c r="Q7" s="57"/>
      <c r="R7" s="57"/>
      <c r="S7" s="57"/>
      <c r="T7" s="65"/>
      <c r="W7" s="61"/>
      <c r="Z7" s="67"/>
    </row>
    <row r="8" spans="1:56" ht="16" customHeight="1" x14ac:dyDescent="0.2">
      <c r="A8" s="57"/>
      <c r="B8" s="58" t="s">
        <v>342</v>
      </c>
      <c r="C8" s="72">
        <v>0.01</v>
      </c>
      <c r="D8" s="706">
        <f>D6*C8</f>
        <v>0</v>
      </c>
      <c r="E8" s="54"/>
      <c r="F8" s="830"/>
      <c r="G8" s="830"/>
      <c r="H8" s="56"/>
      <c r="I8" s="830"/>
      <c r="J8" s="56"/>
      <c r="K8" s="56"/>
      <c r="N8" s="62"/>
      <c r="O8" s="57"/>
      <c r="P8" s="57"/>
      <c r="Q8" s="57"/>
      <c r="R8" s="57"/>
      <c r="S8" s="57"/>
      <c r="T8" s="65"/>
      <c r="W8" s="61"/>
      <c r="Z8" s="67"/>
    </row>
    <row r="9" spans="1:56" ht="16" customHeight="1" x14ac:dyDescent="0.2">
      <c r="A9" s="57"/>
      <c r="B9" s="58" t="s">
        <v>16</v>
      </c>
      <c r="C9" s="342">
        <f>CHOOSE(Summary!$G$3,Scenarios!D10,Scenarios!G10,Scenarios!J10,Scenarios!M10,Scenarios!P10,Scenarios!S10,Scenarios!V10,Scenarios!Y10)</f>
        <v>0.25</v>
      </c>
      <c r="D9" s="706">
        <f>IF(D5=0,0,(IF(Loans!C3="Yes",(SUM(Loans!C7:C9)-Loans!E10),(D6*C9))))</f>
        <v>0</v>
      </c>
      <c r="E9" s="54"/>
      <c r="F9" s="830"/>
      <c r="G9" s="830"/>
      <c r="H9" s="56"/>
      <c r="I9" s="830"/>
      <c r="J9" s="56"/>
      <c r="K9" s="56"/>
      <c r="N9" s="62"/>
      <c r="O9" s="57"/>
      <c r="P9" s="57"/>
      <c r="Q9" s="57"/>
      <c r="R9" s="57"/>
      <c r="S9" s="57"/>
      <c r="T9" s="65"/>
      <c r="W9" s="61"/>
      <c r="Z9" s="67"/>
    </row>
    <row r="10" spans="1:56" ht="16" customHeight="1" x14ac:dyDescent="0.2">
      <c r="A10" s="57"/>
      <c r="B10" s="71" t="s">
        <v>564</v>
      </c>
      <c r="C10" s="72"/>
      <c r="D10" s="706">
        <f>IF(D5=0,0,(IF(Loans!C3="Yes",Loans!E10,D6-D9)))</f>
        <v>0</v>
      </c>
      <c r="E10" s="72"/>
      <c r="F10" s="830" t="str">
        <f>About!E14</f>
        <v/>
      </c>
      <c r="G10" s="56"/>
      <c r="H10" s="56"/>
      <c r="I10" s="56"/>
      <c r="J10" s="56"/>
      <c r="K10" s="56"/>
      <c r="N10" s="62"/>
      <c r="O10" s="57"/>
      <c r="P10" s="57"/>
      <c r="Q10" s="57"/>
      <c r="R10" s="57"/>
      <c r="S10" s="57"/>
      <c r="T10" s="65"/>
      <c r="W10" s="61"/>
      <c r="Z10" s="67"/>
    </row>
    <row r="11" spans="1:56" ht="16" customHeight="1" x14ac:dyDescent="0.2">
      <c r="A11" s="57"/>
      <c r="B11" s="68" t="s">
        <v>13</v>
      </c>
      <c r="C11" s="93"/>
      <c r="D11" s="338">
        <f>CHOOSE(Summary!$G$3,Scenarios!D53,Scenarios!G53,Scenarios!J53,Scenarios!M53,Scenarios!P53,Scenarios!S53,Scenarios!V53,Scenarios!Y53)</f>
        <v>0.05</v>
      </c>
      <c r="E11" s="72"/>
      <c r="F11" s="830"/>
      <c r="G11" s="56"/>
      <c r="H11" s="56"/>
      <c r="I11" s="56"/>
      <c r="J11" s="56"/>
      <c r="K11" s="56"/>
      <c r="N11" s="62"/>
      <c r="O11" s="57"/>
      <c r="P11" s="57"/>
      <c r="Q11" s="57"/>
      <c r="R11" s="57"/>
      <c r="S11" s="57"/>
      <c r="T11" s="65"/>
      <c r="W11" s="61"/>
      <c r="Z11" s="67"/>
    </row>
    <row r="12" spans="1:56" ht="16" customHeight="1" x14ac:dyDescent="0.2">
      <c r="A12" s="57"/>
      <c r="B12" s="68" t="s">
        <v>356</v>
      </c>
      <c r="C12" s="93"/>
      <c r="D12" s="707">
        <f>CHOOSE(Summary!$G$3,Scenarios!D54,Scenarios!G54,Scenarios!J54,Scenarios!M54,Scenarios!P54,Scenarios!S54,Scenarios!V54,Scenarios!Y54)</f>
        <v>30</v>
      </c>
      <c r="E12" s="54"/>
      <c r="F12" s="830"/>
      <c r="G12" s="56"/>
      <c r="H12" s="56"/>
      <c r="I12" s="56"/>
      <c r="J12" s="56"/>
      <c r="K12" s="56"/>
      <c r="N12" s="62"/>
      <c r="O12" s="57"/>
      <c r="P12" s="57"/>
      <c r="Q12" s="57"/>
      <c r="R12" s="57"/>
      <c r="S12" s="57"/>
      <c r="T12" s="57"/>
      <c r="W12" s="60"/>
      <c r="Z12" s="67"/>
    </row>
    <row r="13" spans="1:56" ht="16" customHeight="1" x14ac:dyDescent="0.2">
      <c r="A13" s="57"/>
      <c r="B13" s="68" t="s">
        <v>405</v>
      </c>
      <c r="C13" s="93"/>
      <c r="D13" s="707">
        <f>CHOOSE(Summary!$G$3,Scenarios!D12,Scenarios!G12,Scenarios!J12,Scenarios!M12,Scenarios!P12,Scenarios!S12,Scenarios!V12,Scenarios!Y12)</f>
        <v>0</v>
      </c>
      <c r="E13" s="54"/>
      <c r="F13" s="830"/>
      <c r="G13" s="56"/>
      <c r="H13" s="56"/>
      <c r="I13" s="56"/>
      <c r="J13" s="56"/>
      <c r="K13" s="56"/>
      <c r="N13" s="62"/>
      <c r="O13" s="57"/>
      <c r="P13" s="57"/>
      <c r="Q13" s="57"/>
      <c r="R13" s="57"/>
      <c r="S13" s="57"/>
      <c r="T13" s="57"/>
      <c r="W13" s="60"/>
      <c r="Z13" s="67"/>
    </row>
    <row r="14" spans="1:56" ht="16" customHeight="1" x14ac:dyDescent="0.2">
      <c r="A14" s="57"/>
      <c r="B14" s="71" t="s">
        <v>565</v>
      </c>
      <c r="C14" s="93"/>
      <c r="D14" s="708">
        <v>0</v>
      </c>
      <c r="E14" s="54"/>
      <c r="F14" s="830"/>
      <c r="G14" s="56"/>
      <c r="H14" s="56"/>
      <c r="I14" s="56"/>
      <c r="J14" s="56"/>
      <c r="K14" s="56"/>
      <c r="N14" s="62"/>
      <c r="O14" s="57"/>
      <c r="P14" s="57"/>
      <c r="Q14" s="57"/>
      <c r="R14" s="57"/>
      <c r="S14" s="57"/>
      <c r="T14" s="57"/>
      <c r="W14" s="60"/>
    </row>
    <row r="15" spans="1:56" ht="16" customHeight="1" x14ac:dyDescent="0.2">
      <c r="A15" s="57"/>
      <c r="B15" s="68" t="s">
        <v>13</v>
      </c>
      <c r="C15" s="93"/>
      <c r="D15" s="709">
        <f>IF(D14&gt;0,D11,0)</f>
        <v>0</v>
      </c>
      <c r="E15" s="54"/>
      <c r="F15" s="830"/>
      <c r="G15" s="56"/>
      <c r="H15" s="56"/>
      <c r="I15" s="56"/>
      <c r="J15" s="56"/>
      <c r="K15" s="56"/>
      <c r="N15" s="62"/>
      <c r="O15" s="57"/>
      <c r="P15" s="57"/>
      <c r="Q15" s="57"/>
      <c r="R15" s="57"/>
      <c r="S15" s="57"/>
      <c r="T15" s="57"/>
      <c r="W15" s="60"/>
      <c r="BC15" s="73"/>
      <c r="BD15" s="74"/>
    </row>
    <row r="16" spans="1:56" ht="16" customHeight="1" x14ac:dyDescent="0.2">
      <c r="A16" s="57"/>
      <c r="B16" s="68" t="s">
        <v>356</v>
      </c>
      <c r="C16" s="93"/>
      <c r="D16" s="710">
        <f>IF(D14&gt;0,D12,0)</f>
        <v>0</v>
      </c>
      <c r="E16" s="54"/>
      <c r="F16" s="830"/>
      <c r="G16" s="56"/>
      <c r="H16" s="56"/>
      <c r="I16" s="56"/>
      <c r="J16" s="56"/>
      <c r="K16" s="56"/>
      <c r="M16" s="62"/>
      <c r="N16" s="62"/>
      <c r="O16" s="57"/>
      <c r="P16" s="57"/>
      <c r="Q16" s="57"/>
      <c r="R16" s="57"/>
      <c r="S16" s="57"/>
      <c r="T16" s="57"/>
      <c r="W16" s="60"/>
    </row>
    <row r="17" spans="1:23" ht="16" customHeight="1" x14ac:dyDescent="0.2">
      <c r="A17" s="57"/>
      <c r="B17" s="68" t="s">
        <v>405</v>
      </c>
      <c r="C17" s="93"/>
      <c r="D17" s="711">
        <v>0</v>
      </c>
      <c r="E17" s="54"/>
      <c r="F17" s="830"/>
      <c r="G17" s="56"/>
      <c r="H17" s="56"/>
      <c r="I17" s="56"/>
      <c r="J17" s="56"/>
      <c r="K17" s="56"/>
      <c r="M17" s="62"/>
      <c r="N17" s="62"/>
      <c r="O17" s="57"/>
      <c r="P17" s="57"/>
      <c r="Q17" s="57"/>
      <c r="R17" s="57"/>
      <c r="S17" s="57"/>
      <c r="T17" s="57"/>
      <c r="W17" s="60"/>
    </row>
    <row r="18" spans="1:23" ht="16" customHeight="1" x14ac:dyDescent="0.2">
      <c r="A18" s="57"/>
      <c r="B18" s="58" t="s">
        <v>82</v>
      </c>
      <c r="C18" s="78">
        <f>IF(D6=0,0,D18/D6)</f>
        <v>0</v>
      </c>
      <c r="D18" s="706">
        <f>IF(D6=0,0,'Acquisition Costs'!D51)</f>
        <v>0</v>
      </c>
      <c r="E18" s="54"/>
      <c r="F18" s="830"/>
      <c r="G18" s="56"/>
      <c r="H18" s="56"/>
      <c r="I18" s="56"/>
      <c r="J18" s="56"/>
      <c r="K18" s="56"/>
      <c r="M18" s="62"/>
      <c r="N18" s="62"/>
      <c r="O18" s="57"/>
      <c r="P18" s="57"/>
      <c r="Q18" s="57"/>
      <c r="R18" s="57"/>
      <c r="S18" s="57"/>
      <c r="T18" s="57"/>
      <c r="W18" s="60"/>
    </row>
    <row r="19" spans="1:23" ht="16" customHeight="1" x14ac:dyDescent="0.2">
      <c r="A19" s="57"/>
      <c r="B19" s="58" t="s">
        <v>94</v>
      </c>
      <c r="C19" s="721">
        <v>0.02</v>
      </c>
      <c r="D19" s="706">
        <f>C19*D6</f>
        <v>0</v>
      </c>
      <c r="E19" s="78"/>
      <c r="F19" s="830"/>
      <c r="G19" s="56"/>
      <c r="H19" s="56"/>
      <c r="I19" s="56"/>
      <c r="J19" s="56"/>
      <c r="K19" s="56"/>
      <c r="M19" s="62"/>
      <c r="N19" s="62"/>
      <c r="O19" s="57"/>
      <c r="P19" s="57"/>
      <c r="Q19" s="57"/>
      <c r="R19" s="57"/>
      <c r="S19" s="57"/>
      <c r="T19" s="57"/>
      <c r="W19" s="60"/>
    </row>
    <row r="20" spans="1:23" ht="16" customHeight="1" x14ac:dyDescent="0.2">
      <c r="A20" s="57"/>
      <c r="B20" s="58" t="s">
        <v>401</v>
      </c>
      <c r="C20" s="83"/>
      <c r="D20" s="706">
        <f>CHOOSE(Summary!$G$3,Scenarios!D14,Scenarios!G14,Scenarios!J14,Scenarios!M14,Scenarios!P14,Scenarios!S14,Scenarios!V14,Scenarios!Y14)</f>
        <v>0</v>
      </c>
      <c r="E20" s="81"/>
      <c r="F20" s="830"/>
      <c r="G20" s="56"/>
      <c r="H20" s="56"/>
      <c r="I20" s="56"/>
      <c r="J20" s="56"/>
      <c r="K20" s="56"/>
      <c r="M20" s="62"/>
      <c r="N20" s="62"/>
      <c r="O20" s="57"/>
      <c r="P20" s="57"/>
      <c r="Q20" s="57"/>
      <c r="R20" s="57"/>
      <c r="S20" s="57"/>
      <c r="T20" s="57"/>
      <c r="W20" s="60"/>
    </row>
    <row r="21" spans="1:23" ht="16" customHeight="1" x14ac:dyDescent="0.2">
      <c r="A21" s="57"/>
      <c r="B21" s="58" t="s">
        <v>449</v>
      </c>
      <c r="C21" s="83"/>
      <c r="D21" s="706">
        <f>CHOOSE(Summary!$G$3,Scenarios!D15,Scenarios!G15,Scenarios!J15,Scenarios!M15,Scenarios!P15,Scenarios!S15,Scenarios!V15,Scenarios!Y15)</f>
        <v>0</v>
      </c>
      <c r="E21" s="83"/>
      <c r="F21" s="830" t="str">
        <f>About!E12</f>
        <v/>
      </c>
      <c r="G21" s="56"/>
      <c r="H21" s="56"/>
      <c r="I21" s="56"/>
      <c r="J21" s="56"/>
      <c r="K21" s="56"/>
      <c r="M21" s="62"/>
      <c r="N21" s="62"/>
      <c r="O21" s="57"/>
      <c r="P21" s="57"/>
      <c r="Q21" s="57"/>
      <c r="R21" s="57"/>
      <c r="S21" s="57"/>
      <c r="T21" s="57"/>
      <c r="U21" s="60"/>
      <c r="V21" s="60"/>
      <c r="W21" s="60"/>
    </row>
    <row r="22" spans="1:23" ht="16" customHeight="1" x14ac:dyDescent="0.2">
      <c r="A22" s="57"/>
      <c r="B22" s="58" t="s">
        <v>172</v>
      </c>
      <c r="C22" s="93"/>
      <c r="D22" s="706">
        <f>IF(D5=0,0,(IF(Loans!C3="No",D18+D9+D20+D19+D21-D14,Loans!E16+D19+D21)))</f>
        <v>0</v>
      </c>
      <c r="E22" s="83"/>
      <c r="F22" s="830"/>
      <c r="G22" s="56"/>
      <c r="H22" s="56"/>
      <c r="I22" s="56"/>
      <c r="J22" s="56"/>
      <c r="K22" s="56"/>
      <c r="M22" s="62"/>
      <c r="N22" s="62"/>
      <c r="O22" s="57"/>
      <c r="P22" s="57"/>
      <c r="Q22" s="57"/>
      <c r="R22" s="57"/>
      <c r="S22" s="57"/>
      <c r="T22" s="57"/>
      <c r="U22" s="60"/>
      <c r="V22" s="60"/>
      <c r="W22" s="60"/>
    </row>
    <row r="23" spans="1:23" ht="16" customHeight="1" thickBot="1" x14ac:dyDescent="0.25">
      <c r="A23" s="57"/>
      <c r="B23" s="58" t="s">
        <v>399</v>
      </c>
      <c r="C23" s="93"/>
      <c r="D23" s="1008">
        <f>CHOOSE(Summary!$G$3,Scenarios!D60,Scenarios!G60,Scenarios!J60,Scenarios!M60,Scenarios!P60,Scenarios!S60,Scenarios!V60,Scenarios!Y60)</f>
        <v>7.0000000000000007E-2</v>
      </c>
      <c r="E23" s="54"/>
      <c r="F23" s="830"/>
      <c r="G23" s="56"/>
      <c r="H23" s="56"/>
      <c r="I23" s="56"/>
      <c r="J23" s="56"/>
      <c r="K23" s="56"/>
      <c r="M23" s="62"/>
      <c r="N23" s="62"/>
      <c r="O23" s="57"/>
      <c r="P23" s="57"/>
      <c r="Q23" s="57"/>
      <c r="R23" s="57"/>
      <c r="S23" s="57"/>
      <c r="T23" s="57"/>
      <c r="U23" s="60"/>
      <c r="V23" s="60"/>
      <c r="W23" s="60"/>
    </row>
    <row r="24" spans="1:23" ht="16" customHeight="1" x14ac:dyDescent="0.2">
      <c r="A24" s="57"/>
      <c r="B24" s="531" t="s">
        <v>176</v>
      </c>
      <c r="C24" s="722"/>
      <c r="D24" s="712"/>
      <c r="E24" s="54"/>
      <c r="F24" s="64"/>
      <c r="G24" s="57"/>
      <c r="H24" s="831"/>
      <c r="I24" s="102"/>
      <c r="J24" s="102"/>
      <c r="K24" s="102"/>
      <c r="M24" s="62"/>
      <c r="N24" s="62"/>
      <c r="O24" s="57"/>
      <c r="P24" s="57"/>
      <c r="Q24" s="57"/>
      <c r="R24" s="57"/>
      <c r="S24" s="57"/>
      <c r="T24" s="57"/>
      <c r="U24" s="60"/>
      <c r="V24" s="60"/>
      <c r="W24" s="60"/>
    </row>
    <row r="25" spans="1:23" ht="16" customHeight="1" x14ac:dyDescent="0.2">
      <c r="A25" s="57"/>
      <c r="B25" s="356" t="s">
        <v>83</v>
      </c>
      <c r="C25" s="363"/>
      <c r="D25" s="544">
        <f>'P&amp;L'!D11</f>
        <v>0</v>
      </c>
      <c r="E25" s="54"/>
      <c r="F25" s="64"/>
      <c r="G25" s="57"/>
      <c r="H25" s="103"/>
      <c r="I25" s="830"/>
      <c r="J25" s="104"/>
      <c r="K25" s="103"/>
      <c r="M25" s="62"/>
      <c r="N25" s="62"/>
      <c r="O25" s="57"/>
      <c r="P25" s="57"/>
      <c r="Q25" s="57"/>
      <c r="R25" s="57"/>
      <c r="S25" s="57"/>
      <c r="T25" s="57"/>
      <c r="U25" s="60"/>
      <c r="V25" s="60"/>
      <c r="W25" s="60"/>
    </row>
    <row r="26" spans="1:23" ht="16" customHeight="1" outlineLevel="1" x14ac:dyDescent="0.2">
      <c r="A26" s="57"/>
      <c r="B26" s="68" t="s">
        <v>186</v>
      </c>
      <c r="C26" s="293"/>
      <c r="D26" s="706">
        <f>'P&amp;L'!D10</f>
        <v>0</v>
      </c>
      <c r="E26" s="54"/>
      <c r="F26" s="64"/>
      <c r="G26" s="57"/>
      <c r="H26" s="105"/>
      <c r="I26" s="103"/>
      <c r="J26" s="103"/>
      <c r="K26" s="106"/>
      <c r="M26" s="62"/>
      <c r="N26" s="62"/>
      <c r="O26" s="57"/>
      <c r="P26" s="57"/>
      <c r="Q26" s="57"/>
      <c r="R26" s="57"/>
      <c r="S26" s="57"/>
      <c r="T26" s="57"/>
      <c r="U26" s="60"/>
      <c r="V26" s="60"/>
      <c r="W26" s="60"/>
    </row>
    <row r="27" spans="1:23" ht="16" customHeight="1" outlineLevel="1" x14ac:dyDescent="0.2">
      <c r="A27" s="57"/>
      <c r="B27" s="84" t="s">
        <v>84</v>
      </c>
      <c r="C27" s="342">
        <f>CHOOSE(Summary!$G$3,Scenarios!F22,Scenarios!I22,Scenarios!L22,Scenarios!O22,Scenarios!R22,Scenarios!U22,Scenarios!X22,Scenarios!AA22)</f>
        <v>0</v>
      </c>
      <c r="D27" s="339">
        <f>'P&amp;L'!D12</f>
        <v>0</v>
      </c>
      <c r="E27" s="54"/>
      <c r="F27" s="64"/>
      <c r="G27" s="57"/>
      <c r="H27" s="57"/>
      <c r="I27" s="56"/>
      <c r="J27" s="56"/>
      <c r="K27" s="56"/>
      <c r="M27" s="57"/>
      <c r="N27" s="57"/>
      <c r="O27" s="57"/>
      <c r="P27" s="57"/>
      <c r="Q27" s="57"/>
      <c r="R27" s="57"/>
      <c r="S27" s="57"/>
      <c r="T27" s="57"/>
      <c r="U27" s="60"/>
      <c r="V27" s="60"/>
      <c r="W27" s="60"/>
    </row>
    <row r="28" spans="1:23" ht="16" customHeight="1" outlineLevel="1" x14ac:dyDescent="0.2">
      <c r="A28" s="57"/>
      <c r="B28" s="84" t="s">
        <v>174</v>
      </c>
      <c r="C28" s="342">
        <f>CHOOSE(Summary!$G$3,Scenarios!F23,Scenarios!I23,Scenarios!L23,Scenarios!O23,Scenarios!R23,Scenarios!U23,Scenarios!X23,Scenarios!AA23)</f>
        <v>0</v>
      </c>
      <c r="D28" s="339">
        <f>'P&amp;L'!D13</f>
        <v>0</v>
      </c>
      <c r="E28" s="85"/>
      <c r="F28" s="57"/>
      <c r="G28" s="57"/>
      <c r="H28" s="57"/>
      <c r="I28" s="56"/>
      <c r="J28" s="56"/>
      <c r="K28" s="56"/>
      <c r="M28" s="57"/>
      <c r="N28" s="57"/>
      <c r="O28" s="57"/>
      <c r="P28" s="57"/>
      <c r="Q28" s="57"/>
      <c r="R28" s="57"/>
      <c r="S28" s="57"/>
      <c r="T28" s="57"/>
      <c r="U28" s="60"/>
      <c r="V28" s="60"/>
      <c r="W28" s="60"/>
    </row>
    <row r="29" spans="1:23" ht="16" customHeight="1" outlineLevel="1" x14ac:dyDescent="0.2">
      <c r="A29" s="57"/>
      <c r="B29" s="84" t="s">
        <v>85</v>
      </c>
      <c r="C29" s="293"/>
      <c r="D29" s="706">
        <f>'P&amp;L'!D14</f>
        <v>0</v>
      </c>
      <c r="E29" s="85"/>
      <c r="F29" s="57"/>
      <c r="G29" s="57"/>
      <c r="H29" s="57"/>
      <c r="I29" s="56"/>
      <c r="J29" s="56"/>
      <c r="K29" s="56"/>
      <c r="M29" s="57"/>
      <c r="N29" s="57"/>
      <c r="O29" s="57"/>
      <c r="P29" s="57"/>
      <c r="Q29" s="57"/>
      <c r="R29" s="57"/>
      <c r="S29" s="57"/>
      <c r="T29" s="57"/>
      <c r="U29" s="60"/>
      <c r="V29" s="60"/>
      <c r="W29" s="60"/>
    </row>
    <row r="30" spans="1:23" ht="16" customHeight="1" outlineLevel="1" x14ac:dyDescent="0.2">
      <c r="A30" s="57"/>
      <c r="B30" s="84" t="s">
        <v>86</v>
      </c>
      <c r="C30" s="293"/>
      <c r="D30" s="706">
        <f>'P&amp;L'!D15</f>
        <v>0</v>
      </c>
      <c r="E30" s="54"/>
      <c r="F30" s="64"/>
      <c r="G30" s="57"/>
      <c r="H30" s="57"/>
      <c r="I30" s="56"/>
      <c r="J30" s="56"/>
      <c r="K30" s="56"/>
      <c r="M30" s="57"/>
      <c r="N30" s="57"/>
      <c r="O30" s="57"/>
      <c r="P30" s="57"/>
      <c r="Q30" s="57"/>
      <c r="R30" s="57"/>
      <c r="S30" s="57"/>
      <c r="T30" s="57"/>
      <c r="U30" s="60"/>
      <c r="V30" s="60"/>
      <c r="W30" s="60"/>
    </row>
    <row r="31" spans="1:23" ht="16" customHeight="1" outlineLevel="1" x14ac:dyDescent="0.2">
      <c r="A31" s="57"/>
      <c r="B31" s="58" t="s">
        <v>156</v>
      </c>
      <c r="C31" s="293"/>
      <c r="D31" s="706">
        <f>'P&amp;L'!D16</f>
        <v>0</v>
      </c>
      <c r="E31" s="54"/>
      <c r="F31" s="64"/>
      <c r="G31" s="57"/>
      <c r="H31" s="832"/>
      <c r="I31" s="56"/>
      <c r="J31" s="56"/>
      <c r="K31" s="56"/>
      <c r="M31" s="57"/>
      <c r="N31" s="57"/>
      <c r="O31" s="57"/>
      <c r="P31" s="57"/>
      <c r="Q31" s="57"/>
      <c r="R31" s="57"/>
      <c r="S31" s="57"/>
      <c r="T31" s="57"/>
      <c r="U31" s="60"/>
      <c r="V31" s="60"/>
      <c r="W31" s="60"/>
    </row>
    <row r="32" spans="1:23" ht="16" customHeight="1" outlineLevel="1" x14ac:dyDescent="0.2">
      <c r="A32" s="57"/>
      <c r="B32" s="58" t="s">
        <v>75</v>
      </c>
      <c r="C32" s="342">
        <f>'P&amp;L'!E33</f>
        <v>0</v>
      </c>
      <c r="D32" s="706">
        <f>'P&amp;L'!D33</f>
        <v>0</v>
      </c>
      <c r="E32" s="54"/>
      <c r="F32" s="64" t="str">
        <f>About!E8</f>
        <v/>
      </c>
      <c r="G32" s="57"/>
      <c r="H32" s="57"/>
      <c r="I32" s="56"/>
      <c r="J32" s="56"/>
      <c r="K32" s="56"/>
      <c r="M32" s="57"/>
      <c r="N32" s="57"/>
      <c r="O32" s="57"/>
      <c r="P32" s="57"/>
      <c r="Q32" s="57"/>
      <c r="R32" s="57"/>
      <c r="S32" s="57"/>
      <c r="T32" s="57"/>
      <c r="U32" s="60"/>
      <c r="V32" s="60"/>
      <c r="W32" s="60"/>
    </row>
    <row r="33" spans="1:23" ht="16" customHeight="1" outlineLevel="1" x14ac:dyDescent="0.2">
      <c r="A33" s="57"/>
      <c r="B33" s="58" t="s">
        <v>11</v>
      </c>
      <c r="C33" s="293"/>
      <c r="D33" s="706">
        <f>'P&amp;L'!D35</f>
        <v>0</v>
      </c>
      <c r="E33" s="85"/>
      <c r="F33" s="124"/>
      <c r="G33" s="57"/>
      <c r="H33" s="57"/>
      <c r="I33" s="56"/>
      <c r="J33" s="56"/>
      <c r="K33" s="56"/>
      <c r="M33" s="57"/>
      <c r="N33" s="57"/>
      <c r="O33" s="57"/>
      <c r="P33" s="57"/>
      <c r="Q33" s="57"/>
      <c r="R33" s="57"/>
      <c r="S33" s="57"/>
      <c r="T33" s="57"/>
      <c r="U33" s="60"/>
      <c r="V33" s="60"/>
      <c r="W33" s="60"/>
    </row>
    <row r="34" spans="1:23" ht="16" customHeight="1" outlineLevel="1" x14ac:dyDescent="0.2">
      <c r="A34" s="57"/>
      <c r="B34" s="58" t="s">
        <v>15</v>
      </c>
      <c r="C34" s="293"/>
      <c r="D34" s="706">
        <f ca="1">'P&amp;L'!D40</f>
        <v>0</v>
      </c>
      <c r="E34" s="54"/>
      <c r="F34" s="64"/>
      <c r="G34" s="57"/>
      <c r="H34" s="57"/>
      <c r="I34" s="56"/>
      <c r="J34" s="56"/>
      <c r="K34" s="56"/>
      <c r="M34" s="57"/>
      <c r="N34" s="57"/>
      <c r="O34" s="57"/>
      <c r="P34" s="57"/>
      <c r="Q34" s="57"/>
      <c r="R34" s="57"/>
      <c r="S34" s="57"/>
      <c r="T34" s="57"/>
      <c r="U34" s="60"/>
      <c r="V34" s="60"/>
      <c r="W34" s="60"/>
    </row>
    <row r="35" spans="1:23" ht="16" customHeight="1" outlineLevel="1" thickBot="1" x14ac:dyDescent="0.25">
      <c r="A35" s="57"/>
      <c r="B35" s="86" t="s">
        <v>78</v>
      </c>
      <c r="C35" s="333"/>
      <c r="D35" s="713">
        <f ca="1">D33-D34</f>
        <v>0</v>
      </c>
      <c r="E35" s="54"/>
      <c r="F35" s="64"/>
      <c r="G35" s="57"/>
      <c r="H35" s="57"/>
      <c r="I35" s="56"/>
      <c r="J35" s="56"/>
      <c r="K35" s="56"/>
      <c r="M35" s="57"/>
      <c r="N35" s="57"/>
      <c r="O35" s="57"/>
      <c r="P35" s="57"/>
      <c r="Q35" s="57"/>
      <c r="R35" s="57"/>
      <c r="S35" s="57"/>
      <c r="T35" s="57"/>
      <c r="U35" s="60"/>
      <c r="V35" s="60"/>
      <c r="W35" s="60"/>
    </row>
    <row r="36" spans="1:23" ht="16" customHeight="1" outlineLevel="1" x14ac:dyDescent="0.2">
      <c r="A36" s="57"/>
      <c r="B36" s="531" t="s">
        <v>79</v>
      </c>
      <c r="C36" s="722"/>
      <c r="D36" s="712"/>
      <c r="E36" s="54"/>
      <c r="F36" s="64"/>
      <c r="G36" s="57"/>
      <c r="H36" s="57"/>
      <c r="I36" s="56"/>
      <c r="J36" s="56"/>
      <c r="K36" s="56"/>
      <c r="M36" s="57"/>
      <c r="N36" s="57"/>
      <c r="O36" s="57"/>
      <c r="P36" s="57"/>
      <c r="Q36" s="57"/>
      <c r="R36" s="57"/>
      <c r="S36" s="57"/>
      <c r="T36" s="57"/>
      <c r="U36" s="60"/>
      <c r="V36" s="60"/>
      <c r="W36" s="60"/>
    </row>
    <row r="37" spans="1:23" ht="16" customHeight="1" outlineLevel="1" x14ac:dyDescent="0.2">
      <c r="A37" s="57"/>
      <c r="B37" s="356" t="s">
        <v>657</v>
      </c>
      <c r="C37" s="720"/>
      <c r="D37" s="714">
        <f>Returns!N18</f>
        <v>0</v>
      </c>
      <c r="E37" s="54"/>
      <c r="F37" s="64" t="str">
        <f>About!E10</f>
        <v/>
      </c>
      <c r="G37" s="57"/>
      <c r="H37" s="57"/>
      <c r="I37" s="56"/>
      <c r="J37" s="56"/>
      <c r="K37" s="56"/>
      <c r="M37" s="57"/>
      <c r="N37" s="57"/>
      <c r="O37" s="57"/>
      <c r="P37" s="57"/>
      <c r="Q37" s="57"/>
      <c r="R37" s="57"/>
      <c r="S37" s="57"/>
      <c r="T37" s="57"/>
      <c r="U37" s="60"/>
      <c r="V37" s="60"/>
      <c r="W37" s="60"/>
    </row>
    <row r="38" spans="1:23" ht="16" customHeight="1" x14ac:dyDescent="0.2">
      <c r="A38" s="57"/>
      <c r="B38" s="58" t="s">
        <v>256</v>
      </c>
      <c r="C38" s="93"/>
      <c r="D38" s="715">
        <f>IF(D6=0,0,'P&amp;L'!D62)</f>
        <v>0</v>
      </c>
      <c r="E38" s="54"/>
      <c r="F38" s="64" t="str">
        <f>About!E5</f>
        <v/>
      </c>
      <c r="G38" s="87"/>
      <c r="H38" s="57"/>
      <c r="I38" s="56"/>
      <c r="J38" s="56"/>
      <c r="K38" s="56"/>
      <c r="M38" s="57"/>
      <c r="N38" s="57"/>
      <c r="O38" s="57"/>
      <c r="P38" s="57"/>
      <c r="Q38" s="57"/>
      <c r="R38" s="57"/>
      <c r="S38" s="57"/>
      <c r="T38" s="57"/>
      <c r="U38" s="60"/>
      <c r="V38" s="60"/>
      <c r="W38" s="60"/>
    </row>
    <row r="39" spans="1:23" ht="16" customHeight="1" thickBot="1" x14ac:dyDescent="0.25">
      <c r="A39" s="57"/>
      <c r="B39" s="58" t="s">
        <v>92</v>
      </c>
      <c r="C39" s="93"/>
      <c r="D39" s="1052">
        <f>IF(D25=0,0,D6/D25)</f>
        <v>0</v>
      </c>
      <c r="E39" s="54"/>
      <c r="F39" s="124"/>
      <c r="G39" s="76"/>
      <c r="H39" s="57"/>
      <c r="I39" s="56"/>
      <c r="J39" s="56"/>
      <c r="K39" s="56"/>
      <c r="M39" s="57"/>
      <c r="N39" s="57"/>
      <c r="O39" s="57"/>
      <c r="P39" s="57"/>
      <c r="Q39" s="57"/>
      <c r="R39" s="57"/>
      <c r="S39" s="57"/>
      <c r="T39" s="57"/>
      <c r="U39" s="60"/>
      <c r="V39" s="60"/>
      <c r="W39" s="60"/>
    </row>
    <row r="40" spans="1:23" ht="16" customHeight="1" x14ac:dyDescent="0.2">
      <c r="A40" s="57"/>
      <c r="B40" s="531" t="s">
        <v>113</v>
      </c>
      <c r="C40" s="722"/>
      <c r="D40" s="716"/>
      <c r="E40" s="54"/>
      <c r="F40" s="64"/>
      <c r="G40" s="57"/>
      <c r="H40" s="57"/>
      <c r="I40" s="833"/>
      <c r="J40" s="56"/>
      <c r="K40" s="56"/>
      <c r="M40" s="57"/>
      <c r="N40" s="57"/>
      <c r="O40" s="57"/>
      <c r="P40" s="57"/>
      <c r="Q40" s="57"/>
      <c r="R40" s="57"/>
      <c r="S40" s="57"/>
      <c r="T40" s="57"/>
      <c r="U40" s="60"/>
      <c r="V40" s="60"/>
      <c r="W40" s="60"/>
    </row>
    <row r="41" spans="1:23" ht="16" customHeight="1" x14ac:dyDescent="0.2">
      <c r="A41" s="57"/>
      <c r="B41" s="356" t="s">
        <v>60</v>
      </c>
      <c r="C41" s="720"/>
      <c r="D41" s="717">
        <v>0.8</v>
      </c>
      <c r="E41" s="54"/>
      <c r="F41" s="64"/>
      <c r="G41" s="57"/>
      <c r="H41" s="57"/>
      <c r="I41" s="833"/>
      <c r="J41" s="56"/>
      <c r="K41" s="57"/>
      <c r="L41" s="57"/>
      <c r="M41" s="57"/>
      <c r="N41" s="57"/>
      <c r="O41" s="57"/>
      <c r="P41" s="57"/>
      <c r="Q41" s="57"/>
      <c r="R41" s="57"/>
      <c r="S41" s="57"/>
      <c r="T41" s="57"/>
      <c r="U41" s="60"/>
      <c r="V41" s="60"/>
      <c r="W41" s="60"/>
    </row>
    <row r="42" spans="1:23" ht="16" customHeight="1" x14ac:dyDescent="0.2">
      <c r="A42" s="57"/>
      <c r="B42" s="58" t="s">
        <v>61</v>
      </c>
      <c r="C42" s="93"/>
      <c r="D42" s="70">
        <f>1-D41</f>
        <v>0.19999999999999996</v>
      </c>
      <c r="E42" s="54"/>
      <c r="F42" s="64"/>
      <c r="G42" s="57"/>
      <c r="H42" s="834"/>
      <c r="I42" s="833"/>
      <c r="J42" s="56"/>
      <c r="K42" s="57"/>
      <c r="L42" s="57"/>
      <c r="M42" s="57"/>
      <c r="N42" s="57"/>
      <c r="O42" s="57"/>
      <c r="P42" s="57"/>
      <c r="Q42" s="57"/>
      <c r="R42" s="57"/>
      <c r="S42" s="57"/>
      <c r="T42" s="57"/>
      <c r="U42" s="60"/>
      <c r="V42" s="60"/>
      <c r="W42" s="60"/>
    </row>
    <row r="43" spans="1:23" ht="16" customHeight="1" x14ac:dyDescent="0.2">
      <c r="A43" s="57"/>
      <c r="B43" s="58" t="s">
        <v>62</v>
      </c>
      <c r="C43" s="93"/>
      <c r="D43" s="80">
        <v>0</v>
      </c>
      <c r="E43" s="54"/>
      <c r="F43" s="64"/>
      <c r="G43" s="57"/>
      <c r="H43" s="57"/>
      <c r="I43" s="833"/>
      <c r="J43" s="56"/>
      <c r="K43" s="57"/>
      <c r="L43" s="57"/>
      <c r="M43" s="57"/>
      <c r="N43" s="57"/>
      <c r="O43" s="57"/>
      <c r="P43" s="57"/>
      <c r="Q43" s="57"/>
      <c r="R43" s="57"/>
      <c r="S43" s="57"/>
      <c r="T43" s="57"/>
      <c r="U43" s="60"/>
      <c r="V43" s="60"/>
      <c r="W43" s="60"/>
    </row>
    <row r="44" spans="1:23" ht="16" customHeight="1" x14ac:dyDescent="0.2">
      <c r="A44" s="57"/>
      <c r="B44" s="88" t="s">
        <v>462</v>
      </c>
      <c r="C44" s="93"/>
      <c r="D44" s="80">
        <v>0</v>
      </c>
      <c r="E44" s="54"/>
      <c r="F44" s="64"/>
      <c r="G44" s="835"/>
      <c r="H44" s="57"/>
      <c r="I44" s="833"/>
      <c r="J44" s="56"/>
      <c r="K44" s="57"/>
      <c r="L44" s="57"/>
      <c r="M44" s="57"/>
      <c r="N44" s="57"/>
      <c r="O44" s="57"/>
      <c r="P44" s="57"/>
      <c r="Q44" s="57"/>
      <c r="R44" s="57"/>
      <c r="S44" s="57"/>
      <c r="T44" s="57"/>
      <c r="U44" s="60"/>
      <c r="V44" s="60"/>
      <c r="W44" s="60"/>
    </row>
    <row r="45" spans="1:23" ht="16" customHeight="1" x14ac:dyDescent="0.2">
      <c r="A45" s="57"/>
      <c r="B45" s="58" t="s">
        <v>63</v>
      </c>
      <c r="C45" s="93"/>
      <c r="D45" s="80">
        <v>0</v>
      </c>
      <c r="E45" s="54"/>
      <c r="F45" s="64"/>
      <c r="G45" s="835"/>
      <c r="H45" s="57"/>
      <c r="I45" s="836"/>
      <c r="J45" s="56"/>
      <c r="K45" s="57"/>
      <c r="L45" s="57"/>
      <c r="M45" s="57"/>
      <c r="N45" s="57"/>
      <c r="O45" s="57"/>
      <c r="P45" s="57"/>
      <c r="Q45" s="57"/>
      <c r="R45" s="57"/>
      <c r="S45" s="57"/>
      <c r="T45" s="57"/>
      <c r="U45" s="60"/>
      <c r="V45" s="60"/>
      <c r="W45" s="60"/>
    </row>
    <row r="46" spans="1:23" ht="16" customHeight="1" x14ac:dyDescent="0.2">
      <c r="A46" s="57"/>
      <c r="B46" s="58" t="s">
        <v>175</v>
      </c>
      <c r="C46" s="93"/>
      <c r="D46" s="706">
        <f ca="1">'P&amp;L'!D51</f>
        <v>0</v>
      </c>
      <c r="E46" s="54"/>
      <c r="F46" s="64"/>
      <c r="G46" s="835"/>
      <c r="H46" s="57"/>
      <c r="I46" s="57"/>
      <c r="J46" s="56"/>
      <c r="K46" s="57"/>
      <c r="L46" s="57"/>
      <c r="M46" s="57"/>
      <c r="N46" s="57"/>
      <c r="O46" s="57"/>
      <c r="P46" s="57"/>
      <c r="Q46" s="57"/>
      <c r="R46" s="57"/>
      <c r="S46" s="57"/>
      <c r="T46" s="57"/>
      <c r="U46" s="60"/>
      <c r="V46" s="60"/>
      <c r="W46" s="60"/>
    </row>
    <row r="47" spans="1:23" ht="16" customHeight="1" thickBot="1" x14ac:dyDescent="0.25">
      <c r="A47" s="57"/>
      <c r="B47" s="89" t="s">
        <v>660</v>
      </c>
      <c r="C47" s="723"/>
      <c r="D47" s="718">
        <f>IF(D6=0,0,D46/D22)</f>
        <v>0</v>
      </c>
      <c r="E47" s="54"/>
      <c r="F47" s="64"/>
      <c r="G47" s="835"/>
      <c r="H47" s="57"/>
      <c r="I47" s="57"/>
      <c r="J47" s="56"/>
      <c r="K47" s="57"/>
      <c r="L47" s="57"/>
      <c r="M47" s="57"/>
      <c r="N47" s="57"/>
      <c r="O47" s="57"/>
      <c r="P47" s="57"/>
      <c r="Q47" s="57"/>
      <c r="R47" s="57"/>
      <c r="S47" s="57"/>
      <c r="T47" s="57"/>
      <c r="U47" s="60"/>
      <c r="V47" s="60"/>
      <c r="W47" s="60"/>
    </row>
    <row r="48" spans="1:23" ht="16" customHeight="1" x14ac:dyDescent="0.2">
      <c r="A48" s="57"/>
      <c r="B48" s="90" t="s">
        <v>621</v>
      </c>
      <c r="C48" s="722"/>
      <c r="D48" s="1050">
        <f ca="1">Returns!N16</f>
        <v>0</v>
      </c>
      <c r="E48" s="54"/>
      <c r="F48" s="64" t="str">
        <f ca="1">About!E6</f>
        <v/>
      </c>
      <c r="G48" s="835"/>
      <c r="H48" s="57"/>
      <c r="I48" s="836"/>
      <c r="J48" s="56"/>
      <c r="K48" s="57"/>
      <c r="L48" s="57"/>
      <c r="M48" s="57"/>
      <c r="N48" s="57"/>
      <c r="O48" s="57"/>
      <c r="P48" s="57"/>
      <c r="Q48" s="57"/>
      <c r="R48" s="57"/>
      <c r="S48" s="57"/>
      <c r="T48" s="57"/>
      <c r="U48" s="60"/>
      <c r="V48" s="60"/>
      <c r="W48" s="60"/>
    </row>
    <row r="49" spans="1:40" ht="16" customHeight="1" x14ac:dyDescent="0.2">
      <c r="A49" s="57"/>
      <c r="B49" s="89" t="s">
        <v>274</v>
      </c>
      <c r="C49" s="723"/>
      <c r="D49" s="1051">
        <f>Returns!N15</f>
        <v>0</v>
      </c>
      <c r="E49" s="54"/>
      <c r="F49" s="124"/>
      <c r="G49" s="57"/>
      <c r="H49" s="57"/>
      <c r="I49" s="57"/>
      <c r="J49" s="56"/>
      <c r="K49" s="57"/>
      <c r="L49" s="57"/>
      <c r="M49" s="57"/>
      <c r="N49" s="57"/>
      <c r="O49" s="57"/>
      <c r="P49" s="57"/>
      <c r="Q49" s="57"/>
      <c r="R49" s="57"/>
      <c r="S49" s="57"/>
      <c r="T49" s="57"/>
      <c r="U49" s="60"/>
      <c r="V49" s="60"/>
      <c r="W49" s="60"/>
    </row>
    <row r="50" spans="1:40" ht="16" customHeight="1" x14ac:dyDescent="0.2">
      <c r="A50" s="57"/>
      <c r="B50" s="89" t="s">
        <v>9</v>
      </c>
      <c r="C50" s="723"/>
      <c r="D50" s="1058">
        <f>Returns!N17</f>
        <v>0</v>
      </c>
      <c r="E50" s="54"/>
      <c r="F50" s="64" t="str">
        <f>About!E7</f>
        <v/>
      </c>
      <c r="G50" s="57"/>
      <c r="H50" s="57"/>
      <c r="I50" s="57"/>
      <c r="J50" s="56"/>
      <c r="K50" s="57"/>
      <c r="L50" s="57"/>
      <c r="M50" s="57"/>
      <c r="N50" s="57"/>
      <c r="O50" s="57"/>
      <c r="P50" s="57"/>
      <c r="Q50" s="57"/>
      <c r="R50" s="57"/>
      <c r="S50" s="57"/>
      <c r="T50" s="57"/>
      <c r="U50" s="60"/>
      <c r="V50" s="60"/>
      <c r="W50" s="60"/>
    </row>
    <row r="51" spans="1:40" ht="16" customHeight="1" thickBot="1" x14ac:dyDescent="0.25">
      <c r="A51" s="57"/>
      <c r="B51" s="91" t="s">
        <v>620</v>
      </c>
      <c r="C51" s="724"/>
      <c r="D51" s="1060">
        <f>Returns!N19</f>
        <v>0</v>
      </c>
      <c r="E51" s="54"/>
      <c r="G51" s="57"/>
      <c r="H51" s="57"/>
      <c r="I51" s="57"/>
      <c r="J51" s="56"/>
      <c r="K51" s="57"/>
      <c r="L51" s="57"/>
      <c r="M51" s="57"/>
      <c r="N51" s="57"/>
      <c r="O51" s="57"/>
      <c r="P51" s="57"/>
      <c r="Q51" s="57"/>
      <c r="R51" s="57"/>
      <c r="S51" s="57"/>
      <c r="T51" s="57"/>
      <c r="U51" s="60"/>
      <c r="V51" s="60"/>
      <c r="W51" s="60"/>
    </row>
    <row r="52" spans="1:40" ht="16" customHeight="1" x14ac:dyDescent="0.2">
      <c r="A52" s="57"/>
      <c r="C52" s="92"/>
      <c r="D52" s="1059"/>
      <c r="E52" s="54"/>
      <c r="F52" s="124"/>
      <c r="G52" s="57"/>
      <c r="H52" s="57"/>
      <c r="I52" s="837"/>
      <c r="J52" s="56"/>
      <c r="K52" s="57"/>
      <c r="L52" s="57"/>
      <c r="M52" s="57"/>
      <c r="N52" s="57"/>
      <c r="O52" s="57"/>
      <c r="P52" s="57"/>
      <c r="Q52" s="57"/>
      <c r="R52" s="57"/>
      <c r="S52" s="57"/>
      <c r="T52" s="57"/>
      <c r="U52" s="60"/>
      <c r="V52" s="60"/>
      <c r="W52" s="60"/>
    </row>
    <row r="53" spans="1:40" ht="16" customHeight="1" x14ac:dyDescent="0.2">
      <c r="A53" s="57"/>
      <c r="B53" s="52" t="str">
        <f ca="1">copyright</f>
        <v>Copyright © 2026 Michael Blank.</v>
      </c>
      <c r="C53" s="93"/>
      <c r="D53" s="66"/>
      <c r="E53" s="54"/>
      <c r="F53" s="56"/>
      <c r="G53" s="56"/>
      <c r="H53" s="56"/>
      <c r="I53" s="56"/>
      <c r="J53" s="830"/>
      <c r="K53" s="57"/>
      <c r="L53" s="57"/>
      <c r="M53" s="57"/>
      <c r="N53" s="57"/>
      <c r="O53" s="57"/>
      <c r="P53" s="57"/>
      <c r="Q53" s="57"/>
      <c r="R53" s="57"/>
      <c r="S53" s="57"/>
      <c r="T53" s="57"/>
      <c r="U53" s="60"/>
      <c r="V53" s="60"/>
      <c r="W53" s="60"/>
    </row>
    <row r="54" spans="1:40" s="54" customFormat="1" ht="16" customHeight="1" x14ac:dyDescent="0.2">
      <c r="B54" s="52" t="s">
        <v>124</v>
      </c>
      <c r="C54" s="93"/>
      <c r="D54" s="66"/>
      <c r="F54" s="56"/>
      <c r="G54" s="56"/>
      <c r="H54" s="56"/>
      <c r="I54" s="56"/>
      <c r="J54" s="56"/>
      <c r="K54" s="56"/>
      <c r="U54" s="10"/>
      <c r="V54" s="10"/>
      <c r="W54" s="10"/>
      <c r="X54" s="10"/>
      <c r="Y54" s="10"/>
      <c r="Z54" s="10"/>
      <c r="AA54" s="10"/>
      <c r="AB54" s="10"/>
      <c r="AC54" s="10"/>
      <c r="AD54" s="10"/>
      <c r="AE54" s="10"/>
      <c r="AF54" s="10"/>
      <c r="AG54" s="10"/>
      <c r="AH54" s="10"/>
      <c r="AI54" s="10"/>
      <c r="AJ54" s="10"/>
      <c r="AK54" s="10"/>
      <c r="AL54" s="10"/>
      <c r="AM54" s="10"/>
      <c r="AN54" s="10"/>
    </row>
    <row r="55" spans="1:40" s="54" customFormat="1" ht="16" customHeight="1" x14ac:dyDescent="0.2">
      <c r="C55" s="93"/>
      <c r="D55" s="93"/>
      <c r="F55" s="56"/>
      <c r="G55" s="56"/>
      <c r="H55" s="56"/>
      <c r="I55" s="56"/>
      <c r="J55" s="56"/>
      <c r="K55" s="56"/>
      <c r="U55" s="10"/>
      <c r="V55" s="10"/>
      <c r="W55" s="10"/>
      <c r="X55" s="10"/>
      <c r="Y55" s="10"/>
      <c r="Z55" s="10"/>
      <c r="AA55" s="10"/>
      <c r="AB55" s="10"/>
      <c r="AC55" s="10"/>
      <c r="AD55" s="10"/>
      <c r="AE55" s="10"/>
      <c r="AF55" s="10"/>
      <c r="AG55" s="10"/>
      <c r="AH55" s="10"/>
      <c r="AI55" s="10"/>
      <c r="AJ55" s="10"/>
      <c r="AK55" s="10"/>
      <c r="AL55" s="10"/>
      <c r="AM55" s="10"/>
      <c r="AN55" s="10"/>
    </row>
    <row r="56" spans="1:40" s="54" customFormat="1" ht="16" customHeight="1" x14ac:dyDescent="0.2">
      <c r="C56" s="66"/>
      <c r="D56" s="93"/>
      <c r="F56" s="56"/>
      <c r="G56" s="56"/>
      <c r="H56" s="56"/>
      <c r="I56" s="56"/>
      <c r="J56" s="56"/>
      <c r="K56" s="56"/>
      <c r="U56" s="10"/>
      <c r="V56" s="10"/>
      <c r="W56" s="10"/>
      <c r="X56" s="10"/>
      <c r="Y56" s="10"/>
      <c r="Z56" s="10"/>
      <c r="AA56" s="10"/>
      <c r="AB56" s="10"/>
      <c r="AC56" s="10"/>
      <c r="AD56" s="10"/>
      <c r="AE56" s="10"/>
      <c r="AF56" s="10"/>
      <c r="AG56" s="10"/>
      <c r="AH56" s="10"/>
      <c r="AI56" s="10"/>
      <c r="AJ56" s="10"/>
      <c r="AK56" s="10"/>
      <c r="AL56" s="10"/>
      <c r="AM56" s="10"/>
      <c r="AN56" s="10"/>
    </row>
    <row r="57" spans="1:40" s="54" customFormat="1" ht="16" customHeight="1" x14ac:dyDescent="0.2">
      <c r="C57" s="66"/>
      <c r="D57" s="93"/>
      <c r="F57" s="56"/>
      <c r="G57" s="56"/>
      <c r="H57" s="56"/>
      <c r="I57" s="56"/>
      <c r="J57" s="56"/>
      <c r="K57" s="56"/>
      <c r="U57" s="10"/>
      <c r="V57" s="10"/>
      <c r="W57" s="10"/>
      <c r="X57" s="10"/>
      <c r="Y57" s="10"/>
      <c r="Z57" s="10"/>
      <c r="AA57" s="10"/>
      <c r="AB57" s="10"/>
      <c r="AC57" s="10"/>
      <c r="AD57" s="10"/>
      <c r="AE57" s="10"/>
      <c r="AF57" s="10"/>
      <c r="AG57" s="10"/>
      <c r="AH57" s="10"/>
      <c r="AI57" s="10"/>
      <c r="AJ57" s="10"/>
      <c r="AK57" s="10"/>
      <c r="AL57" s="10"/>
      <c r="AM57" s="10"/>
      <c r="AN57" s="10"/>
    </row>
    <row r="58" spans="1:40" s="54" customFormat="1" ht="16" customHeight="1" x14ac:dyDescent="0.2">
      <c r="C58" s="66"/>
      <c r="D58" s="93"/>
      <c r="F58" s="56"/>
      <c r="G58" s="56"/>
      <c r="H58" s="56"/>
      <c r="I58" s="56"/>
      <c r="J58" s="56"/>
      <c r="K58" s="56"/>
      <c r="U58" s="10"/>
      <c r="V58" s="10"/>
      <c r="W58" s="10"/>
      <c r="X58" s="10"/>
      <c r="Y58" s="10"/>
      <c r="Z58" s="10"/>
      <c r="AA58" s="10"/>
      <c r="AB58" s="10"/>
      <c r="AC58" s="10"/>
      <c r="AD58" s="10"/>
      <c r="AE58" s="10"/>
      <c r="AF58" s="10"/>
      <c r="AG58" s="10"/>
      <c r="AH58" s="10"/>
      <c r="AI58" s="10"/>
      <c r="AJ58" s="10"/>
      <c r="AK58" s="10"/>
      <c r="AL58" s="10"/>
      <c r="AM58" s="10"/>
      <c r="AN58" s="10"/>
    </row>
    <row r="59" spans="1:40" s="54" customFormat="1" ht="16" customHeight="1" x14ac:dyDescent="0.2">
      <c r="C59" s="66"/>
      <c r="D59" s="93"/>
      <c r="F59" s="56"/>
      <c r="G59" s="56"/>
      <c r="H59" s="56"/>
      <c r="I59" s="56"/>
      <c r="J59" s="56"/>
      <c r="K59" s="56"/>
      <c r="U59" s="10"/>
      <c r="V59" s="10"/>
      <c r="W59" s="10"/>
      <c r="X59" s="10"/>
      <c r="Y59" s="10"/>
      <c r="Z59" s="10"/>
      <c r="AA59" s="10"/>
      <c r="AB59" s="10"/>
      <c r="AC59" s="10"/>
      <c r="AD59" s="10"/>
      <c r="AE59" s="10"/>
      <c r="AF59" s="10"/>
      <c r="AG59" s="10"/>
      <c r="AH59" s="10"/>
      <c r="AI59" s="10"/>
      <c r="AJ59" s="10"/>
      <c r="AK59" s="10"/>
      <c r="AL59" s="10"/>
      <c r="AM59" s="10"/>
      <c r="AN59" s="10"/>
    </row>
    <row r="60" spans="1:40" s="54" customFormat="1" ht="16" customHeight="1" x14ac:dyDescent="0.2">
      <c r="C60" s="66"/>
      <c r="D60" s="93"/>
      <c r="F60" s="56"/>
      <c r="G60" s="56"/>
      <c r="H60" s="56"/>
      <c r="I60" s="56"/>
      <c r="J60" s="56"/>
      <c r="K60" s="56"/>
      <c r="U60" s="10"/>
      <c r="V60" s="10"/>
      <c r="W60" s="10"/>
      <c r="X60" s="10"/>
      <c r="Y60" s="10"/>
      <c r="Z60" s="10"/>
      <c r="AA60" s="10"/>
      <c r="AB60" s="10"/>
      <c r="AC60" s="10"/>
      <c r="AD60" s="10"/>
      <c r="AE60" s="10"/>
      <c r="AF60" s="10"/>
      <c r="AG60" s="10"/>
      <c r="AH60" s="10"/>
      <c r="AI60" s="10"/>
      <c r="AJ60" s="10"/>
      <c r="AK60" s="10"/>
      <c r="AL60" s="10"/>
      <c r="AM60" s="10"/>
      <c r="AN60" s="10"/>
    </row>
    <row r="61" spans="1:40" s="54" customFormat="1" ht="16" customHeight="1" x14ac:dyDescent="0.2">
      <c r="C61" s="66"/>
      <c r="D61" s="93"/>
      <c r="F61" s="56"/>
      <c r="G61" s="56"/>
      <c r="H61" s="56"/>
      <c r="I61" s="56"/>
      <c r="J61" s="56"/>
      <c r="K61" s="56"/>
      <c r="U61" s="10"/>
      <c r="V61" s="10"/>
      <c r="W61" s="10"/>
      <c r="X61" s="10"/>
      <c r="Y61" s="10"/>
      <c r="Z61" s="10"/>
      <c r="AA61" s="10"/>
      <c r="AB61" s="10"/>
      <c r="AC61" s="10"/>
      <c r="AD61" s="10"/>
      <c r="AE61" s="10"/>
      <c r="AF61" s="10"/>
      <c r="AG61" s="10"/>
      <c r="AH61" s="10"/>
      <c r="AI61" s="10"/>
      <c r="AJ61" s="10"/>
      <c r="AK61" s="10"/>
      <c r="AL61" s="10"/>
      <c r="AM61" s="10"/>
      <c r="AN61" s="10"/>
    </row>
    <row r="62" spans="1:40" s="54" customFormat="1" ht="16" customHeight="1" x14ac:dyDescent="0.2">
      <c r="C62" s="66"/>
      <c r="D62" s="93"/>
      <c r="U62" s="10"/>
      <c r="V62" s="10"/>
      <c r="W62" s="10"/>
      <c r="X62" s="10"/>
      <c r="Y62" s="10"/>
      <c r="Z62" s="10"/>
      <c r="AA62" s="10"/>
      <c r="AB62" s="10"/>
      <c r="AC62" s="10"/>
      <c r="AD62" s="10"/>
      <c r="AE62" s="10"/>
      <c r="AF62" s="10"/>
      <c r="AG62" s="10"/>
      <c r="AH62" s="10"/>
      <c r="AI62" s="10"/>
      <c r="AJ62" s="10"/>
      <c r="AK62" s="10"/>
      <c r="AL62" s="10"/>
      <c r="AM62" s="10"/>
      <c r="AN62" s="10"/>
    </row>
    <row r="63" spans="1:40" s="54" customFormat="1" ht="16" customHeight="1" x14ac:dyDescent="0.2">
      <c r="C63" s="66"/>
      <c r="D63" s="93"/>
      <c r="U63" s="10"/>
      <c r="V63" s="10"/>
      <c r="W63" s="10"/>
      <c r="X63" s="10"/>
      <c r="Y63" s="10"/>
      <c r="Z63" s="10"/>
      <c r="AA63" s="10"/>
      <c r="AB63" s="10"/>
      <c r="AC63" s="10"/>
      <c r="AD63" s="10"/>
      <c r="AE63" s="10"/>
      <c r="AF63" s="10"/>
      <c r="AG63" s="10"/>
      <c r="AH63" s="10"/>
      <c r="AI63" s="10"/>
      <c r="AJ63" s="10"/>
      <c r="AK63" s="10"/>
      <c r="AL63" s="10"/>
      <c r="AM63" s="10"/>
      <c r="AN63" s="10"/>
    </row>
    <row r="64" spans="1:40" s="54" customFormat="1" ht="16" customHeight="1" x14ac:dyDescent="0.2">
      <c r="C64" s="66"/>
      <c r="D64" s="93"/>
      <c r="U64" s="10"/>
      <c r="V64" s="10"/>
      <c r="W64" s="10"/>
      <c r="X64" s="10"/>
      <c r="Y64" s="10"/>
      <c r="Z64" s="10"/>
      <c r="AA64" s="10"/>
      <c r="AB64" s="10"/>
      <c r="AC64" s="10"/>
      <c r="AD64" s="10"/>
      <c r="AE64" s="10"/>
      <c r="AF64" s="10"/>
      <c r="AG64" s="10"/>
      <c r="AH64" s="10"/>
      <c r="AI64" s="10"/>
      <c r="AJ64" s="10"/>
      <c r="AK64" s="10"/>
      <c r="AL64" s="10"/>
      <c r="AM64" s="10"/>
      <c r="AN64" s="10"/>
    </row>
    <row r="65" spans="3:40" s="54" customFormat="1" ht="16" customHeight="1" x14ac:dyDescent="0.2">
      <c r="C65" s="66"/>
      <c r="D65" s="93"/>
      <c r="U65" s="10"/>
      <c r="V65" s="10"/>
      <c r="W65" s="10"/>
      <c r="X65" s="10"/>
      <c r="Y65" s="10"/>
      <c r="Z65" s="10"/>
      <c r="AA65" s="10"/>
      <c r="AB65" s="10"/>
      <c r="AC65" s="10"/>
      <c r="AD65" s="10"/>
      <c r="AE65" s="10"/>
      <c r="AF65" s="10"/>
      <c r="AG65" s="10"/>
      <c r="AH65" s="10"/>
      <c r="AI65" s="10"/>
      <c r="AJ65" s="10"/>
      <c r="AK65" s="10"/>
      <c r="AL65" s="10"/>
      <c r="AM65" s="10"/>
      <c r="AN65" s="10"/>
    </row>
    <row r="66" spans="3:40" s="54" customFormat="1" ht="16" customHeight="1" x14ac:dyDescent="0.2">
      <c r="C66" s="66"/>
      <c r="D66" s="93"/>
      <c r="U66" s="10"/>
      <c r="V66" s="10"/>
      <c r="W66" s="10"/>
      <c r="X66" s="10"/>
      <c r="Y66" s="10"/>
      <c r="Z66" s="10"/>
      <c r="AA66" s="10"/>
      <c r="AB66" s="10"/>
      <c r="AC66" s="10"/>
      <c r="AD66" s="10"/>
      <c r="AE66" s="10"/>
      <c r="AF66" s="10"/>
      <c r="AG66" s="10"/>
      <c r="AH66" s="10"/>
      <c r="AI66" s="10"/>
      <c r="AJ66" s="10"/>
      <c r="AK66" s="10"/>
      <c r="AL66" s="10"/>
      <c r="AM66" s="10"/>
      <c r="AN66" s="10"/>
    </row>
    <row r="67" spans="3:40" s="54" customFormat="1" ht="16" customHeight="1" x14ac:dyDescent="0.2">
      <c r="C67" s="66"/>
      <c r="D67" s="93"/>
      <c r="U67" s="10"/>
      <c r="V67" s="10"/>
      <c r="W67" s="10"/>
      <c r="X67" s="10"/>
      <c r="Y67" s="10"/>
      <c r="Z67" s="10"/>
      <c r="AA67" s="10"/>
      <c r="AB67" s="10"/>
      <c r="AC67" s="10"/>
      <c r="AD67" s="10"/>
      <c r="AE67" s="10"/>
      <c r="AF67" s="10"/>
      <c r="AG67" s="10"/>
      <c r="AH67" s="10"/>
      <c r="AI67" s="10"/>
      <c r="AJ67" s="10"/>
      <c r="AK67" s="10"/>
      <c r="AL67" s="10"/>
      <c r="AM67" s="10"/>
      <c r="AN67" s="10"/>
    </row>
    <row r="68" spans="3:40" s="54" customFormat="1" ht="16" customHeight="1" x14ac:dyDescent="0.2">
      <c r="C68" s="66"/>
      <c r="D68" s="93"/>
      <c r="U68" s="10"/>
      <c r="V68" s="10"/>
      <c r="W68" s="10"/>
      <c r="X68" s="10"/>
      <c r="Y68" s="10"/>
      <c r="Z68" s="10"/>
      <c r="AA68" s="10"/>
      <c r="AB68" s="10"/>
      <c r="AC68" s="10"/>
      <c r="AD68" s="10"/>
      <c r="AE68" s="10"/>
      <c r="AF68" s="10"/>
      <c r="AG68" s="10"/>
      <c r="AH68" s="10"/>
      <c r="AI68" s="10"/>
      <c r="AJ68" s="10"/>
      <c r="AK68" s="10"/>
      <c r="AL68" s="10"/>
      <c r="AM68" s="10"/>
      <c r="AN68" s="10"/>
    </row>
    <row r="69" spans="3:40" s="54" customFormat="1" ht="16" customHeight="1" x14ac:dyDescent="0.2">
      <c r="C69" s="66"/>
      <c r="D69" s="93"/>
    </row>
    <row r="70" spans="3:40" s="54" customFormat="1" ht="16" customHeight="1" x14ac:dyDescent="0.2">
      <c r="C70" s="66"/>
      <c r="D70" s="93"/>
    </row>
    <row r="71" spans="3:40" s="54" customFormat="1" ht="16" customHeight="1" x14ac:dyDescent="0.2">
      <c r="C71" s="66"/>
      <c r="D71" s="93"/>
    </row>
    <row r="72" spans="3:40" s="54" customFormat="1" ht="16" customHeight="1" x14ac:dyDescent="0.2">
      <c r="C72" s="66"/>
      <c r="D72" s="93"/>
    </row>
    <row r="73" spans="3:40" s="54" customFormat="1" ht="16" customHeight="1" x14ac:dyDescent="0.2">
      <c r="C73" s="66"/>
      <c r="D73" s="93"/>
    </row>
    <row r="74" spans="3:40" s="54" customFormat="1" ht="16" customHeight="1" x14ac:dyDescent="0.2">
      <c r="C74" s="66"/>
      <c r="D74" s="93"/>
    </row>
    <row r="75" spans="3:40" s="54" customFormat="1" ht="16" customHeight="1" x14ac:dyDescent="0.2">
      <c r="C75" s="66"/>
      <c r="D75" s="93"/>
    </row>
    <row r="76" spans="3:40" s="54" customFormat="1" ht="16" customHeight="1" x14ac:dyDescent="0.2">
      <c r="C76" s="66"/>
      <c r="D76" s="93"/>
    </row>
    <row r="77" spans="3:40" s="54" customFormat="1" ht="16" customHeight="1" x14ac:dyDescent="0.2">
      <c r="C77" s="66"/>
      <c r="D77" s="93"/>
    </row>
    <row r="78" spans="3:40" s="54" customFormat="1" ht="16" customHeight="1" x14ac:dyDescent="0.2">
      <c r="C78" s="66"/>
      <c r="D78" s="93"/>
    </row>
    <row r="79" spans="3:40" s="54" customFormat="1" ht="16" customHeight="1" x14ac:dyDescent="0.2">
      <c r="C79" s="66"/>
      <c r="D79" s="93"/>
    </row>
    <row r="80" spans="3:40" s="54" customFormat="1" ht="16" customHeight="1" x14ac:dyDescent="0.2">
      <c r="C80" s="66"/>
      <c r="D80" s="93"/>
    </row>
    <row r="81" spans="3:6" s="54" customFormat="1" ht="16" customHeight="1" x14ac:dyDescent="0.2">
      <c r="C81" s="66"/>
      <c r="D81" s="93"/>
    </row>
    <row r="82" spans="3:6" s="10" customFormat="1" ht="16" customHeight="1" x14ac:dyDescent="0.2">
      <c r="C82" s="66"/>
      <c r="D82" s="92"/>
      <c r="E82" s="54"/>
      <c r="F82" s="54"/>
    </row>
    <row r="83" spans="3:6" s="10" customFormat="1" ht="16" customHeight="1" x14ac:dyDescent="0.2">
      <c r="C83" s="66"/>
      <c r="D83" s="92"/>
      <c r="E83" s="54"/>
      <c r="F83" s="54"/>
    </row>
    <row r="84" spans="3:6" s="10" customFormat="1" ht="16" customHeight="1" x14ac:dyDescent="0.2">
      <c r="C84" s="66"/>
      <c r="D84" s="92"/>
      <c r="E84" s="54"/>
      <c r="F84" s="54"/>
    </row>
    <row r="85" spans="3:6" s="10" customFormat="1" ht="16" customHeight="1" x14ac:dyDescent="0.2">
      <c r="C85" s="66"/>
      <c r="D85" s="92"/>
      <c r="E85" s="54"/>
      <c r="F85" s="54"/>
    </row>
    <row r="86" spans="3:6" s="10" customFormat="1" ht="16" customHeight="1" x14ac:dyDescent="0.2">
      <c r="C86" s="66"/>
      <c r="D86" s="92"/>
      <c r="E86" s="54"/>
      <c r="F86" s="54"/>
    </row>
    <row r="87" spans="3:6" s="10" customFormat="1" ht="16" customHeight="1" x14ac:dyDescent="0.2">
      <c r="C87" s="66"/>
      <c r="D87" s="92"/>
      <c r="E87" s="54"/>
      <c r="F87" s="54"/>
    </row>
    <row r="88" spans="3:6" s="10" customFormat="1" ht="16" customHeight="1" x14ac:dyDescent="0.2">
      <c r="C88" s="66"/>
      <c r="D88" s="92"/>
      <c r="E88" s="54"/>
      <c r="F88" s="54"/>
    </row>
    <row r="89" spans="3:6" s="10" customFormat="1" ht="16" customHeight="1" x14ac:dyDescent="0.2">
      <c r="C89" s="66"/>
      <c r="D89" s="92"/>
      <c r="E89" s="54"/>
      <c r="F89" s="54"/>
    </row>
    <row r="90" spans="3:6" s="10" customFormat="1" ht="16" customHeight="1" x14ac:dyDescent="0.2">
      <c r="C90" s="66"/>
      <c r="D90" s="92"/>
      <c r="E90" s="54"/>
      <c r="F90" s="54"/>
    </row>
    <row r="91" spans="3:6" s="10" customFormat="1" ht="16" customHeight="1" x14ac:dyDescent="0.2">
      <c r="C91" s="66"/>
      <c r="D91" s="92"/>
      <c r="E91" s="54"/>
      <c r="F91" s="54"/>
    </row>
    <row r="92" spans="3:6" s="10" customFormat="1" ht="16" customHeight="1" x14ac:dyDescent="0.2">
      <c r="C92" s="66"/>
      <c r="D92" s="92"/>
      <c r="E92" s="54"/>
      <c r="F92" s="54"/>
    </row>
    <row r="93" spans="3:6" s="10" customFormat="1" ht="16" customHeight="1" x14ac:dyDescent="0.2">
      <c r="C93" s="66"/>
      <c r="D93" s="92"/>
      <c r="E93" s="54"/>
      <c r="F93" s="54"/>
    </row>
    <row r="94" spans="3:6" s="10" customFormat="1" ht="16" customHeight="1" x14ac:dyDescent="0.2">
      <c r="C94" s="66"/>
      <c r="D94" s="92"/>
      <c r="E94" s="54"/>
      <c r="F94" s="54"/>
    </row>
    <row r="95" spans="3:6" s="10" customFormat="1" ht="16" customHeight="1" x14ac:dyDescent="0.2">
      <c r="C95" s="66"/>
      <c r="D95" s="92"/>
      <c r="E95" s="54"/>
      <c r="F95" s="54"/>
    </row>
    <row r="96" spans="3:6" s="10" customFormat="1" ht="16" customHeight="1" x14ac:dyDescent="0.2">
      <c r="C96" s="66"/>
      <c r="D96" s="92"/>
      <c r="E96" s="54"/>
      <c r="F96" s="54"/>
    </row>
    <row r="97" spans="3:6" s="10" customFormat="1" ht="16" customHeight="1" x14ac:dyDescent="0.2">
      <c r="C97" s="66"/>
      <c r="D97" s="92"/>
      <c r="E97" s="54"/>
      <c r="F97" s="54"/>
    </row>
    <row r="98" spans="3:6" s="10" customFormat="1" ht="16" customHeight="1" x14ac:dyDescent="0.2">
      <c r="C98" s="66"/>
      <c r="D98" s="92"/>
      <c r="E98" s="54"/>
      <c r="F98" s="54"/>
    </row>
    <row r="99" spans="3:6" s="10" customFormat="1" ht="16" customHeight="1" x14ac:dyDescent="0.2">
      <c r="C99" s="66"/>
      <c r="D99" s="92"/>
      <c r="E99" s="54"/>
      <c r="F99" s="54"/>
    </row>
    <row r="100" spans="3:6" s="10" customFormat="1" ht="16" customHeight="1" x14ac:dyDescent="0.2">
      <c r="C100" s="66"/>
      <c r="D100" s="92"/>
      <c r="E100" s="54"/>
      <c r="F100" s="54"/>
    </row>
    <row r="101" spans="3:6" s="10" customFormat="1" ht="16" customHeight="1" x14ac:dyDescent="0.2">
      <c r="C101" s="66"/>
      <c r="D101" s="92"/>
      <c r="E101" s="54"/>
      <c r="F101" s="54"/>
    </row>
    <row r="102" spans="3:6" s="10" customFormat="1" ht="16" customHeight="1" x14ac:dyDescent="0.2">
      <c r="C102" s="66"/>
      <c r="D102" s="92"/>
      <c r="E102" s="54"/>
      <c r="F102" s="54"/>
    </row>
    <row r="103" spans="3:6" s="10" customFormat="1" ht="16" customHeight="1" x14ac:dyDescent="0.2">
      <c r="C103" s="66"/>
      <c r="D103" s="92"/>
      <c r="E103" s="54"/>
      <c r="F103" s="54"/>
    </row>
    <row r="104" spans="3:6" s="10" customFormat="1" ht="16" customHeight="1" x14ac:dyDescent="0.2">
      <c r="C104" s="66"/>
      <c r="D104" s="92"/>
      <c r="E104" s="54"/>
      <c r="F104" s="54"/>
    </row>
  </sheetData>
  <customSheetViews>
    <customSheetView guid="{238A3432-2201-4481-B06C-00480E9813A7}" printArea="1" showRuler="0">
      <selection activeCell="C10" sqref="C10"/>
      <pageMargins left="0.75" right="0.75" top="1" bottom="1" header="0.5" footer="0.5"/>
      <pageSetup orientation="portrait" horizontalDpi="300" verticalDpi="300" r:id="rId1"/>
      <headerFooter alignWithMargins="0"/>
    </customSheetView>
    <customSheetView guid="{A0B83632-25B5-FE44-8A66-2590D6BCDFDC}" scale="130" hiddenRows="1" hiddenColumns="1" topLeftCell="A4">
      <selection activeCell="C55" sqref="C55"/>
      <pageMargins left="0.43" right="0.34" top="1" bottom="1" header="0.5" footer="0.5"/>
      <pageSetup orientation="landscape" horizontalDpi="300" verticalDpi="300" r:id="rId2"/>
      <headerFooter alignWithMargins="0"/>
    </customSheetView>
  </customSheetViews>
  <mergeCells count="1">
    <mergeCell ref="B1:G1"/>
  </mergeCells>
  <phoneticPr fontId="0" type="noConversion"/>
  <conditionalFormatting sqref="C32">
    <cfRule type="cellIs" dxfId="43" priority="136" stopIfTrue="1" operator="lessThan">
      <formula>var_expensePercentage</formula>
    </cfRule>
    <cfRule type="cellIs" dxfId="42" priority="137" stopIfTrue="1" operator="greaterThanOrEqual">
      <formula>var_expensePercentage</formula>
    </cfRule>
  </conditionalFormatting>
  <conditionalFormatting sqref="D10">
    <cfRule type="cellIs" dxfId="41" priority="128" stopIfTrue="1" operator="lessThan">
      <formula>var_totalLoan</formula>
    </cfRule>
    <cfRule type="cellIs" dxfId="40" priority="129" stopIfTrue="1" operator="greaterThanOrEqual">
      <formula>var_totalLoan</formula>
    </cfRule>
  </conditionalFormatting>
  <conditionalFormatting sqref="D21">
    <cfRule type="expression" dxfId="39" priority="1" stopIfTrue="1">
      <formula>$C5=0</formula>
    </cfRule>
    <cfRule type="cellIs" dxfId="38" priority="6" stopIfTrue="1" operator="greaterThanOrEqual">
      <formula>var_operatingReserves</formula>
    </cfRule>
    <cfRule type="cellIs" dxfId="37" priority="7" stopIfTrue="1" operator="between">
      <formula>var_operatingReserves</formula>
      <formula>1</formula>
    </cfRule>
  </conditionalFormatting>
  <conditionalFormatting sqref="D37">
    <cfRule type="cellIs" dxfId="36" priority="21" stopIfTrue="1" operator="lessThan">
      <formula>var_averageCoC</formula>
    </cfRule>
    <cfRule type="cellIs" dxfId="35" priority="22" stopIfTrue="1" operator="greaterThanOrEqual">
      <formula>var_averageCoC</formula>
    </cfRule>
  </conditionalFormatting>
  <conditionalFormatting sqref="D38">
    <cfRule type="cellIs" dxfId="34" priority="24" stopIfTrue="1" operator="between">
      <formula>var_DSCR</formula>
      <formula>0.01</formula>
    </cfRule>
    <cfRule type="cellIs" dxfId="33" priority="25" stopIfTrue="1" operator="greaterThanOrEqual">
      <formula>var_DSCR</formula>
    </cfRule>
  </conditionalFormatting>
  <conditionalFormatting sqref="D48">
    <cfRule type="cellIs" dxfId="32" priority="45" stopIfTrue="1" operator="between">
      <formula>var_AAR</formula>
      <formula>0.01</formula>
    </cfRule>
    <cfRule type="cellIs" dxfId="31" priority="46" stopIfTrue="1" operator="greaterThanOrEqual">
      <formula>var_AAR</formula>
    </cfRule>
  </conditionalFormatting>
  <conditionalFormatting sqref="D50">
    <cfRule type="cellIs" dxfId="30" priority="9" stopIfTrue="1" operator="between">
      <formula>var_IRR</formula>
      <formula>0.01</formula>
    </cfRule>
    <cfRule type="cellIs" dxfId="29" priority="10" stopIfTrue="1" operator="greaterThanOrEqual">
      <formula>var_IRR</formula>
    </cfRule>
  </conditionalFormatting>
  <dataValidations count="1">
    <dataValidation type="list" allowBlank="1" showInputMessage="1" showErrorMessage="1" promptTitle="TIP" prompt="Select the Scenario from the Scenarios tab to populate the Summary tab with." sqref="G3" xr:uid="{11186401-47F6-8347-8DCC-859C37CA9A68}">
      <formula1>"1,2,3,4,5,6,7,8"</formula1>
    </dataValidation>
  </dataValidations>
  <pageMargins left="0.43" right="0.34" top="1" bottom="1" header="0.5" footer="0.5"/>
  <pageSetup orientation="landscape" horizontalDpi="300" verticalDpi="300" r:id="rId3"/>
  <headerFooter alignWithMargins="0"/>
  <cellWatches>
    <cellWatch r="F9"/>
  </cellWatch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R63"/>
  <sheetViews>
    <sheetView showGridLines="0" zoomScaleNormal="100" workbookViewId="0"/>
  </sheetViews>
  <sheetFormatPr baseColWidth="10" defaultColWidth="0" defaultRowHeight="12" outlineLevelRow="1" x14ac:dyDescent="0.2"/>
  <cols>
    <col min="1" max="1" width="3.42578125" style="751" customWidth="1"/>
    <col min="2" max="2" width="36.5703125" style="15" customWidth="1"/>
    <col min="3" max="3" width="11.28515625" style="2" customWidth="1"/>
    <col min="4" max="4" width="16.140625" style="702" customWidth="1"/>
    <col min="5" max="5" width="27.85546875" style="38" customWidth="1"/>
    <col min="6" max="6" width="10.28515625" style="2" customWidth="1"/>
    <col min="7" max="7" width="12.28515625" style="15" customWidth="1"/>
    <col min="8" max="8" width="9.28515625" style="2" customWidth="1"/>
    <col min="9" max="9" width="12.28515625" style="15" customWidth="1"/>
    <col min="10" max="10" width="9.28515625" style="2" customWidth="1"/>
    <col min="11" max="43" width="9" style="15" customWidth="1"/>
    <col min="44" max="44" width="0" style="15" hidden="1" customWidth="1"/>
    <col min="45" max="16384" width="7.85546875" style="15" hidden="1"/>
  </cols>
  <sheetData>
    <row r="1" spans="1:42" s="23" customFormat="1" ht="20" x14ac:dyDescent="0.15">
      <c r="B1" s="1179" t="s">
        <v>123</v>
      </c>
      <c r="C1" s="1179"/>
      <c r="D1" s="1179"/>
      <c r="E1" s="703"/>
      <c r="F1" s="19"/>
      <c r="G1" s="19"/>
      <c r="H1" s="19"/>
      <c r="I1" s="19"/>
      <c r="J1" s="19"/>
      <c r="K1" s="19"/>
      <c r="L1" s="20"/>
      <c r="M1" s="20"/>
      <c r="N1" s="20"/>
      <c r="O1" s="18"/>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row>
    <row r="2" spans="1:42" ht="17" outlineLevel="1" thickBot="1" x14ac:dyDescent="0.25">
      <c r="A2" s="748"/>
      <c r="C2" s="108"/>
      <c r="D2" s="108"/>
      <c r="E2" s="109"/>
      <c r="F2" s="32"/>
      <c r="G2" s="26"/>
      <c r="H2" s="32"/>
      <c r="I2" s="26"/>
      <c r="J2" s="32"/>
      <c r="K2" s="26"/>
      <c r="L2" s="26"/>
      <c r="M2" s="26"/>
      <c r="N2" s="26"/>
      <c r="O2" s="26"/>
    </row>
    <row r="3" spans="1:42" ht="16" outlineLevel="1" x14ac:dyDescent="0.2">
      <c r="A3" s="748"/>
      <c r="B3" s="778" t="s">
        <v>96</v>
      </c>
      <c r="C3" s="779"/>
      <c r="D3" s="656"/>
      <c r="E3" s="681"/>
      <c r="F3" s="109"/>
      <c r="G3" s="25"/>
      <c r="H3" s="32"/>
      <c r="I3" s="25"/>
      <c r="J3" s="32"/>
      <c r="K3" s="26"/>
      <c r="L3" s="26"/>
      <c r="M3" s="26"/>
      <c r="N3" s="26"/>
      <c r="O3" s="26"/>
    </row>
    <row r="4" spans="1:42" ht="16" outlineLevel="1" x14ac:dyDescent="0.2">
      <c r="A4" s="748"/>
      <c r="B4" s="694" t="s">
        <v>12</v>
      </c>
      <c r="C4" s="112"/>
      <c r="D4" s="678">
        <f>Summary!D6</f>
        <v>0</v>
      </c>
      <c r="E4" s="682"/>
      <c r="F4" s="109"/>
      <c r="G4" s="26"/>
      <c r="H4" s="32"/>
      <c r="I4" s="26"/>
      <c r="J4" s="32"/>
      <c r="K4" s="26"/>
      <c r="L4" s="26"/>
      <c r="M4" s="26"/>
      <c r="N4" s="26"/>
      <c r="O4" s="26"/>
    </row>
    <row r="5" spans="1:42" ht="16" outlineLevel="1" x14ac:dyDescent="0.2">
      <c r="A5" s="748"/>
      <c r="B5" s="110" t="s">
        <v>39</v>
      </c>
      <c r="C5" s="112"/>
      <c r="D5" s="678">
        <f>Summary!D10+Summary!D14</f>
        <v>0</v>
      </c>
      <c r="E5" s="682"/>
      <c r="F5" s="119"/>
      <c r="G5" s="26"/>
      <c r="H5" s="32"/>
      <c r="I5" s="26"/>
      <c r="J5" s="32"/>
      <c r="K5" s="26"/>
      <c r="L5" s="26"/>
      <c r="M5" s="26"/>
      <c r="N5" s="26"/>
      <c r="O5" s="26"/>
    </row>
    <row r="6" spans="1:42" ht="16" outlineLevel="1" x14ac:dyDescent="0.2">
      <c r="A6" s="748"/>
      <c r="B6" s="110" t="s">
        <v>16</v>
      </c>
      <c r="C6" s="112"/>
      <c r="D6" s="678">
        <f>Summary!D9</f>
        <v>0</v>
      </c>
      <c r="E6" s="682"/>
      <c r="F6" s="109"/>
      <c r="G6" s="27"/>
      <c r="H6" s="32"/>
      <c r="I6" s="27"/>
      <c r="J6" s="32"/>
      <c r="K6" s="26"/>
      <c r="L6" s="26"/>
      <c r="M6" s="26"/>
      <c r="N6" s="26"/>
      <c r="O6" s="26"/>
    </row>
    <row r="7" spans="1:42" ht="16" outlineLevel="1" x14ac:dyDescent="0.2">
      <c r="A7" s="748"/>
      <c r="B7" s="110" t="s">
        <v>97</v>
      </c>
      <c r="C7" s="112"/>
      <c r="D7" s="678">
        <f>D51</f>
        <v>0</v>
      </c>
      <c r="E7" s="682"/>
      <c r="F7" s="109"/>
      <c r="G7" s="27"/>
      <c r="H7" s="32"/>
      <c r="I7" s="27"/>
      <c r="J7" s="32"/>
      <c r="K7" s="26"/>
      <c r="L7" s="26"/>
      <c r="M7" s="26"/>
      <c r="N7" s="26"/>
      <c r="O7" s="26"/>
    </row>
    <row r="8" spans="1:42" ht="16" outlineLevel="1" x14ac:dyDescent="0.2">
      <c r="A8" s="748"/>
      <c r="B8" s="110" t="s">
        <v>94</v>
      </c>
      <c r="C8" s="112"/>
      <c r="D8" s="678">
        <f>Summary!D19</f>
        <v>0</v>
      </c>
      <c r="E8" s="682"/>
      <c r="F8" s="109"/>
      <c r="G8" s="27"/>
      <c r="H8" s="32"/>
      <c r="I8" s="27"/>
      <c r="J8" s="32"/>
      <c r="K8" s="26"/>
      <c r="L8" s="26"/>
      <c r="M8" s="26"/>
      <c r="N8" s="26"/>
      <c r="O8" s="26"/>
    </row>
    <row r="9" spans="1:42" ht="16" outlineLevel="1" x14ac:dyDescent="0.2">
      <c r="A9" s="748"/>
      <c r="B9" s="110" t="s">
        <v>401</v>
      </c>
      <c r="C9" s="112"/>
      <c r="D9" s="678">
        <f>Summary!D20</f>
        <v>0</v>
      </c>
      <c r="E9" s="682"/>
      <c r="F9" s="109"/>
      <c r="G9" s="27"/>
      <c r="H9" s="32"/>
      <c r="I9" s="27"/>
      <c r="J9" s="32"/>
      <c r="K9" s="26"/>
      <c r="L9" s="26"/>
      <c r="M9" s="26"/>
      <c r="N9" s="26"/>
      <c r="O9" s="26"/>
    </row>
    <row r="10" spans="1:42" s="43" customFormat="1" ht="35" outlineLevel="1" thickBot="1" x14ac:dyDescent="0.25">
      <c r="A10" s="761"/>
      <c r="B10" s="762" t="s">
        <v>58</v>
      </c>
      <c r="C10" s="763"/>
      <c r="D10" s="757">
        <f>IF(Loans!C3="No",SUM(D6:D9),Summary!D22)</f>
        <v>0</v>
      </c>
      <c r="E10" s="764"/>
      <c r="F10" s="765"/>
      <c r="G10" s="766"/>
      <c r="H10" s="767"/>
      <c r="I10" s="766"/>
      <c r="J10" s="767"/>
      <c r="K10" s="768"/>
      <c r="L10" s="768"/>
      <c r="M10" s="768"/>
      <c r="N10" s="768"/>
      <c r="O10" s="768"/>
    </row>
    <row r="11" spans="1:42" ht="17" thickBot="1" x14ac:dyDescent="0.25">
      <c r="A11" s="748"/>
      <c r="B11" s="111"/>
      <c r="C11" s="112"/>
      <c r="D11" s="682"/>
      <c r="E11" s="682"/>
      <c r="F11" s="119"/>
      <c r="G11" s="27"/>
      <c r="H11" s="32"/>
      <c r="I11" s="27"/>
      <c r="J11" s="32"/>
      <c r="K11" s="26"/>
      <c r="L11" s="26"/>
      <c r="M11" s="26"/>
      <c r="N11" s="26"/>
      <c r="O11" s="26"/>
    </row>
    <row r="12" spans="1:42" ht="16" x14ac:dyDescent="0.2">
      <c r="A12" s="748"/>
      <c r="B12" s="775" t="s">
        <v>98</v>
      </c>
      <c r="C12" s="776"/>
      <c r="D12" s="777"/>
      <c r="E12" s="682"/>
      <c r="F12" s="115"/>
      <c r="G12" s="27"/>
      <c r="H12" s="32"/>
      <c r="I12" s="27"/>
      <c r="J12" s="32"/>
      <c r="K12" s="26"/>
      <c r="L12" s="26"/>
      <c r="M12" s="26"/>
      <c r="N12" s="26"/>
      <c r="O12" s="26"/>
    </row>
    <row r="13" spans="1:42" ht="16" x14ac:dyDescent="0.2">
      <c r="A13" s="748"/>
      <c r="B13" s="110" t="s">
        <v>120</v>
      </c>
      <c r="C13" s="679"/>
      <c r="D13" s="172">
        <v>0</v>
      </c>
      <c r="E13" s="683"/>
      <c r="F13" s="120"/>
      <c r="G13" s="26"/>
      <c r="H13" s="28"/>
      <c r="I13" s="26"/>
      <c r="J13" s="28"/>
      <c r="K13" s="26"/>
      <c r="L13" s="26"/>
      <c r="M13" s="26"/>
      <c r="N13" s="26"/>
      <c r="O13" s="26"/>
    </row>
    <row r="14" spans="1:42" ht="16" x14ac:dyDescent="0.2">
      <c r="A14" s="748"/>
      <c r="B14" s="110" t="s">
        <v>341</v>
      </c>
      <c r="C14" s="780">
        <v>0</v>
      </c>
      <c r="D14" s="678">
        <f>C14*Summary!D4</f>
        <v>0</v>
      </c>
      <c r="F14" s="38"/>
      <c r="G14" s="26"/>
      <c r="H14" s="28"/>
      <c r="I14" s="26"/>
      <c r="J14" s="28"/>
      <c r="K14" s="26"/>
      <c r="L14" s="26"/>
      <c r="M14" s="26"/>
      <c r="N14" s="26"/>
      <c r="O14" s="26"/>
    </row>
    <row r="15" spans="1:42" ht="16" x14ac:dyDescent="0.2">
      <c r="A15" s="748"/>
      <c r="B15" s="110" t="s">
        <v>184</v>
      </c>
      <c r="C15" s="780">
        <v>0</v>
      </c>
      <c r="D15" s="678">
        <f>C15*Summary!D4</f>
        <v>0</v>
      </c>
      <c r="E15" s="15"/>
      <c r="F15" s="15"/>
      <c r="G15" s="26"/>
      <c r="H15" s="28"/>
      <c r="I15" s="26"/>
      <c r="J15" s="28"/>
      <c r="K15" s="26"/>
      <c r="L15" s="26"/>
      <c r="M15" s="26"/>
      <c r="N15" s="26"/>
      <c r="O15" s="26"/>
    </row>
    <row r="16" spans="1:42" ht="16" x14ac:dyDescent="0.2">
      <c r="A16" s="748"/>
      <c r="B16" s="110"/>
      <c r="C16" s="684"/>
      <c r="D16" s="678"/>
      <c r="E16" s="15"/>
      <c r="F16" s="692"/>
      <c r="G16" s="26"/>
      <c r="H16" s="28"/>
      <c r="I16" s="26"/>
      <c r="J16" s="28"/>
      <c r="K16" s="26"/>
      <c r="L16" s="26"/>
      <c r="M16" s="26"/>
      <c r="N16" s="26"/>
      <c r="O16" s="26"/>
    </row>
    <row r="17" spans="1:15" ht="16" x14ac:dyDescent="0.2">
      <c r="A17" s="748"/>
      <c r="B17" s="695" t="s">
        <v>99</v>
      </c>
      <c r="C17" s="683"/>
      <c r="D17" s="172"/>
      <c r="E17" s="15"/>
      <c r="F17" s="120"/>
      <c r="G17" s="26"/>
      <c r="H17" s="28"/>
      <c r="I17" s="26"/>
      <c r="J17" s="28"/>
      <c r="K17" s="26"/>
      <c r="L17" s="26"/>
      <c r="M17" s="26"/>
      <c r="N17" s="26"/>
      <c r="O17" s="26"/>
    </row>
    <row r="18" spans="1:15" ht="16" x14ac:dyDescent="0.2">
      <c r="A18" s="748"/>
      <c r="B18" s="114" t="s">
        <v>100</v>
      </c>
      <c r="C18" s="683"/>
      <c r="D18" s="172">
        <v>0</v>
      </c>
      <c r="E18" s="15"/>
      <c r="F18" s="120"/>
      <c r="G18" s="26"/>
      <c r="H18" s="28"/>
      <c r="I18" s="26"/>
      <c r="J18" s="28"/>
      <c r="K18" s="26"/>
      <c r="L18" s="26"/>
      <c r="M18" s="26"/>
      <c r="N18" s="26"/>
      <c r="O18" s="26"/>
    </row>
    <row r="19" spans="1:15" ht="16" x14ac:dyDescent="0.2">
      <c r="A19" s="748"/>
      <c r="B19" s="114" t="s">
        <v>121</v>
      </c>
      <c r="C19" s="683"/>
      <c r="D19" s="172">
        <v>0</v>
      </c>
      <c r="E19" s="15"/>
      <c r="F19" s="120"/>
      <c r="G19" s="26"/>
      <c r="H19" s="28"/>
      <c r="I19" s="26"/>
      <c r="J19" s="28"/>
      <c r="K19" s="26"/>
      <c r="L19" s="26"/>
      <c r="M19" s="26"/>
      <c r="N19" s="26"/>
      <c r="O19" s="26"/>
    </row>
    <row r="20" spans="1:15" ht="16" x14ac:dyDescent="0.2">
      <c r="A20" s="748"/>
      <c r="B20" s="114" t="s">
        <v>101</v>
      </c>
      <c r="C20" s="683"/>
      <c r="D20" s="172">
        <v>0</v>
      </c>
      <c r="E20" s="15"/>
      <c r="F20" s="115"/>
      <c r="G20" s="26"/>
      <c r="H20" s="28"/>
      <c r="I20" s="26"/>
      <c r="J20" s="28"/>
      <c r="K20" s="26"/>
      <c r="L20" s="26"/>
      <c r="M20" s="26"/>
      <c r="N20" s="26"/>
      <c r="O20" s="26"/>
    </row>
    <row r="21" spans="1:15" ht="16" x14ac:dyDescent="0.2">
      <c r="A21" s="748"/>
      <c r="B21" s="114" t="s">
        <v>249</v>
      </c>
      <c r="C21" s="683"/>
      <c r="D21" s="172">
        <v>0</v>
      </c>
      <c r="E21" s="15"/>
      <c r="F21" s="120"/>
      <c r="G21" s="26"/>
      <c r="H21" s="28"/>
      <c r="I21" s="26"/>
      <c r="J21" s="28"/>
      <c r="K21" s="26"/>
      <c r="L21" s="26"/>
      <c r="M21" s="26"/>
      <c r="N21" s="26"/>
      <c r="O21" s="26"/>
    </row>
    <row r="22" spans="1:15" ht="16" x14ac:dyDescent="0.2">
      <c r="A22" s="748"/>
      <c r="B22" s="114" t="s">
        <v>102</v>
      </c>
      <c r="C22" s="683"/>
      <c r="D22" s="172">
        <v>0</v>
      </c>
      <c r="E22" s="15"/>
      <c r="F22" s="120"/>
      <c r="G22" s="26"/>
      <c r="H22" s="28"/>
      <c r="I22" s="26"/>
      <c r="J22" s="28"/>
      <c r="K22" s="26"/>
      <c r="L22" s="26"/>
      <c r="M22" s="26"/>
      <c r="N22" s="26"/>
      <c r="O22" s="26"/>
    </row>
    <row r="23" spans="1:15" ht="16" x14ac:dyDescent="0.2">
      <c r="A23" s="748"/>
      <c r="B23" s="114" t="s">
        <v>675</v>
      </c>
      <c r="C23" s="685">
        <v>0</v>
      </c>
      <c r="D23" s="678">
        <f>C23*Summary!D10</f>
        <v>0</v>
      </c>
      <c r="E23" s="15"/>
      <c r="I23" s="27"/>
      <c r="J23" s="13"/>
      <c r="K23" s="26"/>
      <c r="L23" s="26"/>
      <c r="M23" s="26"/>
      <c r="N23" s="26"/>
      <c r="O23" s="26"/>
    </row>
    <row r="24" spans="1:15" ht="16" x14ac:dyDescent="0.2">
      <c r="A24" s="748"/>
      <c r="B24" s="1172" t="s">
        <v>674</v>
      </c>
      <c r="C24" s="685">
        <v>0</v>
      </c>
      <c r="D24" s="678">
        <f>C24*Summary!D14</f>
        <v>0</v>
      </c>
      <c r="E24" s="15"/>
      <c r="F24" s="120"/>
      <c r="G24" s="685"/>
      <c r="H24" s="682"/>
      <c r="I24" s="27"/>
      <c r="J24" s="13"/>
      <c r="K24" s="26"/>
      <c r="L24" s="26"/>
      <c r="M24" s="26"/>
      <c r="N24" s="26"/>
      <c r="O24" s="26"/>
    </row>
    <row r="25" spans="1:15" ht="16" x14ac:dyDescent="0.2">
      <c r="A25" s="748"/>
      <c r="B25" s="114" t="s">
        <v>103</v>
      </c>
      <c r="C25" s="683"/>
      <c r="D25" s="838">
        <f>SUM(D18:D23)+D24</f>
        <v>0</v>
      </c>
      <c r="E25" s="15"/>
      <c r="F25" s="120"/>
      <c r="G25" s="27"/>
      <c r="H25" s="13"/>
      <c r="I25" s="27"/>
      <c r="J25" s="13"/>
      <c r="K25" s="26"/>
      <c r="L25" s="26"/>
      <c r="M25" s="26"/>
      <c r="N25" s="26"/>
      <c r="O25" s="26"/>
    </row>
    <row r="26" spans="1:15" ht="16" x14ac:dyDescent="0.2">
      <c r="A26" s="748"/>
      <c r="B26" s="114"/>
      <c r="C26" s="683"/>
      <c r="D26" s="678"/>
      <c r="E26" s="15"/>
      <c r="F26" s="120"/>
      <c r="G26" s="27"/>
      <c r="H26" s="13"/>
      <c r="I26" s="27"/>
      <c r="J26" s="13"/>
      <c r="K26" s="26"/>
      <c r="L26" s="26"/>
      <c r="M26" s="26"/>
      <c r="N26" s="26"/>
      <c r="O26" s="26"/>
    </row>
    <row r="27" spans="1:15" ht="16" x14ac:dyDescent="0.2">
      <c r="A27" s="748"/>
      <c r="B27" s="695" t="s">
        <v>82</v>
      </c>
      <c r="C27" s="683"/>
      <c r="D27" s="678"/>
      <c r="E27" s="15"/>
      <c r="F27" s="120"/>
      <c r="G27" s="27"/>
      <c r="H27" s="13"/>
      <c r="I27" s="27"/>
      <c r="J27" s="13"/>
      <c r="K27" s="26"/>
      <c r="L27" s="26"/>
      <c r="M27" s="26"/>
      <c r="N27" s="26"/>
      <c r="O27" s="26"/>
    </row>
    <row r="28" spans="1:15" ht="16" x14ac:dyDescent="0.2">
      <c r="A28" s="748"/>
      <c r="B28" s="114" t="s">
        <v>182</v>
      </c>
      <c r="C28" s="685">
        <v>0</v>
      </c>
      <c r="D28" s="678">
        <f>C28*D4</f>
        <v>0</v>
      </c>
      <c r="E28" s="15"/>
      <c r="F28" s="115"/>
      <c r="G28" s="26"/>
      <c r="H28" s="28"/>
      <c r="I28" s="26"/>
      <c r="J28" s="28"/>
      <c r="K28" s="26"/>
      <c r="L28" s="26"/>
      <c r="M28" s="26"/>
      <c r="N28" s="26"/>
      <c r="O28" s="26"/>
    </row>
    <row r="29" spans="1:15" ht="16" x14ac:dyDescent="0.2">
      <c r="A29" s="748"/>
      <c r="B29" s="114" t="s">
        <v>40</v>
      </c>
      <c r="C29" s="683"/>
      <c r="D29" s="172">
        <v>0</v>
      </c>
      <c r="E29" s="15"/>
      <c r="F29" s="120"/>
      <c r="G29" s="26"/>
      <c r="H29" s="28"/>
      <c r="I29" s="26"/>
      <c r="J29" s="26"/>
      <c r="K29" s="26"/>
      <c r="L29" s="26"/>
      <c r="M29" s="26"/>
      <c r="N29" s="26"/>
      <c r="O29" s="26"/>
    </row>
    <row r="30" spans="1:15" ht="16" x14ac:dyDescent="0.2">
      <c r="A30" s="748"/>
      <c r="B30" s="114" t="s">
        <v>41</v>
      </c>
      <c r="C30" s="683"/>
      <c r="D30" s="172">
        <v>0</v>
      </c>
      <c r="E30" s="120"/>
      <c r="F30" s="15"/>
      <c r="G30" s="26"/>
      <c r="H30" s="28"/>
      <c r="I30" s="26"/>
      <c r="J30" s="28"/>
      <c r="K30" s="26"/>
      <c r="L30" s="26"/>
      <c r="M30" s="26"/>
      <c r="N30" s="26"/>
      <c r="O30" s="26"/>
    </row>
    <row r="31" spans="1:15" ht="16" x14ac:dyDescent="0.2">
      <c r="A31" s="748"/>
      <c r="B31" s="114" t="s">
        <v>183</v>
      </c>
      <c r="C31" s="208">
        <v>0</v>
      </c>
      <c r="D31" s="678">
        <f>C31*D4</f>
        <v>0</v>
      </c>
      <c r="E31" s="15"/>
      <c r="F31" s="15"/>
      <c r="G31" s="26"/>
      <c r="H31" s="28"/>
      <c r="I31" s="26"/>
      <c r="J31" s="28"/>
      <c r="K31" s="26"/>
      <c r="L31" s="26"/>
      <c r="M31" s="26"/>
      <c r="N31" s="26"/>
      <c r="O31" s="26"/>
    </row>
    <row r="32" spans="1:15" ht="16" x14ac:dyDescent="0.2">
      <c r="A32" s="748"/>
      <c r="B32" s="114" t="s">
        <v>104</v>
      </c>
      <c r="C32" s="683"/>
      <c r="D32" s="172">
        <v>0</v>
      </c>
      <c r="E32" s="15"/>
      <c r="F32" s="120"/>
      <c r="G32" s="26"/>
      <c r="H32" s="28"/>
      <c r="I32" s="26"/>
      <c r="J32" s="28"/>
      <c r="K32" s="26"/>
      <c r="L32" s="26"/>
      <c r="M32" s="26"/>
      <c r="N32" s="26"/>
      <c r="O32" s="26"/>
    </row>
    <row r="33" spans="1:15" ht="16" x14ac:dyDescent="0.2">
      <c r="A33" s="748"/>
      <c r="B33" s="114" t="s">
        <v>105</v>
      </c>
      <c r="C33" s="683"/>
      <c r="D33" s="172">
        <v>0</v>
      </c>
      <c r="E33" s="15"/>
      <c r="F33" s="120"/>
      <c r="G33" s="26"/>
      <c r="H33" s="28"/>
      <c r="I33" s="26"/>
      <c r="J33" s="28"/>
      <c r="K33" s="26"/>
      <c r="L33" s="26"/>
      <c r="M33" s="26"/>
      <c r="N33" s="26"/>
      <c r="O33" s="26"/>
    </row>
    <row r="34" spans="1:15" ht="16" x14ac:dyDescent="0.2">
      <c r="A34" s="748"/>
      <c r="B34" s="114" t="s">
        <v>248</v>
      </c>
      <c r="C34" s="683"/>
      <c r="D34" s="172">
        <v>0</v>
      </c>
      <c r="E34" s="15"/>
      <c r="F34" s="120"/>
      <c r="G34" s="26"/>
      <c r="H34" s="28"/>
      <c r="I34" s="26"/>
      <c r="J34" s="28"/>
      <c r="K34" s="26"/>
      <c r="L34" s="26"/>
      <c r="M34" s="26"/>
      <c r="N34" s="26"/>
      <c r="O34" s="26"/>
    </row>
    <row r="35" spans="1:15" ht="16" x14ac:dyDescent="0.2">
      <c r="A35" s="748"/>
      <c r="B35" s="110" t="s">
        <v>106</v>
      </c>
      <c r="C35" s="683"/>
      <c r="D35" s="838">
        <f>SUM(D28:D34)</f>
        <v>0</v>
      </c>
      <c r="E35" s="15"/>
      <c r="F35" s="120"/>
      <c r="G35" s="26"/>
      <c r="H35" s="28"/>
      <c r="I35" s="26"/>
      <c r="J35" s="28"/>
      <c r="K35" s="26"/>
      <c r="L35" s="26"/>
      <c r="M35" s="26"/>
      <c r="N35" s="26"/>
      <c r="O35" s="26"/>
    </row>
    <row r="36" spans="1:15" ht="16" x14ac:dyDescent="0.2">
      <c r="A36" s="748"/>
      <c r="B36" s="110"/>
      <c r="C36" s="682"/>
      <c r="D36" s="172"/>
      <c r="E36" s="15"/>
      <c r="F36" s="120"/>
      <c r="G36" s="26"/>
      <c r="H36" s="28"/>
      <c r="I36" s="26"/>
      <c r="J36" s="28"/>
      <c r="K36" s="26"/>
      <c r="L36" s="26"/>
      <c r="M36" s="26"/>
      <c r="N36" s="26"/>
      <c r="O36" s="26"/>
    </row>
    <row r="37" spans="1:15" ht="16" x14ac:dyDescent="0.2">
      <c r="A37" s="748"/>
      <c r="B37" s="695" t="s">
        <v>447</v>
      </c>
      <c r="C37" s="682"/>
      <c r="D37" s="678"/>
      <c r="E37" s="15"/>
      <c r="F37" s="120"/>
      <c r="G37" s="26"/>
      <c r="H37" s="28"/>
      <c r="I37" s="26"/>
      <c r="J37" s="28"/>
      <c r="K37" s="26"/>
      <c r="L37" s="26"/>
      <c r="M37" s="26"/>
      <c r="N37" s="26"/>
      <c r="O37" s="26"/>
    </row>
    <row r="38" spans="1:15" ht="16" x14ac:dyDescent="0.2">
      <c r="A38" s="748"/>
      <c r="B38" s="114" t="s">
        <v>448</v>
      </c>
      <c r="C38" s="682"/>
      <c r="D38" s="696">
        <v>0</v>
      </c>
      <c r="E38" s="15"/>
      <c r="F38" s="120"/>
      <c r="G38" s="26"/>
      <c r="H38" s="28"/>
      <c r="I38" s="26"/>
      <c r="J38" s="28"/>
      <c r="K38" s="26"/>
      <c r="L38" s="26"/>
      <c r="M38" s="26"/>
      <c r="N38" s="26"/>
      <c r="O38" s="26"/>
    </row>
    <row r="39" spans="1:15" ht="16" x14ac:dyDescent="0.2">
      <c r="A39" s="748"/>
      <c r="B39" s="114" t="s">
        <v>555</v>
      </c>
      <c r="C39" s="682"/>
      <c r="D39" s="696">
        <v>0</v>
      </c>
      <c r="E39" s="745"/>
      <c r="F39" s="120"/>
      <c r="G39" s="26"/>
      <c r="H39" s="28"/>
      <c r="I39" s="26"/>
      <c r="J39" s="28"/>
      <c r="K39" s="26"/>
      <c r="L39" s="26"/>
      <c r="M39" s="26"/>
      <c r="N39" s="26"/>
      <c r="O39" s="26"/>
    </row>
    <row r="40" spans="1:15" ht="16" x14ac:dyDescent="0.2">
      <c r="A40" s="748"/>
      <c r="B40" s="114" t="s">
        <v>27</v>
      </c>
      <c r="C40" s="682"/>
      <c r="D40" s="696">
        <v>0</v>
      </c>
      <c r="E40" s="15"/>
      <c r="F40" s="120"/>
      <c r="G40" s="26"/>
      <c r="H40" s="28"/>
      <c r="I40" s="26"/>
      <c r="J40" s="28"/>
      <c r="K40" s="26"/>
      <c r="L40" s="26"/>
      <c r="M40" s="26"/>
      <c r="N40" s="26"/>
      <c r="O40" s="26"/>
    </row>
    <row r="41" spans="1:15" s="667" customFormat="1" ht="16" x14ac:dyDescent="0.2">
      <c r="A41" s="749"/>
      <c r="B41" s="690" t="s">
        <v>479</v>
      </c>
      <c r="D41" s="697"/>
      <c r="G41" s="663"/>
      <c r="H41" s="666"/>
      <c r="I41" s="663"/>
      <c r="J41" s="666"/>
      <c r="K41" s="663"/>
      <c r="L41" s="663"/>
      <c r="M41" s="663"/>
      <c r="N41" s="663"/>
      <c r="O41" s="663"/>
    </row>
    <row r="42" spans="1:15" s="667" customFormat="1" ht="16" x14ac:dyDescent="0.2">
      <c r="A42" s="749"/>
      <c r="B42" s="691" t="s">
        <v>553</v>
      </c>
      <c r="C42" s="664">
        <v>0</v>
      </c>
      <c r="D42" s="698"/>
      <c r="F42" s="665"/>
      <c r="G42" s="663"/>
      <c r="H42" s="666"/>
      <c r="I42" s="663"/>
      <c r="J42" s="666"/>
      <c r="K42" s="663"/>
      <c r="L42" s="663"/>
      <c r="M42" s="663"/>
      <c r="N42" s="663"/>
      <c r="O42" s="663"/>
    </row>
    <row r="43" spans="1:15" s="667" customFormat="1" ht="16" x14ac:dyDescent="0.2">
      <c r="A43" s="749"/>
      <c r="B43" s="691" t="s">
        <v>480</v>
      </c>
      <c r="C43" s="686">
        <v>0</v>
      </c>
      <c r="D43" s="698"/>
      <c r="F43" s="665"/>
      <c r="G43" s="663"/>
      <c r="H43" s="666"/>
      <c r="I43" s="663"/>
      <c r="J43" s="666"/>
      <c r="K43" s="663"/>
      <c r="L43" s="663"/>
      <c r="M43" s="663"/>
      <c r="N43" s="663"/>
      <c r="O43" s="663"/>
    </row>
    <row r="44" spans="1:15" s="667" customFormat="1" ht="16" x14ac:dyDescent="0.2">
      <c r="A44" s="749"/>
      <c r="B44" s="691" t="s">
        <v>554</v>
      </c>
      <c r="C44" s="680"/>
      <c r="D44" s="698">
        <f>'1st Mortgage 1'!$D$7*$C$42</f>
        <v>0</v>
      </c>
      <c r="E44" s="686"/>
      <c r="F44" s="665"/>
      <c r="G44" s="663"/>
      <c r="H44" s="666"/>
      <c r="I44" s="663"/>
      <c r="J44" s="666"/>
      <c r="K44" s="663"/>
      <c r="L44" s="663"/>
      <c r="M44" s="663"/>
      <c r="N44" s="663"/>
      <c r="O44" s="663"/>
    </row>
    <row r="45" spans="1:15" s="667" customFormat="1" ht="16" x14ac:dyDescent="0.2">
      <c r="A45" s="749"/>
      <c r="B45" s="668" t="s">
        <v>450</v>
      </c>
      <c r="C45" s="693"/>
      <c r="D45" s="839">
        <f>SUM(D38:D44)</f>
        <v>0</v>
      </c>
      <c r="G45" s="663"/>
      <c r="H45" s="666"/>
      <c r="I45" s="663"/>
      <c r="J45" s="666"/>
      <c r="K45" s="663"/>
      <c r="L45" s="663"/>
      <c r="M45" s="663"/>
      <c r="N45" s="663"/>
      <c r="O45" s="663"/>
    </row>
    <row r="46" spans="1:15" ht="16" x14ac:dyDescent="0.2">
      <c r="A46" s="748"/>
      <c r="B46" s="110"/>
      <c r="C46" s="679"/>
      <c r="D46" s="172"/>
      <c r="E46" s="682"/>
      <c r="F46" s="120"/>
      <c r="G46" s="26"/>
      <c r="H46" s="28"/>
      <c r="I46" s="26"/>
      <c r="J46" s="28"/>
      <c r="K46" s="26"/>
      <c r="L46" s="26"/>
      <c r="M46" s="26"/>
      <c r="N46" s="26"/>
      <c r="O46" s="26"/>
    </row>
    <row r="47" spans="1:15" ht="16" x14ac:dyDescent="0.2">
      <c r="A47" s="748"/>
      <c r="B47" s="695" t="s">
        <v>250</v>
      </c>
      <c r="C47" s="112"/>
      <c r="D47" s="678"/>
      <c r="E47" s="682"/>
      <c r="F47" s="120"/>
      <c r="G47" s="26"/>
      <c r="H47" s="28"/>
      <c r="I47" s="26"/>
      <c r="J47" s="28"/>
      <c r="K47" s="26"/>
      <c r="L47" s="26"/>
      <c r="M47" s="26"/>
      <c r="N47" s="26"/>
      <c r="O47" s="26"/>
    </row>
    <row r="48" spans="1:15" ht="16" x14ac:dyDescent="0.2">
      <c r="A48" s="748"/>
      <c r="B48" s="114" t="s">
        <v>557</v>
      </c>
      <c r="C48" s="679"/>
      <c r="D48" s="172">
        <v>0</v>
      </c>
      <c r="E48" s="682"/>
      <c r="F48" s="120"/>
      <c r="G48" s="26"/>
      <c r="H48" s="28"/>
      <c r="I48" s="26"/>
      <c r="J48" s="28"/>
      <c r="K48" s="26"/>
      <c r="L48" s="26"/>
      <c r="M48" s="26"/>
      <c r="N48" s="26"/>
      <c r="O48" s="26"/>
    </row>
    <row r="49" spans="1:15" ht="16" x14ac:dyDescent="0.2">
      <c r="A49" s="748"/>
      <c r="B49" s="110" t="s">
        <v>251</v>
      </c>
      <c r="C49" s="112"/>
      <c r="D49" s="838">
        <f>SUM(D48)</f>
        <v>0</v>
      </c>
      <c r="E49" s="682"/>
      <c r="F49" s="120"/>
      <c r="G49" s="26"/>
      <c r="H49" s="28"/>
      <c r="I49" s="26"/>
      <c r="J49" s="28"/>
      <c r="K49" s="26"/>
      <c r="L49" s="26"/>
      <c r="M49" s="26"/>
      <c r="N49" s="26"/>
      <c r="O49" s="26"/>
    </row>
    <row r="50" spans="1:15" ht="16" x14ac:dyDescent="0.2">
      <c r="A50" s="748"/>
      <c r="B50" s="110"/>
      <c r="C50" s="679"/>
      <c r="D50" s="172"/>
      <c r="E50" s="682"/>
      <c r="F50" s="120"/>
      <c r="G50" s="26"/>
      <c r="H50" s="28"/>
      <c r="I50" s="26"/>
      <c r="J50" s="28"/>
      <c r="K50" s="26"/>
      <c r="L50" s="26"/>
      <c r="M50" s="26"/>
      <c r="N50" s="26"/>
      <c r="O50" s="26"/>
    </row>
    <row r="51" spans="1:15" ht="17" thickBot="1" x14ac:dyDescent="0.25">
      <c r="A51" s="748"/>
      <c r="B51" s="754" t="s">
        <v>69</v>
      </c>
      <c r="C51" s="755"/>
      <c r="D51" s="756">
        <f>SUM(D13:D15)+D25+D35+D45+D49</f>
        <v>0</v>
      </c>
      <c r="E51" s="683"/>
      <c r="F51" s="121"/>
      <c r="G51" s="26"/>
      <c r="H51" s="32"/>
      <c r="I51" s="26"/>
      <c r="J51" s="26"/>
      <c r="K51" s="26"/>
      <c r="L51" s="26"/>
      <c r="M51" s="26"/>
      <c r="N51" s="26"/>
      <c r="O51" s="26"/>
    </row>
    <row r="52" spans="1:15" ht="16" x14ac:dyDescent="0.2">
      <c r="A52" s="748"/>
      <c r="B52" s="657"/>
      <c r="C52" s="117"/>
      <c r="D52" s="699"/>
      <c r="E52" s="119"/>
      <c r="F52" s="32"/>
      <c r="G52" s="27"/>
      <c r="H52" s="32"/>
      <c r="I52" s="27"/>
      <c r="J52" s="32"/>
      <c r="K52" s="26"/>
      <c r="L52" s="26"/>
      <c r="M52" s="26"/>
      <c r="N52" s="26"/>
      <c r="O52" s="26"/>
    </row>
    <row r="53" spans="1:15" ht="16" x14ac:dyDescent="0.2">
      <c r="A53" s="750"/>
      <c r="B53" s="118"/>
      <c r="C53" s="116"/>
      <c r="D53" s="116"/>
      <c r="E53" s="109"/>
      <c r="F53" s="28"/>
      <c r="G53" s="27"/>
      <c r="H53" s="28"/>
      <c r="I53" s="27"/>
      <c r="J53" s="28"/>
      <c r="K53" s="24"/>
      <c r="L53" s="24"/>
      <c r="M53" s="24"/>
      <c r="N53" s="24"/>
      <c r="O53" s="24"/>
    </row>
    <row r="54" spans="1:15" s="760" customFormat="1" ht="16" x14ac:dyDescent="0.2">
      <c r="A54" s="769"/>
      <c r="B54" s="770" t="s">
        <v>556</v>
      </c>
      <c r="C54" s="727"/>
      <c r="D54" s="727"/>
      <c r="E54" s="758"/>
      <c r="F54" s="771"/>
      <c r="G54" s="759"/>
      <c r="H54" s="771"/>
      <c r="I54" s="759"/>
      <c r="J54" s="771"/>
      <c r="K54" s="772"/>
      <c r="L54" s="772"/>
      <c r="M54" s="772"/>
      <c r="N54" s="772"/>
      <c r="O54" s="772"/>
    </row>
    <row r="55" spans="1:15" s="760" customFormat="1" ht="16" x14ac:dyDescent="0.2">
      <c r="A55" s="773"/>
      <c r="B55" s="781" t="s">
        <v>558</v>
      </c>
      <c r="C55" s="774"/>
      <c r="D55" s="727"/>
      <c r="E55" s="758"/>
      <c r="F55" s="771"/>
      <c r="G55" s="759"/>
      <c r="H55" s="771"/>
      <c r="I55" s="759"/>
      <c r="J55" s="771"/>
      <c r="K55" s="772"/>
      <c r="L55" s="772"/>
      <c r="M55" s="772"/>
      <c r="N55" s="772"/>
      <c r="O55" s="772"/>
    </row>
    <row r="56" spans="1:15" s="760" customFormat="1" ht="16" x14ac:dyDescent="0.2">
      <c r="A56" s="773"/>
      <c r="B56" s="752" t="s">
        <v>559</v>
      </c>
      <c r="C56" s="774"/>
      <c r="D56" s="727"/>
      <c r="E56" s="758"/>
      <c r="F56" s="771"/>
      <c r="G56" s="759"/>
      <c r="H56" s="771"/>
      <c r="I56" s="759"/>
      <c r="J56" s="771"/>
      <c r="K56" s="772"/>
      <c r="L56" s="772"/>
      <c r="M56" s="772"/>
      <c r="N56" s="772"/>
      <c r="O56" s="772"/>
    </row>
    <row r="57" spans="1:15" ht="16" x14ac:dyDescent="0.2">
      <c r="A57" s="753"/>
      <c r="B57" s="752"/>
      <c r="C57" s="747"/>
      <c r="D57" s="116"/>
      <c r="E57" s="109"/>
      <c r="F57" s="28"/>
      <c r="G57" s="27"/>
      <c r="H57" s="28"/>
      <c r="I57" s="27"/>
      <c r="J57" s="28"/>
      <c r="K57" s="24"/>
      <c r="L57" s="24"/>
      <c r="M57" s="24"/>
      <c r="N57" s="24"/>
      <c r="O57" s="24"/>
    </row>
    <row r="58" spans="1:15" ht="16" x14ac:dyDescent="0.2">
      <c r="A58" s="750"/>
      <c r="B58" s="746"/>
      <c r="C58" s="116"/>
      <c r="D58" s="116"/>
      <c r="E58" s="109"/>
      <c r="F58" s="28"/>
      <c r="G58" s="27"/>
      <c r="H58" s="28"/>
      <c r="I58" s="27"/>
      <c r="J58" s="28"/>
      <c r="K58" s="24"/>
      <c r="L58" s="24"/>
      <c r="M58" s="24"/>
      <c r="N58" s="24"/>
      <c r="O58" s="24"/>
    </row>
    <row r="59" spans="1:15" ht="16" x14ac:dyDescent="0.2">
      <c r="A59" s="750"/>
      <c r="B59" s="102" t="str">
        <f ca="1">copyright</f>
        <v>Copyright © 2026 Michael Blank.</v>
      </c>
      <c r="C59" s="108"/>
      <c r="D59" s="108"/>
      <c r="E59" s="122"/>
      <c r="F59" s="4"/>
      <c r="G59" s="24"/>
      <c r="H59" s="4"/>
      <c r="I59" s="24"/>
      <c r="J59" s="4"/>
      <c r="K59" s="24"/>
      <c r="L59" s="24"/>
      <c r="M59" s="24"/>
      <c r="N59" s="24"/>
      <c r="O59" s="24"/>
    </row>
    <row r="60" spans="1:15" ht="16" x14ac:dyDescent="0.2">
      <c r="A60" s="750"/>
      <c r="B60" s="102" t="s">
        <v>124</v>
      </c>
      <c r="C60" s="687"/>
      <c r="D60" s="116"/>
      <c r="E60" s="122"/>
      <c r="F60" s="30"/>
      <c r="G60" s="29"/>
      <c r="H60" s="4"/>
      <c r="I60" s="24"/>
      <c r="J60" s="4"/>
      <c r="K60" s="24"/>
      <c r="L60" s="24"/>
      <c r="M60" s="24"/>
      <c r="N60" s="24"/>
      <c r="O60" s="24"/>
    </row>
    <row r="61" spans="1:15" ht="16" x14ac:dyDescent="0.2">
      <c r="A61" s="750"/>
      <c r="B61" s="108"/>
      <c r="C61" s="688"/>
      <c r="D61" s="700"/>
      <c r="E61" s="122"/>
      <c r="F61" s="31"/>
      <c r="G61" s="29"/>
      <c r="H61" s="4"/>
      <c r="I61" s="24"/>
      <c r="J61" s="4"/>
      <c r="K61" s="24"/>
      <c r="L61" s="24"/>
      <c r="M61" s="24"/>
      <c r="N61" s="24"/>
      <c r="O61" s="24"/>
    </row>
    <row r="62" spans="1:15" ht="13" x14ac:dyDescent="0.2">
      <c r="A62" s="750"/>
      <c r="B62" s="24"/>
      <c r="C62" s="689"/>
      <c r="D62" s="701"/>
      <c r="E62" s="39"/>
      <c r="F62" s="31"/>
      <c r="G62" s="29"/>
      <c r="H62" s="4"/>
      <c r="I62" s="24"/>
      <c r="J62" s="4"/>
      <c r="K62" s="24"/>
      <c r="L62" s="24"/>
      <c r="M62" s="24"/>
      <c r="N62" s="24"/>
      <c r="O62" s="24"/>
    </row>
    <row r="63" spans="1:15" x14ac:dyDescent="0.2">
      <c r="A63" s="750"/>
      <c r="B63" s="24"/>
      <c r="C63" s="24"/>
      <c r="D63" s="24"/>
      <c r="E63" s="39"/>
      <c r="F63" s="4"/>
      <c r="G63" s="24"/>
      <c r="H63" s="4"/>
      <c r="I63" s="24"/>
      <c r="J63" s="4"/>
      <c r="K63" s="24"/>
      <c r="L63" s="24"/>
      <c r="M63" s="24"/>
      <c r="N63" s="24"/>
      <c r="O63" s="24"/>
    </row>
  </sheetData>
  <customSheetViews>
    <customSheetView guid="{238A3432-2201-4481-B06C-00480E9813A7}" showRuler="0">
      <selection activeCell="G17" sqref="G17"/>
      <pageMargins left="0.75" right="0.75" top="1" bottom="1" header="0.5" footer="0.5"/>
      <pageSetup orientation="portrait" horizontalDpi="300" verticalDpi="300" r:id="rId1"/>
      <headerFooter alignWithMargins="0"/>
    </customSheetView>
    <customSheetView guid="{A0B83632-25B5-FE44-8A66-2590D6BCDFDC}" scale="130" hiddenRows="1" topLeftCell="A31">
      <selection activeCell="B50" sqref="B50"/>
      <pageMargins left="0.75" right="0.75" top="1" bottom="1" header="0.5" footer="0.5"/>
      <pageSetup orientation="portrait" horizontalDpi="300" verticalDpi="300" r:id="rId2"/>
      <headerFooter alignWithMargins="0"/>
    </customSheetView>
  </customSheetViews>
  <mergeCells count="1">
    <mergeCell ref="B1:D1"/>
  </mergeCells>
  <phoneticPr fontId="6" type="noConversion"/>
  <hyperlinks>
    <hyperlink ref="B55" r:id="rId3" display="Click to lookup the Transfer Taxes." xr:uid="{00000000-0004-0000-0600-000000000000}"/>
  </hyperlinks>
  <pageMargins left="0.75" right="0.75" top="1" bottom="1" header="0.5" footer="0.5"/>
  <pageSetup orientation="portrait" horizontalDpi="300" verticalDpi="300" r:id="rId4"/>
  <headerFooter alignWithMargins="0"/>
  <cellWatches>
    <cellWatch r="F9"/>
  </cellWatche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ummaryRight="0"/>
  </sheetPr>
  <dimension ref="A1:AC70"/>
  <sheetViews>
    <sheetView showGridLines="0" zoomScaleNormal="100" workbookViewId="0">
      <pane xSplit="3" ySplit="9" topLeftCell="D10" activePane="bottomRight" state="frozen"/>
      <selection pane="topRight"/>
      <selection pane="bottomLeft"/>
      <selection pane="bottomRight"/>
    </sheetView>
  </sheetViews>
  <sheetFormatPr baseColWidth="10" defaultColWidth="9" defaultRowHeight="16" outlineLevelRow="1" x14ac:dyDescent="0.2"/>
  <cols>
    <col min="1" max="1" width="3.42578125" style="54" customWidth="1"/>
    <col min="2" max="2" width="35.85546875" style="54" customWidth="1"/>
    <col min="3" max="3" width="7.42578125" style="54" customWidth="1"/>
    <col min="4" max="4" width="10.28515625" style="54" customWidth="1"/>
    <col min="5" max="5" width="10" style="54" customWidth="1"/>
    <col min="6" max="6" width="9.7109375" style="54" customWidth="1"/>
    <col min="7" max="7" width="10" style="54" customWidth="1"/>
    <col min="8" max="8" width="9.7109375" style="54" customWidth="1"/>
    <col min="9" max="9" width="10" style="54" customWidth="1"/>
    <col min="10" max="10" width="10.7109375" style="93" customWidth="1"/>
    <col min="11" max="11" width="10" style="54" customWidth="1"/>
    <col min="12" max="12" width="11.42578125" style="54" customWidth="1"/>
    <col min="13" max="13" width="10" style="54" customWidth="1"/>
    <col min="14" max="14" width="9.7109375" style="54" customWidth="1"/>
    <col min="15" max="15" width="10" style="54" customWidth="1"/>
    <col min="16" max="16" width="9.7109375" style="54" customWidth="1"/>
    <col min="17" max="17" width="10" style="54" customWidth="1"/>
    <col min="18" max="18" width="9.7109375" style="54" customWidth="1"/>
    <col min="19" max="19" width="10" style="54" customWidth="1"/>
    <col min="20" max="20" width="10.42578125" style="54" customWidth="1"/>
    <col min="21" max="21" width="10" style="54" customWidth="1"/>
    <col min="22" max="22" width="10.7109375" style="54" customWidth="1"/>
    <col min="23" max="23" width="10" style="54" customWidth="1"/>
    <col min="24" max="27" width="9" style="54"/>
    <col min="28" max="28" width="8.42578125" style="54" customWidth="1"/>
    <col min="29" max="29" width="9.28515625" style="54" customWidth="1"/>
    <col min="30" max="16384" width="9" style="54"/>
  </cols>
  <sheetData>
    <row r="1" spans="2:29" ht="24" customHeight="1" x14ac:dyDescent="0.2">
      <c r="B1" s="1179" t="s">
        <v>472</v>
      </c>
      <c r="C1" s="1179"/>
      <c r="D1" s="107"/>
      <c r="E1" s="107"/>
      <c r="F1" s="107"/>
      <c r="G1" s="107"/>
      <c r="H1" s="107"/>
      <c r="I1" s="107"/>
      <c r="J1" s="449"/>
      <c r="K1" s="782"/>
      <c r="L1" s="782"/>
      <c r="M1" s="782"/>
      <c r="N1" s="782"/>
      <c r="O1" s="782"/>
      <c r="P1" s="782"/>
      <c r="Q1" s="782"/>
      <c r="R1" s="782"/>
      <c r="S1" s="782"/>
      <c r="T1" s="782"/>
      <c r="U1" s="782"/>
      <c r="V1" s="782"/>
      <c r="W1" s="782"/>
    </row>
    <row r="2" spans="2:29" x14ac:dyDescent="0.2">
      <c r="K2" s="312"/>
    </row>
    <row r="4" spans="2:29" ht="12" customHeight="1" thickBot="1" x14ac:dyDescent="0.25">
      <c r="B4" s="246"/>
    </row>
    <row r="5" spans="2:29" ht="17" x14ac:dyDescent="0.2">
      <c r="B5" s="313" t="s">
        <v>68</v>
      </c>
      <c r="C5" s="314"/>
      <c r="D5" s="315" t="s">
        <v>6</v>
      </c>
      <c r="E5" s="316"/>
      <c r="F5" s="315" t="s">
        <v>7</v>
      </c>
      <c r="G5" s="315"/>
      <c r="H5" s="315" t="s">
        <v>187</v>
      </c>
      <c r="I5" s="317"/>
      <c r="J5" s="247" t="s">
        <v>188</v>
      </c>
      <c r="K5" s="248"/>
      <c r="L5" s="247" t="s">
        <v>189</v>
      </c>
      <c r="M5" s="248"/>
      <c r="N5" s="247" t="s">
        <v>190</v>
      </c>
      <c r="O5" s="248"/>
      <c r="P5" s="247" t="s">
        <v>191</v>
      </c>
      <c r="Q5" s="248"/>
      <c r="R5" s="247" t="s">
        <v>192</v>
      </c>
      <c r="S5" s="248"/>
      <c r="T5" s="247" t="s">
        <v>193</v>
      </c>
      <c r="U5" s="248"/>
      <c r="V5" s="247" t="s">
        <v>194</v>
      </c>
      <c r="W5" s="248"/>
    </row>
    <row r="6" spans="2:29" x14ac:dyDescent="0.2">
      <c r="B6" s="58" t="s">
        <v>676</v>
      </c>
      <c r="D6" s="249">
        <v>0</v>
      </c>
      <c r="F6" s="1173">
        <v>0.02</v>
      </c>
      <c r="G6" s="250"/>
      <c r="H6" s="1173">
        <f>F6</f>
        <v>0.02</v>
      </c>
      <c r="I6" s="251"/>
      <c r="J6" s="250">
        <f>H6</f>
        <v>0.02</v>
      </c>
      <c r="L6" s="250">
        <f>J6</f>
        <v>0.02</v>
      </c>
      <c r="N6" s="250">
        <f t="shared" ref="N6:V7" si="0">L6</f>
        <v>0.02</v>
      </c>
      <c r="O6" s="250"/>
      <c r="P6" s="250">
        <f t="shared" si="0"/>
        <v>0.02</v>
      </c>
      <c r="Q6" s="250"/>
      <c r="R6" s="250">
        <f t="shared" si="0"/>
        <v>0.02</v>
      </c>
      <c r="S6" s="250"/>
      <c r="T6" s="250">
        <f t="shared" si="0"/>
        <v>0.02</v>
      </c>
      <c r="U6" s="250"/>
      <c r="V6" s="250">
        <f t="shared" si="0"/>
        <v>0.02</v>
      </c>
    </row>
    <row r="7" spans="2:29" ht="17" thickBot="1" x14ac:dyDescent="0.25">
      <c r="B7" s="86" t="s">
        <v>87</v>
      </c>
      <c r="C7" s="252"/>
      <c r="D7" s="253">
        <v>0</v>
      </c>
      <c r="E7" s="252"/>
      <c r="F7" s="1174">
        <v>0.02</v>
      </c>
      <c r="G7" s="254"/>
      <c r="H7" s="1174">
        <f>F7</f>
        <v>0.02</v>
      </c>
      <c r="I7" s="255"/>
      <c r="J7" s="250">
        <f>H7</f>
        <v>0.02</v>
      </c>
      <c r="L7" s="250">
        <f>J7</f>
        <v>0.02</v>
      </c>
      <c r="M7" s="250"/>
      <c r="N7" s="250">
        <f t="shared" si="0"/>
        <v>0.02</v>
      </c>
      <c r="O7" s="250"/>
      <c r="P7" s="250">
        <f t="shared" si="0"/>
        <v>0.02</v>
      </c>
      <c r="Q7" s="250"/>
      <c r="R7" s="250">
        <f t="shared" si="0"/>
        <v>0.02</v>
      </c>
      <c r="S7" s="250"/>
      <c r="T7" s="250">
        <f t="shared" si="0"/>
        <v>0.02</v>
      </c>
      <c r="U7" s="250"/>
      <c r="V7" s="250">
        <f t="shared" si="0"/>
        <v>0.02</v>
      </c>
    </row>
    <row r="8" spans="2:29" ht="17" thickBot="1" x14ac:dyDescent="0.25">
      <c r="D8" s="256" t="str">
        <f>IF(D9=year_refi,"REFINANCE!",IF(D9=year_sale,"SALE!",""))</f>
        <v/>
      </c>
      <c r="E8" s="249"/>
      <c r="F8" s="256" t="str">
        <f>IF(F9=year_refi,"REFINANCE!",IF(F9=year_sale,"SALE!",""))</f>
        <v/>
      </c>
      <c r="H8" s="256" t="str">
        <f>IF(H9=year_refi,"REFINANCE!",IF(H9=year_sale,"SALE!",""))</f>
        <v/>
      </c>
      <c r="J8" s="256" t="str">
        <f>IF(J9=year_refi,"REFINANCE!",IF(J9=year_sale,"SALE!",""))</f>
        <v/>
      </c>
      <c r="L8" s="256" t="str">
        <f>IF(L9=year_refi,"REFINANCE!",IF(L9=year_sale,"SALE!",""))</f>
        <v>SALE!</v>
      </c>
      <c r="N8" s="256" t="str">
        <f>IF(N9=year_refi,"REFINANCE!",IF(N9=year_sale,"SALE!",""))</f>
        <v/>
      </c>
      <c r="P8" s="256" t="str">
        <f>IF(P9=year_refi,"REFINANCE!",IF(P9=year_sale,"SALE!",""))</f>
        <v/>
      </c>
      <c r="R8" s="256" t="str">
        <f>IF(R9=year_refi,"REFINANCE!",IF(R9=year_sale,"SALE!",""))</f>
        <v/>
      </c>
      <c r="T8" s="256" t="str">
        <f>IF(T9=year_refi,"REFINANCE!",IF(T9=year_sale,"SALE!",""))</f>
        <v/>
      </c>
      <c r="V8" s="256" t="str">
        <f>IF(V9=year_refi,"REFINANCE!",IF(V9=year_sale,"SALE!",""))</f>
        <v/>
      </c>
    </row>
    <row r="9" spans="2:29" x14ac:dyDescent="0.2">
      <c r="B9" s="318" t="s">
        <v>48</v>
      </c>
      <c r="C9" s="316"/>
      <c r="D9" s="315">
        <v>1</v>
      </c>
      <c r="E9" s="315"/>
      <c r="F9" s="315">
        <f>D9+1</f>
        <v>2</v>
      </c>
      <c r="G9" s="315"/>
      <c r="H9" s="315">
        <f>F9+1</f>
        <v>3</v>
      </c>
      <c r="I9" s="315"/>
      <c r="J9" s="315">
        <f>H9+1</f>
        <v>4</v>
      </c>
      <c r="K9" s="315"/>
      <c r="L9" s="315">
        <f>J9+1</f>
        <v>5</v>
      </c>
      <c r="M9" s="315"/>
      <c r="N9" s="315">
        <f>L9+1</f>
        <v>6</v>
      </c>
      <c r="O9" s="315"/>
      <c r="P9" s="315">
        <f>N9+1</f>
        <v>7</v>
      </c>
      <c r="Q9" s="315"/>
      <c r="R9" s="315">
        <f>P9+1</f>
        <v>8</v>
      </c>
      <c r="S9" s="315"/>
      <c r="T9" s="315">
        <f>R9+1</f>
        <v>9</v>
      </c>
      <c r="U9" s="315"/>
      <c r="V9" s="315">
        <f>T9+1</f>
        <v>10</v>
      </c>
      <c r="W9" s="319"/>
    </row>
    <row r="10" spans="2:29" x14ac:dyDescent="0.2">
      <c r="B10" s="257"/>
      <c r="C10" s="258" t="s">
        <v>200</v>
      </c>
      <c r="D10" s="259">
        <f>IF(Summary!$D$4=0,0,Scenarios!AB21/Summary!$D$4/12)*(1+D6)</f>
        <v>0</v>
      </c>
      <c r="E10" s="249"/>
      <c r="F10" s="259">
        <f>D10*(1+F6)</f>
        <v>0</v>
      </c>
      <c r="G10" s="260"/>
      <c r="H10" s="259">
        <f>F10*(1+H6)</f>
        <v>0</v>
      </c>
      <c r="I10" s="260"/>
      <c r="J10" s="259">
        <f>H10*(1+J6)</f>
        <v>0</v>
      </c>
      <c r="K10" s="260"/>
      <c r="L10" s="259">
        <f>J10*(1+L6)</f>
        <v>0</v>
      </c>
      <c r="M10" s="260"/>
      <c r="N10" s="259">
        <f>L10*(1+N6)</f>
        <v>0</v>
      </c>
      <c r="O10" s="260"/>
      <c r="P10" s="259">
        <f>N10*(1+P6)</f>
        <v>0</v>
      </c>
      <c r="Q10" s="260"/>
      <c r="R10" s="259">
        <f>P10*(1+R6)</f>
        <v>0</v>
      </c>
      <c r="S10" s="260"/>
      <c r="T10" s="259">
        <f>R10*(1+T6)</f>
        <v>0</v>
      </c>
      <c r="U10" s="260"/>
      <c r="V10" s="259">
        <f>T10*(1+V6)</f>
        <v>0</v>
      </c>
      <c r="W10" s="261"/>
    </row>
    <row r="11" spans="2:29" x14ac:dyDescent="0.2">
      <c r="B11" s="262" t="s">
        <v>464</v>
      </c>
      <c r="C11" s="129"/>
      <c r="D11" s="125">
        <f>D10*Summary!$D$4*12</f>
        <v>0</v>
      </c>
      <c r="E11" s="263"/>
      <c r="F11" s="125">
        <f>F10*Summary!$D$4*12</f>
        <v>0</v>
      </c>
      <c r="G11" s="208"/>
      <c r="H11" s="125">
        <f>H10*Summary!$D$4*12</f>
        <v>0</v>
      </c>
      <c r="I11" s="263"/>
      <c r="J11" s="125">
        <f>J10*Summary!$D$4*12</f>
        <v>0</v>
      </c>
      <c r="K11" s="263"/>
      <c r="L11" s="125">
        <f>L10*Summary!$D$4*12</f>
        <v>0</v>
      </c>
      <c r="M11" s="263"/>
      <c r="N11" s="125">
        <f>N10*Summary!$D$4*12</f>
        <v>0</v>
      </c>
      <c r="O11" s="263"/>
      <c r="P11" s="125">
        <f>P10*Summary!$D$4*12</f>
        <v>0</v>
      </c>
      <c r="Q11" s="263"/>
      <c r="R11" s="125">
        <f>R10*Summary!$D$4*12</f>
        <v>0</v>
      </c>
      <c r="S11" s="263"/>
      <c r="T11" s="125">
        <f>T10*Summary!$D$4*12</f>
        <v>0</v>
      </c>
      <c r="U11" s="263"/>
      <c r="V11" s="125">
        <f>V10*Summary!$D$4*12</f>
        <v>0</v>
      </c>
      <c r="W11" s="264"/>
      <c r="AB11" s="135"/>
      <c r="AC11" s="135"/>
    </row>
    <row r="12" spans="2:29" x14ac:dyDescent="0.2">
      <c r="B12" s="265" t="s">
        <v>47</v>
      </c>
      <c r="C12" s="266"/>
      <c r="D12" s="144">
        <f>-E12*D11</f>
        <v>0</v>
      </c>
      <c r="E12" s="188">
        <f>Summary!C27</f>
        <v>0</v>
      </c>
      <c r="F12" s="145">
        <f>-G12*F11</f>
        <v>0</v>
      </c>
      <c r="G12" s="188">
        <f>E12</f>
        <v>0</v>
      </c>
      <c r="H12" s="145">
        <f>-I12*H11</f>
        <v>0</v>
      </c>
      <c r="I12" s="188">
        <f>G12</f>
        <v>0</v>
      </c>
      <c r="J12" s="145">
        <f>-K12*J11</f>
        <v>0</v>
      </c>
      <c r="K12" s="188">
        <f>I12</f>
        <v>0</v>
      </c>
      <c r="L12" s="145">
        <f>-M12*L11</f>
        <v>0</v>
      </c>
      <c r="M12" s="188">
        <f>K12</f>
        <v>0</v>
      </c>
      <c r="N12" s="145">
        <f>-O12*N11</f>
        <v>0</v>
      </c>
      <c r="O12" s="188">
        <f>M12</f>
        <v>0</v>
      </c>
      <c r="P12" s="145">
        <f>-Q12*P11</f>
        <v>0</v>
      </c>
      <c r="Q12" s="188">
        <f>O12</f>
        <v>0</v>
      </c>
      <c r="R12" s="145">
        <f>-S12*R11</f>
        <v>0</v>
      </c>
      <c r="S12" s="188">
        <f>Q12</f>
        <v>0</v>
      </c>
      <c r="T12" s="145">
        <f>-U12*T11</f>
        <v>0</v>
      </c>
      <c r="U12" s="188">
        <f>S12</f>
        <v>0</v>
      </c>
      <c r="V12" s="145">
        <f>-W12*V11</f>
        <v>0</v>
      </c>
      <c r="W12" s="164">
        <f>U12</f>
        <v>0</v>
      </c>
      <c r="AB12" s="140"/>
      <c r="AC12" s="140"/>
    </row>
    <row r="13" spans="2:29" x14ac:dyDescent="0.2">
      <c r="B13" s="265" t="s">
        <v>173</v>
      </c>
      <c r="C13" s="266"/>
      <c r="D13" s="145">
        <f>-E13*D11</f>
        <v>0</v>
      </c>
      <c r="E13" s="188">
        <f>Summary!C28</f>
        <v>0</v>
      </c>
      <c r="F13" s="145">
        <f>-G13*F11</f>
        <v>0</v>
      </c>
      <c r="G13" s="188">
        <f>E13</f>
        <v>0</v>
      </c>
      <c r="H13" s="145">
        <f>-I13*H11</f>
        <v>0</v>
      </c>
      <c r="I13" s="188">
        <f>G13</f>
        <v>0</v>
      </c>
      <c r="J13" s="145">
        <f>-K13*J11</f>
        <v>0</v>
      </c>
      <c r="K13" s="188">
        <f>I13</f>
        <v>0</v>
      </c>
      <c r="L13" s="145">
        <f>-M13*L11</f>
        <v>0</v>
      </c>
      <c r="M13" s="188">
        <f>K13</f>
        <v>0</v>
      </c>
      <c r="N13" s="145">
        <f>-O13*N11</f>
        <v>0</v>
      </c>
      <c r="O13" s="188">
        <f>M13</f>
        <v>0</v>
      </c>
      <c r="P13" s="145">
        <f>-Q13*P11</f>
        <v>0</v>
      </c>
      <c r="Q13" s="188">
        <f>O13</f>
        <v>0</v>
      </c>
      <c r="R13" s="145">
        <f>-S13*R11</f>
        <v>0</v>
      </c>
      <c r="S13" s="188">
        <f>Q13</f>
        <v>0</v>
      </c>
      <c r="T13" s="145">
        <f>-U13*T11</f>
        <v>0</v>
      </c>
      <c r="U13" s="188">
        <f>S13</f>
        <v>0</v>
      </c>
      <c r="V13" s="145">
        <f>-W13*V11</f>
        <v>0</v>
      </c>
      <c r="W13" s="164">
        <f>U13</f>
        <v>0</v>
      </c>
      <c r="AB13" s="140"/>
      <c r="AC13" s="150"/>
    </row>
    <row r="14" spans="2:29" x14ac:dyDescent="0.2">
      <c r="B14" s="267" t="s">
        <v>45</v>
      </c>
      <c r="C14" s="173"/>
      <c r="D14" s="268">
        <f>SUM(D11:D13)</f>
        <v>0</v>
      </c>
      <c r="E14" s="269"/>
      <c r="F14" s="268">
        <f>SUM(F11:F13)</f>
        <v>0</v>
      </c>
      <c r="G14" s="269"/>
      <c r="H14" s="268">
        <f>SUM(H11:H13)</f>
        <v>0</v>
      </c>
      <c r="I14" s="269"/>
      <c r="J14" s="268">
        <f>SUM(J11:J13)</f>
        <v>0</v>
      </c>
      <c r="K14" s="269"/>
      <c r="L14" s="268">
        <f>SUM(L11:L13)</f>
        <v>0</v>
      </c>
      <c r="M14" s="269"/>
      <c r="N14" s="268">
        <f>SUM(N11:N13)</f>
        <v>0</v>
      </c>
      <c r="O14" s="269"/>
      <c r="P14" s="268">
        <f>SUM(P11:P13)</f>
        <v>0</v>
      </c>
      <c r="Q14" s="269"/>
      <c r="R14" s="268">
        <f>SUM(R11:R13)</f>
        <v>0</v>
      </c>
      <c r="S14" s="269"/>
      <c r="T14" s="268">
        <f>SUM(T11:T13)</f>
        <v>0</v>
      </c>
      <c r="U14" s="269"/>
      <c r="V14" s="268">
        <f>SUM(V11:V13)</f>
        <v>0</v>
      </c>
      <c r="W14" s="270"/>
      <c r="AB14" s="140"/>
      <c r="AC14" s="150"/>
    </row>
    <row r="15" spans="2:29" x14ac:dyDescent="0.2">
      <c r="B15" s="262" t="s">
        <v>25</v>
      </c>
      <c r="C15" s="129"/>
      <c r="D15" s="144">
        <f>Scenarios!AB25*(1+D6)</f>
        <v>0</v>
      </c>
      <c r="E15" s="263"/>
      <c r="F15" s="125">
        <f>D15*(1+F6)</f>
        <v>0</v>
      </c>
      <c r="G15" s="263"/>
      <c r="H15" s="125">
        <f>F15*(1+H6)</f>
        <v>0</v>
      </c>
      <c r="I15" s="263"/>
      <c r="J15" s="125">
        <f>H15*(1+J6)</f>
        <v>0</v>
      </c>
      <c r="K15" s="263"/>
      <c r="L15" s="125">
        <f>J15*(1+L6)</f>
        <v>0</v>
      </c>
      <c r="M15" s="263"/>
      <c r="N15" s="125">
        <f>L15*(1+N6)</f>
        <v>0</v>
      </c>
      <c r="O15" s="263"/>
      <c r="P15" s="125">
        <f>N15*(1+P6)</f>
        <v>0</v>
      </c>
      <c r="Q15" s="263"/>
      <c r="R15" s="125">
        <f>P15*(1+R6)</f>
        <v>0</v>
      </c>
      <c r="S15" s="263"/>
      <c r="T15" s="125">
        <f>R15*(1+T6)</f>
        <v>0</v>
      </c>
      <c r="U15" s="263"/>
      <c r="V15" s="125">
        <f>T15*(1+V6)</f>
        <v>0</v>
      </c>
      <c r="W15" s="264"/>
      <c r="AB15" s="140"/>
      <c r="AC15" s="150"/>
    </row>
    <row r="16" spans="2:29" ht="17" thickBot="1" x14ac:dyDescent="0.25">
      <c r="B16" s="210" t="s">
        <v>46</v>
      </c>
      <c r="C16" s="271"/>
      <c r="D16" s="211">
        <f>SUM(D14:D15)</f>
        <v>0</v>
      </c>
      <c r="E16" s="211"/>
      <c r="F16" s="211">
        <f>SUM(F14:F15)</f>
        <v>0</v>
      </c>
      <c r="G16" s="211"/>
      <c r="H16" s="211">
        <f>SUM(H14:H15)</f>
        <v>0</v>
      </c>
      <c r="I16" s="211"/>
      <c r="J16" s="211">
        <f>SUM(J14:J15)</f>
        <v>0</v>
      </c>
      <c r="K16" s="211"/>
      <c r="L16" s="211">
        <f>SUM(L14:L15)</f>
        <v>0</v>
      </c>
      <c r="M16" s="211"/>
      <c r="N16" s="211">
        <f>SUM(N14:N15)</f>
        <v>0</v>
      </c>
      <c r="O16" s="211"/>
      <c r="P16" s="211">
        <f>SUM(P14:P15)</f>
        <v>0</v>
      </c>
      <c r="Q16" s="211"/>
      <c r="R16" s="211">
        <f>SUM(R14:R15)</f>
        <v>0</v>
      </c>
      <c r="S16" s="211"/>
      <c r="T16" s="211">
        <f>SUM(T14:T15)</f>
        <v>0</v>
      </c>
      <c r="U16" s="211"/>
      <c r="V16" s="211">
        <f>SUM(V14:V15)</f>
        <v>0</v>
      </c>
      <c r="W16" s="272"/>
      <c r="AB16" s="140"/>
      <c r="AC16" s="150"/>
    </row>
    <row r="17" spans="1:29" ht="17" thickTop="1" x14ac:dyDescent="0.2">
      <c r="B17" s="223"/>
      <c r="C17" s="176"/>
      <c r="D17" s="117"/>
      <c r="E17" s="117"/>
      <c r="F17" s="117"/>
      <c r="G17" s="117"/>
      <c r="H17" s="117"/>
      <c r="I17" s="117"/>
      <c r="J17" s="117"/>
      <c r="K17" s="117"/>
      <c r="L17" s="117"/>
      <c r="M17" s="117"/>
      <c r="N17" s="117"/>
      <c r="O17" s="117"/>
      <c r="P17" s="117"/>
      <c r="Q17" s="117"/>
      <c r="R17" s="117"/>
      <c r="S17" s="117"/>
      <c r="T17" s="117"/>
      <c r="U17" s="117"/>
      <c r="V17" s="117"/>
      <c r="W17" s="273"/>
      <c r="AB17" s="140"/>
      <c r="AC17" s="153"/>
    </row>
    <row r="18" spans="1:29" x14ac:dyDescent="0.2">
      <c r="B18" s="320" t="s">
        <v>49</v>
      </c>
      <c r="C18" s="321"/>
      <c r="D18" s="322"/>
      <c r="E18" s="322"/>
      <c r="F18" s="322"/>
      <c r="G18" s="322"/>
      <c r="H18" s="322"/>
      <c r="I18" s="322"/>
      <c r="J18" s="322"/>
      <c r="K18" s="322"/>
      <c r="L18" s="322"/>
      <c r="M18" s="322"/>
      <c r="N18" s="322"/>
      <c r="O18" s="322"/>
      <c r="P18" s="322"/>
      <c r="Q18" s="322"/>
      <c r="R18" s="322"/>
      <c r="S18" s="322"/>
      <c r="T18" s="322"/>
      <c r="U18" s="322"/>
      <c r="V18" s="322"/>
      <c r="W18" s="323"/>
      <c r="AB18" s="140"/>
      <c r="AC18" s="153"/>
    </row>
    <row r="19" spans="1:29" outlineLevel="1" x14ac:dyDescent="0.2">
      <c r="A19" s="187"/>
      <c r="B19" s="262" t="s">
        <v>455</v>
      </c>
      <c r="C19" s="129"/>
      <c r="D19" s="137">
        <f>CHOOSE(Summary!$G$3,Scenarios!D29,Scenarios!G29,Scenarios!J29,Scenarios!M29,Scenarios!P29,Scenarios!S29,Scenarios!V29,Scenarios!Y29)*(1+$D$7)</f>
        <v>0</v>
      </c>
      <c r="E19" s="263">
        <f t="shared" ref="E19:E26" si="1">IF(D19=0,0,D19/$D$16)</f>
        <v>0</v>
      </c>
      <c r="F19" s="125">
        <f t="shared" ref="F19:F25" si="2">D19*(1+F$7)</f>
        <v>0</v>
      </c>
      <c r="G19" s="263">
        <f>IF(F19=0,0,F19/$F$16)</f>
        <v>0</v>
      </c>
      <c r="H19" s="125">
        <f t="shared" ref="H19:H31" si="3">F19*(1+H$7)</f>
        <v>0</v>
      </c>
      <c r="I19" s="263">
        <f>IF(H19=0,0,H19/$H$16)</f>
        <v>0</v>
      </c>
      <c r="J19" s="125">
        <f t="shared" ref="J19:J31" si="4">H19*(1+J$7)</f>
        <v>0</v>
      </c>
      <c r="K19" s="263">
        <f>IF(J19=0,0,J19/$J$16)</f>
        <v>0</v>
      </c>
      <c r="L19" s="125">
        <f t="shared" ref="L19:L31" si="5">J19*(1+L$7)</f>
        <v>0</v>
      </c>
      <c r="M19" s="263">
        <f>IF(L19=0,0,L19/$L$16)</f>
        <v>0</v>
      </c>
      <c r="N19" s="125">
        <f>L19*(1+N$7)</f>
        <v>0</v>
      </c>
      <c r="O19" s="263">
        <f>IF(N19=0,0,N19/$N$16)</f>
        <v>0</v>
      </c>
      <c r="P19" s="125">
        <f>N19*(1+P$7)</f>
        <v>0</v>
      </c>
      <c r="Q19" s="263">
        <f>IF(P19=0,0,P19/$P$16)</f>
        <v>0</v>
      </c>
      <c r="R19" s="125">
        <f>P19*(1+R$7)</f>
        <v>0</v>
      </c>
      <c r="S19" s="263">
        <f>IF(R19=0,0,R19/$R$16)</f>
        <v>0</v>
      </c>
      <c r="T19" s="125">
        <f>R19*(1+T$7)</f>
        <v>0</v>
      </c>
      <c r="U19" s="263">
        <f>IF(T19=0,0,T19/$T$16)</f>
        <v>0</v>
      </c>
      <c r="V19" s="125">
        <f>T19*(1+V$7)</f>
        <v>0</v>
      </c>
      <c r="W19" s="264">
        <f>IF(V19=0,0,V19/$V$16)</f>
        <v>0</v>
      </c>
      <c r="AB19" s="140"/>
      <c r="AC19" s="148"/>
    </row>
    <row r="20" spans="1:29" outlineLevel="1" x14ac:dyDescent="0.2">
      <c r="A20" s="187"/>
      <c r="B20" s="262" t="s">
        <v>43</v>
      </c>
      <c r="C20" s="129"/>
      <c r="D20" s="137">
        <f>CHOOSE(Summary!$G$3,Scenarios!D30,Scenarios!G30,Scenarios!J30,Scenarios!M30,Scenarios!P30,Scenarios!S30,Scenarios!V30,Scenarios!Y30)*(1+$D$7)</f>
        <v>0</v>
      </c>
      <c r="E20" s="263">
        <f t="shared" si="1"/>
        <v>0</v>
      </c>
      <c r="F20" s="125">
        <f t="shared" si="2"/>
        <v>0</v>
      </c>
      <c r="G20" s="263">
        <f t="shared" ref="G20:G26" si="6">IF(F20=0,0,F20/$F$16)</f>
        <v>0</v>
      </c>
      <c r="H20" s="125">
        <f t="shared" si="3"/>
        <v>0</v>
      </c>
      <c r="I20" s="263">
        <f t="shared" ref="I20:I26" si="7">IF(H20=0,0,H20/$H$16)</f>
        <v>0</v>
      </c>
      <c r="J20" s="125">
        <f t="shared" si="4"/>
        <v>0</v>
      </c>
      <c r="K20" s="263">
        <f t="shared" ref="K20:K26" si="8">IF(J20=0,0,J20/$J$16)</f>
        <v>0</v>
      </c>
      <c r="L20" s="125">
        <f t="shared" si="5"/>
        <v>0</v>
      </c>
      <c r="M20" s="263">
        <f t="shared" ref="M20:M26" si="9">IF(L20=0,0,L20/$L$16)</f>
        <v>0</v>
      </c>
      <c r="N20" s="125">
        <f>L20*(1+N$7)</f>
        <v>0</v>
      </c>
      <c r="O20" s="263">
        <f t="shared" ref="O20:O26" si="10">IF(N20=0,0,N20/$N$16)</f>
        <v>0</v>
      </c>
      <c r="P20" s="125">
        <f>N20*(1+P$7)</f>
        <v>0</v>
      </c>
      <c r="Q20" s="263">
        <f t="shared" ref="Q20:Q26" si="11">IF(P20=0,0,P20/$P$16)</f>
        <v>0</v>
      </c>
      <c r="R20" s="125">
        <f>P20*(1+R$7)</f>
        <v>0</v>
      </c>
      <c r="S20" s="263">
        <f t="shared" ref="S20:S26" si="12">IF(R20=0,0,R20/$R$16)</f>
        <v>0</v>
      </c>
      <c r="T20" s="125">
        <f>R20*(1+T$7)</f>
        <v>0</v>
      </c>
      <c r="U20" s="263">
        <f t="shared" ref="U20:U26" si="13">IF(T20=0,0,T20/$T$16)</f>
        <v>0</v>
      </c>
      <c r="V20" s="125">
        <f>T20*(1+V$7)</f>
        <v>0</v>
      </c>
      <c r="W20" s="264">
        <f t="shared" ref="W20:W26" si="14">IF(V20=0,0,V20/$V$16)</f>
        <v>0</v>
      </c>
      <c r="AB20" s="140"/>
      <c r="AC20" s="140"/>
    </row>
    <row r="21" spans="1:29" outlineLevel="1" x14ac:dyDescent="0.2">
      <c r="A21" s="187"/>
      <c r="B21" s="262" t="s">
        <v>456</v>
      </c>
      <c r="C21" s="129"/>
      <c r="D21" s="137">
        <f>CHOOSE(Summary!$G$3,Scenarios!D31,Scenarios!G31,Scenarios!J31,Scenarios!M31,Scenarios!P31,Scenarios!S31,Scenarios!V31,Scenarios!Y31)*(1+$D$7)</f>
        <v>0</v>
      </c>
      <c r="E21" s="263">
        <f t="shared" si="1"/>
        <v>0</v>
      </c>
      <c r="F21" s="125">
        <f t="shared" si="2"/>
        <v>0</v>
      </c>
      <c r="G21" s="263">
        <f t="shared" si="6"/>
        <v>0</v>
      </c>
      <c r="H21" s="125">
        <f>F21*(1+H$7)</f>
        <v>0</v>
      </c>
      <c r="I21" s="263">
        <f t="shared" si="7"/>
        <v>0</v>
      </c>
      <c r="J21" s="125">
        <f>H21*(1+J$7)</f>
        <v>0</v>
      </c>
      <c r="K21" s="263">
        <f t="shared" si="8"/>
        <v>0</v>
      </c>
      <c r="L21" s="125">
        <f>J21*(1+L$7)</f>
        <v>0</v>
      </c>
      <c r="M21" s="263">
        <f t="shared" si="9"/>
        <v>0</v>
      </c>
      <c r="N21" s="125">
        <f>L21*(1+N$7)</f>
        <v>0</v>
      </c>
      <c r="O21" s="263">
        <f t="shared" si="10"/>
        <v>0</v>
      </c>
      <c r="P21" s="125">
        <f>N21*(1+P$7)</f>
        <v>0</v>
      </c>
      <c r="Q21" s="263">
        <f t="shared" si="11"/>
        <v>0</v>
      </c>
      <c r="R21" s="125">
        <f>P21*(1+R$7)</f>
        <v>0</v>
      </c>
      <c r="S21" s="263">
        <f t="shared" si="12"/>
        <v>0</v>
      </c>
      <c r="T21" s="125">
        <f>R21*(1+T$7)</f>
        <v>0</v>
      </c>
      <c r="U21" s="263">
        <f t="shared" si="13"/>
        <v>0</v>
      </c>
      <c r="V21" s="125">
        <f>T21*(1+V$7)</f>
        <v>0</v>
      </c>
      <c r="W21" s="264">
        <f t="shared" si="14"/>
        <v>0</v>
      </c>
      <c r="AB21" s="140"/>
      <c r="AC21" s="140"/>
    </row>
    <row r="22" spans="1:29" outlineLevel="1" x14ac:dyDescent="0.2">
      <c r="A22" s="274"/>
      <c r="B22" s="262" t="s">
        <v>37</v>
      </c>
      <c r="C22" s="129"/>
      <c r="D22" s="137">
        <f>CHOOSE(Summary!$G$3,Scenarios!D32,Scenarios!G32,Scenarios!J32,Scenarios!M32,Scenarios!P32,Scenarios!S32,Scenarios!V32,Scenarios!Y32)*(1+$D$7)</f>
        <v>0</v>
      </c>
      <c r="E22" s="263">
        <f t="shared" si="1"/>
        <v>0</v>
      </c>
      <c r="F22" s="125">
        <f t="shared" si="2"/>
        <v>0</v>
      </c>
      <c r="G22" s="263">
        <f t="shared" si="6"/>
        <v>0</v>
      </c>
      <c r="H22" s="125">
        <f>F22*(1+H$7)</f>
        <v>0</v>
      </c>
      <c r="I22" s="263">
        <f t="shared" si="7"/>
        <v>0</v>
      </c>
      <c r="J22" s="125">
        <f>H22*(1+J$7)</f>
        <v>0</v>
      </c>
      <c r="K22" s="263">
        <f t="shared" si="8"/>
        <v>0</v>
      </c>
      <c r="L22" s="125">
        <f>J22*(1+L$7)</f>
        <v>0</v>
      </c>
      <c r="M22" s="263">
        <f t="shared" si="9"/>
        <v>0</v>
      </c>
      <c r="N22" s="125">
        <f>L22*(1+N$7)</f>
        <v>0</v>
      </c>
      <c r="O22" s="263">
        <f t="shared" si="10"/>
        <v>0</v>
      </c>
      <c r="P22" s="125">
        <f>N22*(1+P$7)</f>
        <v>0</v>
      </c>
      <c r="Q22" s="263">
        <f t="shared" si="11"/>
        <v>0</v>
      </c>
      <c r="R22" s="125">
        <f>P22*(1+R$7)</f>
        <v>0</v>
      </c>
      <c r="S22" s="263">
        <f t="shared" si="12"/>
        <v>0</v>
      </c>
      <c r="T22" s="125">
        <f>R22*(1+T$7)</f>
        <v>0</v>
      </c>
      <c r="U22" s="263">
        <f t="shared" si="13"/>
        <v>0</v>
      </c>
      <c r="V22" s="125">
        <f>T22*(1+V$7)</f>
        <v>0</v>
      </c>
      <c r="W22" s="264">
        <f t="shared" si="14"/>
        <v>0</v>
      </c>
    </row>
    <row r="23" spans="1:29" outlineLevel="1" x14ac:dyDescent="0.2">
      <c r="A23" s="274"/>
      <c r="B23" s="262" t="s">
        <v>27</v>
      </c>
      <c r="C23" s="129"/>
      <c r="D23" s="137">
        <f>CHOOSE(Summary!$G$3,Scenarios!D33,Scenarios!G33,Scenarios!J33,Scenarios!M33,Scenarios!P33,Scenarios!S33,Scenarios!V33,Scenarios!Y33)*(1+$D$7)</f>
        <v>0</v>
      </c>
      <c r="E23" s="263">
        <f t="shared" si="1"/>
        <v>0</v>
      </c>
      <c r="F23" s="125">
        <f t="shared" si="2"/>
        <v>0</v>
      </c>
      <c r="G23" s="263">
        <f t="shared" si="6"/>
        <v>0</v>
      </c>
      <c r="H23" s="125">
        <f t="shared" si="3"/>
        <v>0</v>
      </c>
      <c r="I23" s="263">
        <f t="shared" si="7"/>
        <v>0</v>
      </c>
      <c r="J23" s="125">
        <f t="shared" si="4"/>
        <v>0</v>
      </c>
      <c r="K23" s="263">
        <f t="shared" si="8"/>
        <v>0</v>
      </c>
      <c r="L23" s="125">
        <f t="shared" si="5"/>
        <v>0</v>
      </c>
      <c r="M23" s="263">
        <f t="shared" si="9"/>
        <v>0</v>
      </c>
      <c r="N23" s="125">
        <f t="shared" ref="N23:N31" si="15">L23*(1+N$7)</f>
        <v>0</v>
      </c>
      <c r="O23" s="263">
        <f t="shared" si="10"/>
        <v>0</v>
      </c>
      <c r="P23" s="125">
        <f t="shared" ref="P23:P31" si="16">N23*(1+P$7)</f>
        <v>0</v>
      </c>
      <c r="Q23" s="263">
        <f t="shared" si="11"/>
        <v>0</v>
      </c>
      <c r="R23" s="125">
        <f t="shared" ref="R23:R31" si="17">P23*(1+R$7)</f>
        <v>0</v>
      </c>
      <c r="S23" s="263">
        <f t="shared" si="12"/>
        <v>0</v>
      </c>
      <c r="T23" s="125">
        <f t="shared" ref="T23:T31" si="18">R23*(1+T$7)</f>
        <v>0</v>
      </c>
      <c r="U23" s="263">
        <f t="shared" si="13"/>
        <v>0</v>
      </c>
      <c r="V23" s="125">
        <f t="shared" ref="V23:V31" si="19">T23*(1+V$7)</f>
        <v>0</v>
      </c>
      <c r="W23" s="264">
        <f t="shared" si="14"/>
        <v>0</v>
      </c>
    </row>
    <row r="24" spans="1:29" outlineLevel="1" x14ac:dyDescent="0.2">
      <c r="A24" s="274"/>
      <c r="B24" s="262" t="s">
        <v>28</v>
      </c>
      <c r="C24" s="129"/>
      <c r="D24" s="137">
        <f>CHOOSE(Summary!$G$3,Scenarios!D34,Scenarios!G34,Scenarios!J34,Scenarios!M34,Scenarios!P34,Scenarios!S34,Scenarios!V34,Scenarios!Y34)*(1+$D$7)</f>
        <v>0</v>
      </c>
      <c r="E24" s="263">
        <f t="shared" si="1"/>
        <v>0</v>
      </c>
      <c r="F24" s="125">
        <f t="shared" si="2"/>
        <v>0</v>
      </c>
      <c r="G24" s="263">
        <f t="shared" si="6"/>
        <v>0</v>
      </c>
      <c r="H24" s="125">
        <f>F24*(1+H$7)</f>
        <v>0</v>
      </c>
      <c r="I24" s="263">
        <f t="shared" si="7"/>
        <v>0</v>
      </c>
      <c r="J24" s="125">
        <f>H24*(1+J$7)</f>
        <v>0</v>
      </c>
      <c r="K24" s="263">
        <f t="shared" si="8"/>
        <v>0</v>
      </c>
      <c r="L24" s="125">
        <f>J24*(1+L$7)</f>
        <v>0</v>
      </c>
      <c r="M24" s="263">
        <f t="shared" si="9"/>
        <v>0</v>
      </c>
      <c r="N24" s="125">
        <f>L24*(1+N$7)</f>
        <v>0</v>
      </c>
      <c r="O24" s="263">
        <f t="shared" si="10"/>
        <v>0</v>
      </c>
      <c r="P24" s="125">
        <f>N24*(1+P$7)</f>
        <v>0</v>
      </c>
      <c r="Q24" s="263">
        <f t="shared" si="11"/>
        <v>0</v>
      </c>
      <c r="R24" s="125">
        <f>P24*(1+R$7)</f>
        <v>0</v>
      </c>
      <c r="S24" s="263">
        <f t="shared" si="12"/>
        <v>0</v>
      </c>
      <c r="T24" s="125">
        <f>R24*(1+T$7)</f>
        <v>0</v>
      </c>
      <c r="U24" s="263">
        <f t="shared" si="13"/>
        <v>0</v>
      </c>
      <c r="V24" s="125">
        <f>T24*(1+V$7)</f>
        <v>0</v>
      </c>
      <c r="W24" s="264">
        <f t="shared" si="14"/>
        <v>0</v>
      </c>
    </row>
    <row r="25" spans="1:29" outlineLevel="1" x14ac:dyDescent="0.2">
      <c r="A25" s="274"/>
      <c r="B25" s="262" t="s">
        <v>26</v>
      </c>
      <c r="C25" s="129"/>
      <c r="D25" s="137">
        <f>CHOOSE(Summary!$G$3,Scenarios!D35,Scenarios!G35,Scenarios!J35,Scenarios!M35,Scenarios!P35,Scenarios!S35,Scenarios!V35,Scenarios!Y35)*(1+$D$7)</f>
        <v>0</v>
      </c>
      <c r="E25" s="263">
        <f t="shared" si="1"/>
        <v>0</v>
      </c>
      <c r="F25" s="125">
        <f t="shared" si="2"/>
        <v>0</v>
      </c>
      <c r="G25" s="263">
        <f t="shared" si="6"/>
        <v>0</v>
      </c>
      <c r="H25" s="125">
        <f>F25*(1+H$7)</f>
        <v>0</v>
      </c>
      <c r="I25" s="263">
        <f t="shared" si="7"/>
        <v>0</v>
      </c>
      <c r="J25" s="125">
        <f>H25*(1+J$7)</f>
        <v>0</v>
      </c>
      <c r="K25" s="263">
        <f t="shared" si="8"/>
        <v>0</v>
      </c>
      <c r="L25" s="125">
        <f>J25*(1+L$7)</f>
        <v>0</v>
      </c>
      <c r="M25" s="263">
        <f t="shared" si="9"/>
        <v>0</v>
      </c>
      <c r="N25" s="125">
        <f>L25*(1+N$7)</f>
        <v>0</v>
      </c>
      <c r="O25" s="263">
        <f t="shared" si="10"/>
        <v>0</v>
      </c>
      <c r="P25" s="125">
        <f>N25*(1+P$7)</f>
        <v>0</v>
      </c>
      <c r="Q25" s="263">
        <f t="shared" si="11"/>
        <v>0</v>
      </c>
      <c r="R25" s="125">
        <f>P25*(1+R$7)</f>
        <v>0</v>
      </c>
      <c r="S25" s="263">
        <f t="shared" si="12"/>
        <v>0</v>
      </c>
      <c r="T25" s="125">
        <f>R25*(1+T$7)</f>
        <v>0</v>
      </c>
      <c r="U25" s="263">
        <f t="shared" si="13"/>
        <v>0</v>
      </c>
      <c r="V25" s="125">
        <f>T25*(1+V$7)</f>
        <v>0</v>
      </c>
      <c r="W25" s="264">
        <f t="shared" si="14"/>
        <v>0</v>
      </c>
    </row>
    <row r="26" spans="1:29" outlineLevel="1" x14ac:dyDescent="0.2">
      <c r="A26" s="274"/>
      <c r="B26" s="262" t="s">
        <v>118</v>
      </c>
      <c r="C26" s="129"/>
      <c r="D26" s="137">
        <f>CHOOSE(Summary!$G$3,Scenarios!D36,Scenarios!G36,Scenarios!J36,Scenarios!M36,Scenarios!P36,Scenarios!S36,Scenarios!V36,Scenarios!Y36)*(1+$D$7)</f>
        <v>0</v>
      </c>
      <c r="E26" s="263">
        <f t="shared" si="1"/>
        <v>0</v>
      </c>
      <c r="F26" s="125">
        <f t="shared" ref="F26:F31" si="20">D26*(1+F$7)</f>
        <v>0</v>
      </c>
      <c r="G26" s="263">
        <f t="shared" si="6"/>
        <v>0</v>
      </c>
      <c r="H26" s="125">
        <f t="shared" si="3"/>
        <v>0</v>
      </c>
      <c r="I26" s="263">
        <f t="shared" si="7"/>
        <v>0</v>
      </c>
      <c r="J26" s="125">
        <f t="shared" si="4"/>
        <v>0</v>
      </c>
      <c r="K26" s="263">
        <f t="shared" si="8"/>
        <v>0</v>
      </c>
      <c r="L26" s="125">
        <f t="shared" si="5"/>
        <v>0</v>
      </c>
      <c r="M26" s="263">
        <f t="shared" si="9"/>
        <v>0</v>
      </c>
      <c r="N26" s="125">
        <f t="shared" si="15"/>
        <v>0</v>
      </c>
      <c r="O26" s="263">
        <f t="shared" si="10"/>
        <v>0</v>
      </c>
      <c r="P26" s="125">
        <f t="shared" si="16"/>
        <v>0</v>
      </c>
      <c r="Q26" s="263">
        <f t="shared" si="11"/>
        <v>0</v>
      </c>
      <c r="R26" s="125">
        <f t="shared" si="17"/>
        <v>0</v>
      </c>
      <c r="S26" s="263">
        <f t="shared" si="12"/>
        <v>0</v>
      </c>
      <c r="T26" s="125">
        <f t="shared" si="18"/>
        <v>0</v>
      </c>
      <c r="U26" s="263">
        <f t="shared" si="13"/>
        <v>0</v>
      </c>
      <c r="V26" s="125">
        <f t="shared" si="19"/>
        <v>0</v>
      </c>
      <c r="W26" s="264">
        <f t="shared" si="14"/>
        <v>0</v>
      </c>
    </row>
    <row r="27" spans="1:29" outlineLevel="1" x14ac:dyDescent="0.2">
      <c r="A27" s="274"/>
      <c r="B27" s="262" t="s">
        <v>89</v>
      </c>
      <c r="C27" s="208"/>
      <c r="D27" s="125">
        <f>E27*D16</f>
        <v>0</v>
      </c>
      <c r="E27" s="208">
        <f>CHOOSE(Summary!$G$3,Scenarios!F37,Scenarios!I37,Scenarios!L37,Scenarios!O37,Scenarios!R37,Scenarios!U37,Scenarios!X37,Scenarios!AA37)</f>
        <v>0</v>
      </c>
      <c r="F27" s="125">
        <f>G27*F16</f>
        <v>0</v>
      </c>
      <c r="G27" s="1175">
        <f>E27</f>
        <v>0</v>
      </c>
      <c r="H27" s="125">
        <f>I27*H16</f>
        <v>0</v>
      </c>
      <c r="I27" s="1175">
        <f>G27</f>
        <v>0</v>
      </c>
      <c r="J27" s="125">
        <f>K27*J16</f>
        <v>0</v>
      </c>
      <c r="K27" s="1175">
        <f>I27</f>
        <v>0</v>
      </c>
      <c r="L27" s="125">
        <f>M27*L16</f>
        <v>0</v>
      </c>
      <c r="M27" s="1175">
        <f>K27</f>
        <v>0</v>
      </c>
      <c r="N27" s="125">
        <f>O27*N16</f>
        <v>0</v>
      </c>
      <c r="O27" s="1175">
        <f>M27</f>
        <v>0</v>
      </c>
      <c r="P27" s="125">
        <f>Q27*P16</f>
        <v>0</v>
      </c>
      <c r="Q27" s="1175">
        <f>O27</f>
        <v>0</v>
      </c>
      <c r="R27" s="125">
        <f>S27*R16</f>
        <v>0</v>
      </c>
      <c r="S27" s="1175">
        <f>Q27</f>
        <v>0</v>
      </c>
      <c r="T27" s="125">
        <f>U27*T16</f>
        <v>0</v>
      </c>
      <c r="U27" s="1175">
        <f>S27</f>
        <v>0</v>
      </c>
      <c r="V27" s="125">
        <f>W27*V16</f>
        <v>0</v>
      </c>
      <c r="W27" s="1176">
        <f>U27</f>
        <v>0</v>
      </c>
    </row>
    <row r="28" spans="1:29" outlineLevel="1" x14ac:dyDescent="0.2">
      <c r="A28" s="187"/>
      <c r="B28" s="262" t="s">
        <v>38</v>
      </c>
      <c r="C28" s="129"/>
      <c r="D28" s="137">
        <f>CHOOSE(Summary!$G$3,Scenarios!D38,Scenarios!G38,Scenarios!J38,Scenarios!M38,Scenarios!P38,Scenarios!S38,Scenarios!V38,Scenarios!Y38)*(1+$D$7)</f>
        <v>0</v>
      </c>
      <c r="E28" s="263">
        <f>IF(D28=0,0,D28/$D$16)</f>
        <v>0</v>
      </c>
      <c r="F28" s="125">
        <f t="shared" si="20"/>
        <v>0</v>
      </c>
      <c r="G28" s="263">
        <f>IF(F28=0,0,F28/$F$16)</f>
        <v>0</v>
      </c>
      <c r="H28" s="125">
        <f t="shared" si="3"/>
        <v>0</v>
      </c>
      <c r="I28" s="263">
        <f>IF(H28=0,0,H28/$H$16)</f>
        <v>0</v>
      </c>
      <c r="J28" s="125">
        <f t="shared" si="4"/>
        <v>0</v>
      </c>
      <c r="K28" s="263">
        <f>IF(J28=0,0,J28/$J$16)</f>
        <v>0</v>
      </c>
      <c r="L28" s="125">
        <f t="shared" si="5"/>
        <v>0</v>
      </c>
      <c r="M28" s="263">
        <f>IF(L28=0,0,L28/$L$16)</f>
        <v>0</v>
      </c>
      <c r="N28" s="125">
        <f t="shared" si="15"/>
        <v>0</v>
      </c>
      <c r="O28" s="263">
        <f>IF(N28=0,0,N28/$N$16)</f>
        <v>0</v>
      </c>
      <c r="P28" s="125">
        <f t="shared" si="16"/>
        <v>0</v>
      </c>
      <c r="Q28" s="263">
        <f>IF(P28=0,0,P28/$P$16)</f>
        <v>0</v>
      </c>
      <c r="R28" s="125">
        <f t="shared" si="17"/>
        <v>0</v>
      </c>
      <c r="S28" s="263">
        <f>IF(R28=0,0,R28/$R$16)</f>
        <v>0</v>
      </c>
      <c r="T28" s="125">
        <f t="shared" si="18"/>
        <v>0</v>
      </c>
      <c r="U28" s="263">
        <f>IF(T28=0,0,T28/$T$16)</f>
        <v>0</v>
      </c>
      <c r="V28" s="125">
        <f t="shared" si="19"/>
        <v>0</v>
      </c>
      <c r="W28" s="264">
        <f>IF(V28=0,0,V28/$V$16)</f>
        <v>0</v>
      </c>
    </row>
    <row r="29" spans="1:29" outlineLevel="1" x14ac:dyDescent="0.2">
      <c r="A29" s="187"/>
      <c r="B29" s="262" t="s">
        <v>30</v>
      </c>
      <c r="C29" s="129"/>
      <c r="D29" s="137">
        <f>CHOOSE(Summary!$G$3,Scenarios!D39,Scenarios!G39,Scenarios!J39,Scenarios!M39,Scenarios!P39,Scenarios!S39,Scenarios!V39,Scenarios!Y39)*(1+$D$7)</f>
        <v>0</v>
      </c>
      <c r="E29" s="263">
        <f>IF(D29=0,0,D29/$D$16)</f>
        <v>0</v>
      </c>
      <c r="F29" s="125">
        <f t="shared" si="20"/>
        <v>0</v>
      </c>
      <c r="G29" s="263">
        <f>IF(F29=0,0,F29/$F$16)</f>
        <v>0</v>
      </c>
      <c r="H29" s="125">
        <f t="shared" si="3"/>
        <v>0</v>
      </c>
      <c r="I29" s="263">
        <f>IF(H29=0,0,H29/$H$16)</f>
        <v>0</v>
      </c>
      <c r="J29" s="125">
        <f t="shared" si="4"/>
        <v>0</v>
      </c>
      <c r="K29" s="263">
        <f>IF(J29=0,0,J29/$J$16)</f>
        <v>0</v>
      </c>
      <c r="L29" s="125">
        <f t="shared" si="5"/>
        <v>0</v>
      </c>
      <c r="M29" s="263">
        <f>IF(L29=0,0,L29/$L$16)</f>
        <v>0</v>
      </c>
      <c r="N29" s="125">
        <f t="shared" si="15"/>
        <v>0</v>
      </c>
      <c r="O29" s="263">
        <f>IF(N29=0,0,N29/$N$16)</f>
        <v>0</v>
      </c>
      <c r="P29" s="125">
        <f t="shared" si="16"/>
        <v>0</v>
      </c>
      <c r="Q29" s="263">
        <f>IF(P29=0,0,P29/$P$16)</f>
        <v>0</v>
      </c>
      <c r="R29" s="125">
        <f t="shared" si="17"/>
        <v>0</v>
      </c>
      <c r="S29" s="263">
        <f>IF(R29=0,0,R29/$R$16)</f>
        <v>0</v>
      </c>
      <c r="T29" s="125">
        <f t="shared" si="18"/>
        <v>0</v>
      </c>
      <c r="U29" s="263">
        <f>IF(T29=0,0,T29/$T$16)</f>
        <v>0</v>
      </c>
      <c r="V29" s="125">
        <f t="shared" si="19"/>
        <v>0</v>
      </c>
      <c r="W29" s="264">
        <f>IF(V29=0,0,V29/$V$16)</f>
        <v>0</v>
      </c>
    </row>
    <row r="30" spans="1:29" outlineLevel="1" x14ac:dyDescent="0.2">
      <c r="A30" s="187"/>
      <c r="B30" s="262" t="s">
        <v>457</v>
      </c>
      <c r="C30" s="129"/>
      <c r="D30" s="137">
        <f>CHOOSE(Summary!$G$3,Scenarios!D40,Scenarios!G40,Scenarios!J40,Scenarios!M40,Scenarios!P40,Scenarios!S40,Scenarios!V40,Scenarios!Y40)*(1+$D$7)</f>
        <v>0</v>
      </c>
      <c r="E30" s="263">
        <f>IF(D30=0,0,D30/$D$16)</f>
        <v>0</v>
      </c>
      <c r="F30" s="125">
        <f t="shared" si="20"/>
        <v>0</v>
      </c>
      <c r="G30" s="263">
        <f>IF(F30=0,0,F30/$F$16)</f>
        <v>0</v>
      </c>
      <c r="H30" s="125">
        <f t="shared" si="3"/>
        <v>0</v>
      </c>
      <c r="I30" s="263">
        <f>IF(H30=0,0,H30/$H$16)</f>
        <v>0</v>
      </c>
      <c r="J30" s="125">
        <f t="shared" si="4"/>
        <v>0</v>
      </c>
      <c r="K30" s="263">
        <f>IF(J30=0,0,J30/$J$16)</f>
        <v>0</v>
      </c>
      <c r="L30" s="125">
        <f t="shared" si="5"/>
        <v>0</v>
      </c>
      <c r="M30" s="263">
        <f>IF(L30=0,0,L30/$L$16)</f>
        <v>0</v>
      </c>
      <c r="N30" s="125">
        <f t="shared" si="15"/>
        <v>0</v>
      </c>
      <c r="O30" s="263">
        <f>IF(N30=0,0,N30/$N$16)</f>
        <v>0</v>
      </c>
      <c r="P30" s="125">
        <f t="shared" si="16"/>
        <v>0</v>
      </c>
      <c r="Q30" s="263">
        <f>IF(P30=0,0,P30/$P$16)</f>
        <v>0</v>
      </c>
      <c r="R30" s="125">
        <f t="shared" si="17"/>
        <v>0</v>
      </c>
      <c r="S30" s="263">
        <f>IF(R30=0,0,R30/$R$16)</f>
        <v>0</v>
      </c>
      <c r="T30" s="125">
        <f t="shared" si="18"/>
        <v>0</v>
      </c>
      <c r="U30" s="263">
        <f>IF(T30=0,0,T30/$T$16)</f>
        <v>0</v>
      </c>
      <c r="V30" s="125">
        <f t="shared" si="19"/>
        <v>0</v>
      </c>
      <c r="W30" s="264">
        <f>IF(V30=0,0,V30/$V$16)</f>
        <v>0</v>
      </c>
    </row>
    <row r="31" spans="1:29" outlineLevel="1" x14ac:dyDescent="0.2">
      <c r="A31" s="187"/>
      <c r="B31" s="262" t="s">
        <v>119</v>
      </c>
      <c r="C31" s="129"/>
      <c r="D31" s="137">
        <f>CHOOSE(Summary!$G$3,Scenarios!D41,Scenarios!G41,Scenarios!J41,Scenarios!M41,Scenarios!P41,Scenarios!S41,Scenarios!V41,Scenarios!Y41)*(1+$D$7)</f>
        <v>0</v>
      </c>
      <c r="E31" s="263">
        <f>IF(D31=0,0,D31/$D$16)</f>
        <v>0</v>
      </c>
      <c r="F31" s="125">
        <f t="shared" si="20"/>
        <v>0</v>
      </c>
      <c r="G31" s="263">
        <f>IF(F31=0,0,F31/$F$16)</f>
        <v>0</v>
      </c>
      <c r="H31" s="125">
        <f t="shared" si="3"/>
        <v>0</v>
      </c>
      <c r="I31" s="263">
        <f>IF(H31=0,0,H31/$H$16)</f>
        <v>0</v>
      </c>
      <c r="J31" s="125">
        <f t="shared" si="4"/>
        <v>0</v>
      </c>
      <c r="K31" s="263">
        <f>IF(J31=0,0,J31/$J$16)</f>
        <v>0</v>
      </c>
      <c r="L31" s="125">
        <f t="shared" si="5"/>
        <v>0</v>
      </c>
      <c r="M31" s="263">
        <f>IF(L31=0,0,L31/$L$16)</f>
        <v>0</v>
      </c>
      <c r="N31" s="125">
        <f t="shared" si="15"/>
        <v>0</v>
      </c>
      <c r="O31" s="263">
        <f>IF(N31=0,0,N31/$N$16)</f>
        <v>0</v>
      </c>
      <c r="P31" s="125">
        <f t="shared" si="16"/>
        <v>0</v>
      </c>
      <c r="Q31" s="263">
        <f>IF(P31=0,0,P31/$P$16)</f>
        <v>0</v>
      </c>
      <c r="R31" s="125">
        <f t="shared" si="17"/>
        <v>0</v>
      </c>
      <c r="S31" s="263">
        <f>IF(R31=0,0,R31/$R$16)</f>
        <v>0</v>
      </c>
      <c r="T31" s="125">
        <f t="shared" si="18"/>
        <v>0</v>
      </c>
      <c r="U31" s="263">
        <f>IF(T31=0,0,T31/$T$16)</f>
        <v>0</v>
      </c>
      <c r="V31" s="125">
        <f t="shared" si="19"/>
        <v>0</v>
      </c>
      <c r="W31" s="264">
        <f>IF(V31=0,0,V31/$V$16)</f>
        <v>0</v>
      </c>
    </row>
    <row r="32" spans="1:29" outlineLevel="1" x14ac:dyDescent="0.2">
      <c r="A32" s="187"/>
      <c r="B32" s="262" t="s">
        <v>56</v>
      </c>
      <c r="C32" s="129"/>
      <c r="D32" s="137">
        <f>CHOOSE(Summary!$G$3,Scenarios!D42,Scenarios!G42,Scenarios!J42,Scenarios!M42,Scenarios!P42,Scenarios!S42,Scenarios!V42,Scenarios!Y42)</f>
        <v>0</v>
      </c>
      <c r="E32" s="263">
        <f>IF(D32=0,0,D32/$D$16)</f>
        <v>0</v>
      </c>
      <c r="F32" s="125">
        <f>D32</f>
        <v>0</v>
      </c>
      <c r="G32" s="263">
        <f>IF(F32=0,0,F32/$F$16)</f>
        <v>0</v>
      </c>
      <c r="H32" s="125">
        <f>F32</f>
        <v>0</v>
      </c>
      <c r="I32" s="263">
        <f>IF(H32=0,0,H32/$H$16)</f>
        <v>0</v>
      </c>
      <c r="J32" s="125">
        <f>H32</f>
        <v>0</v>
      </c>
      <c r="K32" s="263">
        <f>IF(J32=0,0,J32/$J$16)</f>
        <v>0</v>
      </c>
      <c r="L32" s="125">
        <f>J32</f>
        <v>0</v>
      </c>
      <c r="M32" s="263">
        <f>IF(L32=0,0,L32/$L$16)</f>
        <v>0</v>
      </c>
      <c r="N32" s="125">
        <f>L32</f>
        <v>0</v>
      </c>
      <c r="O32" s="263">
        <f>IF(N32=0,0,N32/$N$16)</f>
        <v>0</v>
      </c>
      <c r="P32" s="125">
        <f>N32</f>
        <v>0</v>
      </c>
      <c r="Q32" s="263">
        <f>IF(P32=0,0,P32/$P$16)</f>
        <v>0</v>
      </c>
      <c r="R32" s="125">
        <f>P32</f>
        <v>0</v>
      </c>
      <c r="S32" s="263">
        <f>IF(R32=0,0,R32/$R$16)</f>
        <v>0</v>
      </c>
      <c r="T32" s="125">
        <f>R32</f>
        <v>0</v>
      </c>
      <c r="U32" s="263">
        <f>IF(T32=0,0,T32/$T$16)</f>
        <v>0</v>
      </c>
      <c r="V32" s="125">
        <f>T32</f>
        <v>0</v>
      </c>
      <c r="W32" s="264">
        <f>IF(V32=0,0,V32/$V$16)</f>
        <v>0</v>
      </c>
    </row>
    <row r="33" spans="1:23" ht="17" thickBot="1" x14ac:dyDescent="0.25">
      <c r="A33" s="187"/>
      <c r="B33" s="275" t="s">
        <v>55</v>
      </c>
      <c r="C33" s="276"/>
      <c r="D33" s="174">
        <f>IF(SUM(D19:D32)=0,Scenarios!AB47*(1+D7),SUM(D19:D32))</f>
        <v>0</v>
      </c>
      <c r="E33" s="277">
        <f>IF(D33=0,0,D33/D16)</f>
        <v>0</v>
      </c>
      <c r="F33" s="174">
        <f>IF(SUM(F19:F32)=0,D33*(1+F7),SUM(F19:F32))</f>
        <v>0</v>
      </c>
      <c r="G33" s="277">
        <f>IF(F33=0,0,F33/F16)</f>
        <v>0</v>
      </c>
      <c r="H33" s="174">
        <f>IF(SUM(H19:H32)=0,F33*(1+H7),SUM(H19:H32))</f>
        <v>0</v>
      </c>
      <c r="I33" s="277">
        <f>IF(H33=0,0,H33/H16)</f>
        <v>0</v>
      </c>
      <c r="J33" s="174">
        <f>IF(SUM(J19:J32)=0,H33*(1+J7),SUM(J19:J32))</f>
        <v>0</v>
      </c>
      <c r="K33" s="277">
        <f>IF(J33=0,0,J33/J16)</f>
        <v>0</v>
      </c>
      <c r="L33" s="174">
        <f>IF(SUM(L19:L32)=0,J33*(1+L7),SUM(L19:L32))</f>
        <v>0</v>
      </c>
      <c r="M33" s="277">
        <f>IF(L33=0,0,L33/L16)</f>
        <v>0</v>
      </c>
      <c r="N33" s="174">
        <f>IF(SUM(N19:N32)=0,L33*(1+N7),SUM(N19:N32))</f>
        <v>0</v>
      </c>
      <c r="O33" s="277">
        <f>IF(N33=0,0,N33/N16)</f>
        <v>0</v>
      </c>
      <c r="P33" s="174">
        <f>IF(SUM(P19:P32)=0,N33*(1+P7),SUM(P19:P32))</f>
        <v>0</v>
      </c>
      <c r="Q33" s="277">
        <f>IF(P33=0,0,P33/P16)</f>
        <v>0</v>
      </c>
      <c r="R33" s="174">
        <f>IF(SUM(R19:R32)=0,P33*(1+R7),SUM(R19:R32))</f>
        <v>0</v>
      </c>
      <c r="S33" s="277">
        <f>IF(R33=0,0,R33/R16)</f>
        <v>0</v>
      </c>
      <c r="T33" s="174">
        <f>IF(SUM(T19:T32)=0,R33*(1+T7),SUM(T19:T32))</f>
        <v>0</v>
      </c>
      <c r="U33" s="277">
        <f>IF(T33=0,0,T33/T16)</f>
        <v>0</v>
      </c>
      <c r="V33" s="174">
        <f>IF(SUM(V19:V32)=0,T33*(1+V7),SUM(V19:V32))</f>
        <v>0</v>
      </c>
      <c r="W33" s="277">
        <f>IF(V33=0,0,V33/V16)</f>
        <v>0</v>
      </c>
    </row>
    <row r="34" spans="1:23" ht="17" thickBot="1" x14ac:dyDescent="0.25">
      <c r="B34" s="278"/>
      <c r="C34" s="279"/>
      <c r="D34" s="230"/>
      <c r="E34" s="230"/>
      <c r="F34" s="226"/>
      <c r="G34" s="226"/>
      <c r="H34" s="226"/>
      <c r="I34" s="226"/>
      <c r="J34" s="226"/>
      <c r="K34" s="226"/>
      <c r="L34" s="226"/>
      <c r="M34" s="226"/>
      <c r="N34" s="226"/>
      <c r="O34" s="226"/>
      <c r="P34" s="226"/>
      <c r="Q34" s="226"/>
      <c r="R34" s="226"/>
      <c r="S34" s="226"/>
      <c r="T34" s="226"/>
      <c r="U34" s="226"/>
      <c r="V34" s="226"/>
      <c r="W34" s="155"/>
    </row>
    <row r="35" spans="1:23" ht="17" thickBot="1" x14ac:dyDescent="0.25">
      <c r="B35" s="954" t="s">
        <v>32</v>
      </c>
      <c r="C35" s="955"/>
      <c r="D35" s="956">
        <f>D16-D33</f>
        <v>0</v>
      </c>
      <c r="E35" s="956"/>
      <c r="F35" s="956">
        <f>F16-F33</f>
        <v>0</v>
      </c>
      <c r="G35" s="956"/>
      <c r="H35" s="956">
        <f>H16-H33</f>
        <v>0</v>
      </c>
      <c r="I35" s="956"/>
      <c r="J35" s="956">
        <f>J16-J33</f>
        <v>0</v>
      </c>
      <c r="K35" s="956"/>
      <c r="L35" s="956">
        <f>L16-L33</f>
        <v>0</v>
      </c>
      <c r="M35" s="956"/>
      <c r="N35" s="956">
        <f>N16-N33</f>
        <v>0</v>
      </c>
      <c r="O35" s="956"/>
      <c r="P35" s="956">
        <f>P16-P33</f>
        <v>0</v>
      </c>
      <c r="Q35" s="956"/>
      <c r="R35" s="956">
        <f>R16-R33</f>
        <v>0</v>
      </c>
      <c r="S35" s="956"/>
      <c r="T35" s="956">
        <f>T16-T33</f>
        <v>0</v>
      </c>
      <c r="U35" s="956"/>
      <c r="V35" s="956">
        <f>V16-V33</f>
        <v>0</v>
      </c>
      <c r="W35" s="957"/>
    </row>
    <row r="36" spans="1:23" x14ac:dyDescent="0.2">
      <c r="B36" s="280"/>
      <c r="C36" s="281"/>
      <c r="D36" s="136"/>
      <c r="E36" s="136"/>
      <c r="F36" s="189"/>
      <c r="G36" s="189"/>
      <c r="H36" s="189"/>
      <c r="I36" s="189"/>
      <c r="J36" s="189"/>
      <c r="K36" s="189"/>
      <c r="L36" s="189"/>
      <c r="M36" s="189"/>
      <c r="N36" s="189"/>
      <c r="O36" s="189"/>
      <c r="P36" s="189"/>
      <c r="Q36" s="189"/>
      <c r="R36" s="189"/>
      <c r="S36" s="189"/>
      <c r="T36" s="189"/>
      <c r="U36" s="189"/>
      <c r="V36" s="189"/>
      <c r="W36" s="236"/>
    </row>
    <row r="37" spans="1:23" x14ac:dyDescent="0.2">
      <c r="B37" s="223" t="s">
        <v>15</v>
      </c>
      <c r="C37" s="176"/>
      <c r="D37" s="245"/>
      <c r="E37" s="137"/>
      <c r="F37" s="245"/>
      <c r="G37" s="125"/>
      <c r="H37" s="245"/>
      <c r="I37" s="125"/>
      <c r="J37" s="245"/>
      <c r="K37" s="125"/>
      <c r="L37" s="245"/>
      <c r="M37" s="125"/>
      <c r="N37" s="245"/>
      <c r="O37" s="125"/>
      <c r="P37" s="245"/>
      <c r="Q37" s="125"/>
      <c r="R37" s="245"/>
      <c r="S37" s="125"/>
      <c r="T37" s="245"/>
      <c r="U37" s="125"/>
      <c r="V37" s="245"/>
      <c r="W37" s="147"/>
    </row>
    <row r="38" spans="1:23" x14ac:dyDescent="0.2">
      <c r="B38" s="262" t="s">
        <v>8</v>
      </c>
      <c r="C38" s="129"/>
      <c r="D38" s="66">
        <f ca="1">OFFSET(Loans!$H$32,0,(D9-1))</f>
        <v>0</v>
      </c>
      <c r="E38" s="282"/>
      <c r="F38" s="66">
        <f ca="1">OFFSET(Loans!$H$32,0,(F9-1))</f>
        <v>0</v>
      </c>
      <c r="G38" s="283"/>
      <c r="H38" s="66">
        <f ca="1">OFFSET(Loans!$H$32,0,(H9-1))</f>
        <v>0</v>
      </c>
      <c r="I38" s="283"/>
      <c r="J38" s="66">
        <f ca="1">OFFSET(Loans!$H$32,0,(J9-1))</f>
        <v>0</v>
      </c>
      <c r="K38" s="283"/>
      <c r="L38" s="66">
        <f ca="1">OFFSET(Loans!$H$32,0,(L9-1))</f>
        <v>0</v>
      </c>
      <c r="M38" s="283"/>
      <c r="N38" s="66">
        <f ca="1">OFFSET(Loans!$H$32,0,(N9-1))</f>
        <v>0</v>
      </c>
      <c r="O38" s="283"/>
      <c r="P38" s="66">
        <f ca="1">OFFSET(Loans!$H$32,0,(P9-1))</f>
        <v>0</v>
      </c>
      <c r="Q38" s="283"/>
      <c r="R38" s="66">
        <f ca="1">OFFSET(Loans!$H$32,0,(R9-1))</f>
        <v>0</v>
      </c>
      <c r="S38" s="283"/>
      <c r="T38" s="66">
        <f ca="1">OFFSET(Loans!$H$32,0,(T9-1))</f>
        <v>0</v>
      </c>
      <c r="U38" s="283"/>
      <c r="V38" s="66">
        <f ca="1">OFFSET(Loans!$H$32,0,(V9-1))</f>
        <v>0</v>
      </c>
      <c r="W38" s="284"/>
    </row>
    <row r="39" spans="1:23" x14ac:dyDescent="0.2">
      <c r="B39" s="262" t="s">
        <v>19</v>
      </c>
      <c r="C39" s="129"/>
      <c r="D39" s="66">
        <f ca="1">OFFSET(Loans!$H$30,0,(D9-1))</f>
        <v>0</v>
      </c>
      <c r="E39" s="282"/>
      <c r="F39" s="66">
        <f ca="1">OFFSET(Loans!$H$30,0,(F9-1))</f>
        <v>0</v>
      </c>
      <c r="G39" s="283"/>
      <c r="H39" s="66">
        <f ca="1">OFFSET(Loans!$H$30,0,(H9-1))</f>
        <v>0</v>
      </c>
      <c r="I39" s="283"/>
      <c r="J39" s="66">
        <f ca="1">OFFSET(Loans!$H$30,0,(J9-1))</f>
        <v>0</v>
      </c>
      <c r="K39" s="283"/>
      <c r="L39" s="66">
        <f ca="1">OFFSET(Loans!$H$30,0,(L9-1))</f>
        <v>0</v>
      </c>
      <c r="M39" s="283"/>
      <c r="N39" s="66">
        <f ca="1">OFFSET(Loans!$H$30,0,(N9-1))</f>
        <v>0</v>
      </c>
      <c r="O39" s="283"/>
      <c r="P39" s="66">
        <f ca="1">OFFSET(Loans!$H$30,0,(P9-1))</f>
        <v>0</v>
      </c>
      <c r="Q39" s="283"/>
      <c r="R39" s="66">
        <f ca="1">OFFSET(Loans!$H$30,0,(R9-1))</f>
        <v>0</v>
      </c>
      <c r="S39" s="283"/>
      <c r="T39" s="66">
        <f ca="1">OFFSET(Loans!$H$30,0,(T9-1))</f>
        <v>0</v>
      </c>
      <c r="U39" s="283"/>
      <c r="V39" s="66">
        <f ca="1">OFFSET(Loans!$H$30,0,(V9-1))</f>
        <v>0</v>
      </c>
      <c r="W39" s="284"/>
    </row>
    <row r="40" spans="1:23" x14ac:dyDescent="0.2">
      <c r="B40" s="285" t="s">
        <v>51</v>
      </c>
      <c r="C40" s="286"/>
      <c r="D40" s="287">
        <f ca="1">SUM(D38:D39)</f>
        <v>0</v>
      </c>
      <c r="E40" s="288"/>
      <c r="F40" s="287">
        <f ca="1">SUM(F38:F39)</f>
        <v>0</v>
      </c>
      <c r="G40" s="289"/>
      <c r="H40" s="287">
        <f ca="1">SUM(H38:H39)</f>
        <v>0</v>
      </c>
      <c r="I40" s="289"/>
      <c r="J40" s="287">
        <f ca="1">SUM(J38:J39)</f>
        <v>0</v>
      </c>
      <c r="K40" s="289"/>
      <c r="L40" s="287">
        <f ca="1">SUM(L38:L39)</f>
        <v>0</v>
      </c>
      <c r="M40" s="289"/>
      <c r="N40" s="287">
        <f ca="1">SUM(N38:N39)</f>
        <v>0</v>
      </c>
      <c r="O40" s="289"/>
      <c r="P40" s="287">
        <f ca="1">SUM(P38:P39)</f>
        <v>0</v>
      </c>
      <c r="Q40" s="289"/>
      <c r="R40" s="287">
        <f ca="1">SUM(R38:R39)</f>
        <v>0</v>
      </c>
      <c r="S40" s="289"/>
      <c r="T40" s="287">
        <f ca="1">SUM(T38:T39)</f>
        <v>0</v>
      </c>
      <c r="U40" s="289"/>
      <c r="V40" s="287">
        <f ca="1">SUM(V38:V39)</f>
        <v>0</v>
      </c>
      <c r="W40" s="290"/>
    </row>
    <row r="41" spans="1:23" x14ac:dyDescent="0.2">
      <c r="B41" s="187"/>
      <c r="C41" s="129"/>
      <c r="D41" s="282"/>
      <c r="E41" s="282"/>
      <c r="F41" s="283"/>
      <c r="G41" s="283"/>
      <c r="H41" s="283"/>
      <c r="I41" s="283"/>
      <c r="J41" s="283"/>
      <c r="K41" s="283"/>
      <c r="L41" s="283"/>
      <c r="M41" s="283"/>
      <c r="N41" s="283"/>
      <c r="O41" s="283"/>
      <c r="P41" s="283"/>
      <c r="Q41" s="283"/>
      <c r="R41" s="283"/>
      <c r="S41" s="283"/>
      <c r="T41" s="283"/>
      <c r="U41" s="283"/>
      <c r="V41" s="283"/>
      <c r="W41" s="284"/>
    </row>
    <row r="42" spans="1:23" ht="17" thickBot="1" x14ac:dyDescent="0.25">
      <c r="B42" s="210" t="s">
        <v>52</v>
      </c>
      <c r="C42" s="271"/>
      <c r="D42" s="211">
        <f ca="1">D35-D40</f>
        <v>0</v>
      </c>
      <c r="E42" s="291"/>
      <c r="F42" s="211">
        <f ca="1">F35-F40</f>
        <v>0</v>
      </c>
      <c r="G42" s="291"/>
      <c r="H42" s="211">
        <f ca="1">H35-H40</f>
        <v>0</v>
      </c>
      <c r="I42" s="291"/>
      <c r="J42" s="211">
        <f ca="1">J35-J40</f>
        <v>0</v>
      </c>
      <c r="K42" s="291"/>
      <c r="L42" s="211">
        <f ca="1">L35-L40</f>
        <v>0</v>
      </c>
      <c r="M42" s="291"/>
      <c r="N42" s="211">
        <f ca="1">N35-N40</f>
        <v>0</v>
      </c>
      <c r="O42" s="291"/>
      <c r="P42" s="211">
        <f ca="1">P35-P40</f>
        <v>0</v>
      </c>
      <c r="Q42" s="291"/>
      <c r="R42" s="211">
        <f ca="1">R35-R40</f>
        <v>0</v>
      </c>
      <c r="S42" s="291"/>
      <c r="T42" s="211">
        <f ca="1">T35-T40</f>
        <v>0</v>
      </c>
      <c r="U42" s="291"/>
      <c r="V42" s="211">
        <f ca="1">V35-V40</f>
        <v>0</v>
      </c>
      <c r="W42" s="292"/>
    </row>
    <row r="43" spans="1:23" ht="17" thickTop="1" x14ac:dyDescent="0.2">
      <c r="B43" s="187"/>
      <c r="C43" s="129"/>
      <c r="D43" s="282"/>
      <c r="E43" s="282"/>
      <c r="F43" s="283"/>
      <c r="G43" s="283"/>
      <c r="H43" s="283"/>
      <c r="I43" s="283"/>
      <c r="J43" s="283"/>
      <c r="K43" s="283"/>
      <c r="L43" s="283"/>
      <c r="M43" s="283"/>
      <c r="N43" s="283"/>
      <c r="O43" s="283"/>
      <c r="P43" s="283"/>
      <c r="Q43" s="283"/>
      <c r="R43" s="283"/>
      <c r="S43" s="283"/>
      <c r="T43" s="283"/>
      <c r="U43" s="283"/>
      <c r="V43" s="283"/>
      <c r="W43" s="284"/>
    </row>
    <row r="44" spans="1:23" x14ac:dyDescent="0.2">
      <c r="B44" s="187" t="s">
        <v>53</v>
      </c>
      <c r="C44" s="129"/>
      <c r="D44" s="125"/>
      <c r="E44" s="125"/>
      <c r="F44" s="125"/>
      <c r="G44" s="125"/>
      <c r="H44" s="125"/>
      <c r="I44" s="125"/>
      <c r="J44" s="125"/>
      <c r="K44" s="125"/>
      <c r="L44" s="125"/>
      <c r="M44" s="125"/>
      <c r="N44" s="125"/>
      <c r="O44" s="125"/>
      <c r="P44" s="125"/>
      <c r="Q44" s="125"/>
      <c r="R44" s="125"/>
      <c r="S44" s="125"/>
      <c r="T44" s="125"/>
      <c r="U44" s="125"/>
      <c r="V44" s="125"/>
      <c r="W44" s="147"/>
    </row>
    <row r="45" spans="1:23" s="10" customFormat="1" ht="17" x14ac:dyDescent="0.2">
      <c r="B45" s="988" t="s">
        <v>570</v>
      </c>
      <c r="C45" s="989">
        <f>Summary!D44</f>
        <v>0</v>
      </c>
      <c r="D45" s="161">
        <f ca="1">IF(D9&lt;=year_sale,IF($C$45*D$16&lt;D$42,$C$45*D$16,0),0)</f>
        <v>0</v>
      </c>
      <c r="E45" s="161"/>
      <c r="F45" s="161">
        <f ca="1">IF(F9&lt;=year_sale,IF($C$45*F$16&lt;F$42,$C$45*F$16,0),0)</f>
        <v>0</v>
      </c>
      <c r="G45" s="161"/>
      <c r="H45" s="161">
        <f ca="1">IF(H9&lt;=year_sale,IF($C$45*H$16&lt;H$42,$C$45*H$16,0),0)</f>
        <v>0</v>
      </c>
      <c r="I45" s="161"/>
      <c r="J45" s="161">
        <f ca="1">IF(J9&lt;=year_sale,IF($C$45*J$16&lt;J$42,$C$45*J$16,0),0)</f>
        <v>0</v>
      </c>
      <c r="K45" s="161"/>
      <c r="L45" s="161">
        <f ca="1">IF(L9&lt;=year_sale,IF($C$45*L$16&lt;L$42,$C$45*L$16,0),0)</f>
        <v>0</v>
      </c>
      <c r="M45" s="161"/>
      <c r="N45" s="161">
        <f>IF(N9&lt;=year_sale,IF($C$45*N$16&lt;N$42,$C$45*N$16,0),0)</f>
        <v>0</v>
      </c>
      <c r="O45" s="161"/>
      <c r="P45" s="161">
        <f>IF(P9&lt;=year_sale,IF($C$45*P$16&lt;P$42,$C$45*P$16,0),0)</f>
        <v>0</v>
      </c>
      <c r="Q45" s="161"/>
      <c r="R45" s="161">
        <f>IF(R9&lt;=year_sale,IF($C$45*R$16&lt;R$42,$C$45*R$16,0),0)</f>
        <v>0</v>
      </c>
      <c r="S45" s="161"/>
      <c r="T45" s="161">
        <f>IF(T9&lt;=year_sale,IF($C$45*T$16&lt;T$42,$C$45*T$16,0),0)</f>
        <v>0</v>
      </c>
      <c r="U45" s="161"/>
      <c r="V45" s="161">
        <f>IF(V9&lt;=year_sale,IF($C$45*V$16&lt;V$42,$C$45*V$16,0),0)</f>
        <v>0</v>
      </c>
      <c r="W45" s="990"/>
    </row>
    <row r="46" spans="1:23" s="10" customFormat="1" ht="17" outlineLevel="1" x14ac:dyDescent="0.2">
      <c r="B46" s="991" t="s">
        <v>571</v>
      </c>
      <c r="C46" s="992"/>
      <c r="D46" s="94">
        <f>IF(D53=0,0,D$53*$C$48)</f>
        <v>0</v>
      </c>
      <c r="E46" s="451"/>
      <c r="F46" s="94">
        <f t="shared" ref="F46" si="21">IF(F53=0,0,F$53*$C$48+D$47)</f>
        <v>0</v>
      </c>
      <c r="G46" s="94"/>
      <c r="H46" s="94">
        <f t="shared" ref="H46" si="22">IF(H53=0,0,H$53*$C$48+F$47)</f>
        <v>0</v>
      </c>
      <c r="I46" s="94"/>
      <c r="J46" s="94">
        <f t="shared" ref="J46" si="23">IF(J53=0,0,J$53*$C$48+H$47)</f>
        <v>0</v>
      </c>
      <c r="K46" s="94"/>
      <c r="L46" s="94">
        <f t="shared" ref="L46" si="24">IF(L53=0,0,L$53*$C$48+J$47)</f>
        <v>0</v>
      </c>
      <c r="M46" s="94"/>
      <c r="N46" s="94">
        <f>IF(N53=0,0,N$53*$C$48+L$47)</f>
        <v>0</v>
      </c>
      <c r="O46" s="94"/>
      <c r="P46" s="94">
        <f t="shared" ref="P46:V46" si="25">IF(P53=0,0,P$53*$C$48+N$47)</f>
        <v>0</v>
      </c>
      <c r="Q46" s="94"/>
      <c r="R46" s="94">
        <f t="shared" si="25"/>
        <v>0</v>
      </c>
      <c r="S46" s="94"/>
      <c r="T46" s="94">
        <f t="shared" si="25"/>
        <v>0</v>
      </c>
      <c r="U46" s="94"/>
      <c r="V46" s="94">
        <f t="shared" si="25"/>
        <v>0</v>
      </c>
      <c r="W46" s="302"/>
    </row>
    <row r="47" spans="1:23" s="10" customFormat="1" ht="17" outlineLevel="1" x14ac:dyDescent="0.2">
      <c r="B47" s="991" t="s">
        <v>572</v>
      </c>
      <c r="D47" s="94">
        <f>IF(D$46 &gt;0,D$46-D$48,0)</f>
        <v>0</v>
      </c>
      <c r="E47" s="94"/>
      <c r="F47" s="94">
        <f>IF(F$46 &gt;0,F$46-F$48,0)</f>
        <v>0</v>
      </c>
      <c r="G47" s="94"/>
      <c r="H47" s="94">
        <f>IF(H$46 &gt;0,H$46-H$48,0)</f>
        <v>0</v>
      </c>
      <c r="I47" s="94"/>
      <c r="J47" s="94">
        <f>IF(J$46 &gt;0,J$46-J$48,0)</f>
        <v>0</v>
      </c>
      <c r="K47" s="94"/>
      <c r="L47" s="94">
        <f>IF(L$46 &gt;0,L$46-L$48,0)</f>
        <v>0</v>
      </c>
      <c r="M47" s="94"/>
      <c r="N47" s="94">
        <f>IF(N$46 &gt;0,N$46-N$48,0)</f>
        <v>0</v>
      </c>
      <c r="O47" s="94"/>
      <c r="P47" s="94">
        <f>IF(P$46 &gt;0,P$46-P$48,0)</f>
        <v>0</v>
      </c>
      <c r="Q47" s="94"/>
      <c r="R47" s="94">
        <f>IF(R$46 &gt;0,R$46-R$48,0)</f>
        <v>0</v>
      </c>
      <c r="S47" s="94"/>
      <c r="T47" s="94">
        <f>IF(T$46 &gt;0,T$46-T$48,0)</f>
        <v>0</v>
      </c>
      <c r="U47" s="94"/>
      <c r="V47" s="94">
        <f>IF(V$46 &gt;0,V$46-V$48,0)</f>
        <v>0</v>
      </c>
      <c r="W47" s="302"/>
    </row>
    <row r="48" spans="1:23" s="10" customFormat="1" x14ac:dyDescent="0.2">
      <c r="B48" s="993" t="s">
        <v>573</v>
      </c>
      <c r="C48" s="994">
        <f>Summary!D43</f>
        <v>0</v>
      </c>
      <c r="D48" s="161">
        <f ca="1">IF(D$42&gt;0,IF(D$46+D$45&gt;D$42,D$42-D$45,D$46),0)</f>
        <v>0</v>
      </c>
      <c r="E48" s="161"/>
      <c r="F48" s="161">
        <f ca="1">IF(F$42&gt;0,IF(F$46+F$45&gt;F$42,F$42-F$45,F$46),0)</f>
        <v>0</v>
      </c>
      <c r="G48" s="161"/>
      <c r="H48" s="161">
        <f ca="1">IF(H$42&gt;0,IF(H$46+H$45&gt;H$42,H$42-H$45,H$46),0)</f>
        <v>0</v>
      </c>
      <c r="I48" s="161"/>
      <c r="J48" s="161">
        <f ca="1">IF(J$42&gt;0,IF(J$46+J$45&gt;J$42,J$42-J$45,J$46),0)</f>
        <v>0</v>
      </c>
      <c r="K48" s="161"/>
      <c r="L48" s="161">
        <f ca="1">IF(L$42&gt;0,IF(L$46+L$45&gt;L$42,L$42-L$45,L$46),0)</f>
        <v>0</v>
      </c>
      <c r="M48" s="161"/>
      <c r="N48" s="161">
        <f ca="1">IF(N$42&gt;0,IF(N$46+N$45&gt;N$42,N$42-N$45,N$46),0)</f>
        <v>0</v>
      </c>
      <c r="O48" s="161"/>
      <c r="P48" s="161">
        <f ca="1">IF(P$42&gt;0,IF(P$46+P$45&gt;P$42,P$42-P$45,P$46),0)</f>
        <v>0</v>
      </c>
      <c r="Q48" s="161"/>
      <c r="R48" s="161">
        <f ca="1">IF(R$42&gt;0,IF(R$46+R$45&gt;R$42,R$42-R$45,R$46),0)</f>
        <v>0</v>
      </c>
      <c r="S48" s="161"/>
      <c r="T48" s="161">
        <f ca="1">IF(T$42&gt;0,IF(T$46+T$45&gt;T$42,T$42-T$45,T$46),0)</f>
        <v>0</v>
      </c>
      <c r="U48" s="161"/>
      <c r="V48" s="161">
        <f ca="1">IF(V$42&gt;0,IF(V$46+V$45&gt;V$42,V$42-V$45,V$46),0)</f>
        <v>0</v>
      </c>
      <c r="W48" s="990"/>
    </row>
    <row r="49" spans="2:23" s="10" customFormat="1" ht="17" x14ac:dyDescent="0.2">
      <c r="B49" s="988" t="s">
        <v>574</v>
      </c>
      <c r="C49" s="994">
        <f>Summary!D41</f>
        <v>0.8</v>
      </c>
      <c r="D49" s="161">
        <f ca="1">IF(D9&lt;=year_sale,IF((D$42-D$45-D$48)*$C$49&lt;0,0,(D$42-D$45-D$48)*$C$49),0)</f>
        <v>0</v>
      </c>
      <c r="E49" s="161"/>
      <c r="F49" s="161">
        <f ca="1">IF(F9&lt;=year_sale,IF((F$42-F$45-F$48)*$C$49&lt;0,0,(F$42-F$45-F$48)*$C$49),0)</f>
        <v>0</v>
      </c>
      <c r="G49" s="161"/>
      <c r="H49" s="161">
        <f ca="1">IF(H9&lt;=year_sale,IF((H$42-H$45-H$48)*$C$49&lt;0,0,(H$42-H$45-H$48)*$C$49),0)</f>
        <v>0</v>
      </c>
      <c r="I49" s="161"/>
      <c r="J49" s="161">
        <f ca="1">IF(J9&lt;=year_sale,IF((J$42-J$45-J$48)*$C$49&lt;0,0,(J$42-J$45-J$48)*$C$49),0)</f>
        <v>0</v>
      </c>
      <c r="K49" s="161"/>
      <c r="L49" s="161">
        <f ca="1">IF(L9&lt;=year_sale,IF((L$42-L$45-L$48)*$C$49&lt;0,0,(L$42-L$45-L$48)*$C$49),0)</f>
        <v>0</v>
      </c>
      <c r="M49" s="161"/>
      <c r="N49" s="161">
        <f>IF(N9&lt;=year_sale,IF((N$42-N$45-N$48)*$C$49&lt;0,0,(N$42-N$45-N$48)*$C$49),0)</f>
        <v>0</v>
      </c>
      <c r="O49" s="161"/>
      <c r="P49" s="161">
        <f>IF(P9&lt;=year_sale,IF((P$42-P$45-P$48)*$C$49&lt;0,0,(P$42-P$45-P$48)*$C$49),0)</f>
        <v>0</v>
      </c>
      <c r="Q49" s="161"/>
      <c r="R49" s="161">
        <f>IF(R9&lt;=year_sale,IF((R$42-R$45-R$48)*$C$49&lt;0,0,(R$42-R$45-R$48)*$C$49),0)</f>
        <v>0</v>
      </c>
      <c r="S49" s="161"/>
      <c r="T49" s="161">
        <f>IF(T9&lt;=year_sale,IF((T$42-T$45-T$48)*$C$49&lt;0,0,(T$42-T$45-T$48)*$C$49),0)</f>
        <v>0</v>
      </c>
      <c r="U49" s="161"/>
      <c r="V49" s="161">
        <f>IF(V9&lt;=year_sale,IF((V$42-V$45-V$48)*$C$49&lt;0,0,(V$42-V$45-V$48)*$C$49),0)</f>
        <v>0</v>
      </c>
      <c r="W49" s="990"/>
    </row>
    <row r="50" spans="2:23" s="10" customFormat="1" ht="18" thickBot="1" x14ac:dyDescent="0.25">
      <c r="B50" s="991" t="s">
        <v>575</v>
      </c>
      <c r="C50" s="994">
        <f>Summary!D42</f>
        <v>0.19999999999999996</v>
      </c>
      <c r="D50" s="161">
        <f ca="1">IF(D9&lt;=year_sale,IF((D$42-D$45-D$48)*$C$50&lt;0,0,(D$42-D$45-D$48)*$C$50),0)</f>
        <v>0</v>
      </c>
      <c r="F50" s="161">
        <f ca="1">IF(F9&lt;=year_sale,IF((F$42-F$45-F$48)*$C$50&lt;0,0,(F$42-F$45-F$48)*$C$50),0)</f>
        <v>0</v>
      </c>
      <c r="H50" s="161">
        <f ca="1">IF(H9&lt;=year_sale,IF((H$42-H$45-H$48)*$C$50&lt;0,0,(H$42-H$45-H$48)*$C$50),0)</f>
        <v>0</v>
      </c>
      <c r="J50" s="161">
        <f ca="1">IF(J9&lt;=year_sale,IF((J$42-J$45-J$48)*$C$50&lt;0,0,(J$42-J$45-J$48)*$C$50),0)</f>
        <v>0</v>
      </c>
      <c r="L50" s="161">
        <f ca="1">IF(L9&lt;=year_sale,IF((L$42-L$45-L$48)*$C$50&lt;0,0,(L$42-L$45-L$48)*$C$50),0)</f>
        <v>0</v>
      </c>
      <c r="N50" s="161">
        <f>IF(N9&lt;=year_sale,IF((N$42-N$45-N$48)*$C$50&lt;0,0,(N$42-N$45-N$48)*$C$50),0)</f>
        <v>0</v>
      </c>
      <c r="P50" s="161">
        <f>IF(P9&lt;=year_sale,IF((P$42-P$45-P$48)*$C$50&lt;0,0,(P$42-P$45-P$48)*$C$50),0)</f>
        <v>0</v>
      </c>
      <c r="R50" s="161">
        <f>IF(R9&lt;=year_sale,IF((R$42-R$45-R$48)*$C$50&lt;0,0,(R$42-R$45-R$48)*$C$50),0)</f>
        <v>0</v>
      </c>
      <c r="T50" s="161">
        <f>IF(T9&lt;=year_sale,IF((T$42-T$45-T$48)*$C$50&lt;0,0,(T$42-T$45-T$48)*$C$50),0)</f>
        <v>0</v>
      </c>
      <c r="V50" s="161">
        <f>IF(V9&lt;=year_sale,IF((V$42-V$45-V$48)*$C$50&lt;0,0,(V$42-V$45-V$48)*$C$50),0)</f>
        <v>0</v>
      </c>
      <c r="W50" s="302"/>
    </row>
    <row r="51" spans="2:23" ht="18" thickBot="1" x14ac:dyDescent="0.25">
      <c r="B51" s="294" t="s">
        <v>66</v>
      </c>
      <c r="C51" s="295"/>
      <c r="D51" s="296">
        <f ca="1">IF(D9&gt;year_sale,0,D49+D48)</f>
        <v>0</v>
      </c>
      <c r="E51" s="297"/>
      <c r="F51" s="296">
        <f ca="1">IF(F9&gt;year_sale,0,F49+F48)</f>
        <v>0</v>
      </c>
      <c r="G51" s="297"/>
      <c r="H51" s="296">
        <f ca="1">IF(H9&gt;year_sale,0,H49+H48)</f>
        <v>0</v>
      </c>
      <c r="I51" s="297"/>
      <c r="J51" s="296">
        <f ca="1">IF(J9&gt;year_sale,0,J49+J48)</f>
        <v>0</v>
      </c>
      <c r="K51" s="297"/>
      <c r="L51" s="296">
        <f ca="1">IF(L9&gt;year_sale,0,L49+L48)</f>
        <v>0</v>
      </c>
      <c r="M51" s="297"/>
      <c r="N51" s="296">
        <f>IF(N9&gt;year_sale,0,N49+N48)</f>
        <v>0</v>
      </c>
      <c r="O51" s="297"/>
      <c r="P51" s="296">
        <f>IF(P9&gt;year_sale,0,P49+P48)</f>
        <v>0</v>
      </c>
      <c r="Q51" s="297"/>
      <c r="R51" s="296">
        <f>IF(R9&gt;year_sale,0,R49+R48)</f>
        <v>0</v>
      </c>
      <c r="S51" s="297"/>
      <c r="T51" s="296">
        <f>IF(T9&gt;year_sale,0,T49+T48)</f>
        <v>0</v>
      </c>
      <c r="U51" s="297"/>
      <c r="V51" s="296">
        <f>IF(V9&gt;year_sale,0,V49+V48)</f>
        <v>0</v>
      </c>
      <c r="W51" s="298"/>
    </row>
    <row r="52" spans="2:23" x14ac:dyDescent="0.2">
      <c r="B52" s="299"/>
      <c r="W52" s="251"/>
    </row>
    <row r="53" spans="2:23" s="10" customFormat="1" ht="17" x14ac:dyDescent="0.2">
      <c r="B53" s="300" t="s">
        <v>202</v>
      </c>
      <c r="D53" s="301">
        <f>IF(D9&gt;year_sale,0,Returns!C5)</f>
        <v>0</v>
      </c>
      <c r="F53" s="301">
        <f>IF(F9&gt;year_sale,0,Returns!D5)</f>
        <v>0</v>
      </c>
      <c r="H53" s="301">
        <f>IF(H9&gt;year_sale,0,Returns!E5)</f>
        <v>0</v>
      </c>
      <c r="J53" s="301">
        <f>IF(J9&gt;year_sale,0,Returns!F5)</f>
        <v>0</v>
      </c>
      <c r="L53" s="301">
        <f>IF(L9&gt;year_sale,0,Returns!G5)</f>
        <v>0</v>
      </c>
      <c r="N53" s="301">
        <f>IF(N9&gt;year_sale,0,Returns!H5)</f>
        <v>0</v>
      </c>
      <c r="P53" s="301">
        <f>IF(P9&gt;year_sale,0,Returns!I5)</f>
        <v>0</v>
      </c>
      <c r="R53" s="301">
        <f>IF(R9&gt;year_sale,0,Returns!J5)</f>
        <v>0</v>
      </c>
      <c r="T53" s="301">
        <f>IF(T9&gt;year_sale,0,Returns!K5)</f>
        <v>0</v>
      </c>
      <c r="V53" s="301">
        <f>IF(V9&gt;year_sale,0,Returns!L5)</f>
        <v>0</v>
      </c>
      <c r="W53" s="302"/>
    </row>
    <row r="54" spans="2:23" s="10" customFormat="1" ht="17" thickBot="1" x14ac:dyDescent="0.25">
      <c r="B54" s="303"/>
      <c r="D54" s="304"/>
      <c r="F54" s="304"/>
      <c r="H54" s="304"/>
      <c r="J54" s="523"/>
      <c r="L54" s="304"/>
      <c r="N54" s="304"/>
      <c r="P54" s="304"/>
      <c r="R54" s="304"/>
      <c r="T54" s="304"/>
      <c r="W54" s="302"/>
    </row>
    <row r="55" spans="2:23" s="10" customFormat="1" ht="18" thickBot="1" x14ac:dyDescent="0.25">
      <c r="B55" s="324" t="s">
        <v>661</v>
      </c>
      <c r="C55" s="325"/>
      <c r="D55" s="1153" t="str">
        <f>IF(D53=0,"∞",D51/D53)</f>
        <v>∞</v>
      </c>
      <c r="E55" s="1154"/>
      <c r="F55" s="1153" t="str">
        <f>IF(F53=0,"∞",F51/F53)</f>
        <v>∞</v>
      </c>
      <c r="G55" s="1154"/>
      <c r="H55" s="1153" t="str">
        <f>IF(H53=0,"∞",H51/H53)</f>
        <v>∞</v>
      </c>
      <c r="I55" s="1153"/>
      <c r="J55" s="1153" t="str">
        <f t="shared" ref="J55:V55" si="26">IF(J53=0,"∞",J51/J53)</f>
        <v>∞</v>
      </c>
      <c r="K55" s="1153"/>
      <c r="L55" s="1153" t="str">
        <f t="shared" si="26"/>
        <v>∞</v>
      </c>
      <c r="M55" s="1153"/>
      <c r="N55" s="1153" t="str">
        <f t="shared" si="26"/>
        <v>∞</v>
      </c>
      <c r="O55" s="1153"/>
      <c r="P55" s="1153" t="str">
        <f t="shared" si="26"/>
        <v>∞</v>
      </c>
      <c r="Q55" s="1153"/>
      <c r="R55" s="1153" t="str">
        <f t="shared" si="26"/>
        <v>∞</v>
      </c>
      <c r="S55" s="1153"/>
      <c r="T55" s="1153" t="str">
        <f t="shared" si="26"/>
        <v>∞</v>
      </c>
      <c r="U55" s="1153"/>
      <c r="V55" s="1153" t="str">
        <f t="shared" si="26"/>
        <v>∞</v>
      </c>
      <c r="W55" s="326"/>
    </row>
    <row r="56" spans="2:23" s="10" customFormat="1" ht="17" thickBot="1" x14ac:dyDescent="0.25">
      <c r="B56" s="305" t="str">
        <f>Returns!B18</f>
        <v>Cash-on-Cash Return</v>
      </c>
      <c r="D56" s="1155" t="str">
        <f>Returns!C8</f>
        <v>∞</v>
      </c>
      <c r="E56" s="1155"/>
      <c r="F56" s="1155" t="str">
        <f>Returns!D8</f>
        <v>∞</v>
      </c>
      <c r="G56" s="1155"/>
      <c r="H56" s="1155" t="str">
        <f>Returns!E8</f>
        <v>∞</v>
      </c>
      <c r="I56" s="1155"/>
      <c r="J56" s="1155" t="str">
        <f>Returns!F8</f>
        <v>∞</v>
      </c>
      <c r="K56" s="1155"/>
      <c r="L56" s="1155" t="str">
        <f>Returns!G8</f>
        <v>∞</v>
      </c>
      <c r="M56" s="1155"/>
      <c r="N56" s="1155">
        <f>Returns!H8</f>
        <v>0</v>
      </c>
      <c r="O56" s="1155"/>
      <c r="P56" s="1155">
        <f>Returns!I8</f>
        <v>0</v>
      </c>
      <c r="Q56" s="1155"/>
      <c r="R56" s="1155">
        <f>Returns!J8</f>
        <v>0</v>
      </c>
      <c r="S56" s="1155"/>
      <c r="T56" s="1155">
        <f>Returns!K8</f>
        <v>0</v>
      </c>
      <c r="U56" s="1155"/>
      <c r="V56" s="1155">
        <f>Returns!L8</f>
        <v>0</v>
      </c>
      <c r="W56" s="306"/>
    </row>
    <row r="57" spans="2:23" x14ac:dyDescent="0.2">
      <c r="B57" s="307"/>
      <c r="C57" s="308"/>
      <c r="D57" s="308"/>
      <c r="E57" s="308"/>
      <c r="F57" s="308"/>
      <c r="G57" s="308"/>
      <c r="H57" s="308"/>
      <c r="I57" s="308"/>
      <c r="J57" s="524"/>
      <c r="K57" s="308"/>
      <c r="L57" s="308"/>
      <c r="M57" s="308"/>
      <c r="N57" s="308"/>
      <c r="O57" s="308"/>
      <c r="P57" s="308"/>
      <c r="Q57" s="308"/>
      <c r="R57" s="308"/>
      <c r="S57" s="308"/>
      <c r="T57" s="308"/>
      <c r="U57" s="308"/>
      <c r="V57" s="308"/>
      <c r="W57" s="309"/>
    </row>
    <row r="58" spans="2:23" ht="17" x14ac:dyDescent="0.2">
      <c r="B58" s="299" t="s">
        <v>93</v>
      </c>
      <c r="C58" s="81">
        <f>C59-1%</f>
        <v>6.0000000000000005E-2</v>
      </c>
      <c r="D58" s="310">
        <f>D35/$C$58</f>
        <v>0</v>
      </c>
      <c r="F58" s="310">
        <f>F35/$C$58</f>
        <v>0</v>
      </c>
      <c r="H58" s="310">
        <f>H35/$C$58</f>
        <v>0</v>
      </c>
      <c r="J58" s="525">
        <f>J35/$C$58</f>
        <v>0</v>
      </c>
      <c r="L58" s="310">
        <f>L35/$C$58</f>
        <v>0</v>
      </c>
      <c r="N58" s="310">
        <f>N35/$C$58</f>
        <v>0</v>
      </c>
      <c r="P58" s="310">
        <f>P35/$C$58</f>
        <v>0</v>
      </c>
      <c r="R58" s="310">
        <f>R35/$C$58</f>
        <v>0</v>
      </c>
      <c r="T58" s="310">
        <f>T35/$C$58</f>
        <v>0</v>
      </c>
      <c r="V58" s="310">
        <f>V35/$C$58</f>
        <v>0</v>
      </c>
      <c r="W58" s="251"/>
    </row>
    <row r="59" spans="2:23" x14ac:dyDescent="0.2">
      <c r="B59" s="299"/>
      <c r="C59" s="81">
        <f>Summary!D23</f>
        <v>7.0000000000000007E-2</v>
      </c>
      <c r="D59" s="310">
        <f>D35/$C$59</f>
        <v>0</v>
      </c>
      <c r="F59" s="310">
        <f>F35/$C$59</f>
        <v>0</v>
      </c>
      <c r="H59" s="310">
        <f>H35/$C$59</f>
        <v>0</v>
      </c>
      <c r="J59" s="525">
        <f>J35/$C$59</f>
        <v>0</v>
      </c>
      <c r="L59" s="310">
        <f>L35/$C$59</f>
        <v>0</v>
      </c>
      <c r="N59" s="310">
        <f>N35/$C$59</f>
        <v>0</v>
      </c>
      <c r="P59" s="310">
        <f>P35/$C$59</f>
        <v>0</v>
      </c>
      <c r="R59" s="310">
        <f>R35/$C$59</f>
        <v>0</v>
      </c>
      <c r="T59" s="310">
        <f>T35/$C$59</f>
        <v>0</v>
      </c>
      <c r="V59" s="310">
        <f>V35/$C$59</f>
        <v>0</v>
      </c>
      <c r="W59" s="251"/>
    </row>
    <row r="60" spans="2:23" x14ac:dyDescent="0.2">
      <c r="B60" s="299"/>
      <c r="C60" s="81">
        <f>C59+1%</f>
        <v>0.08</v>
      </c>
      <c r="D60" s="310">
        <f>D35/$C$60</f>
        <v>0</v>
      </c>
      <c r="F60" s="310">
        <f>F35/$C$60</f>
        <v>0</v>
      </c>
      <c r="H60" s="310">
        <f>H35/$C$60</f>
        <v>0</v>
      </c>
      <c r="J60" s="525">
        <f>J35/$C$60</f>
        <v>0</v>
      </c>
      <c r="L60" s="310">
        <f>L35/$C$60</f>
        <v>0</v>
      </c>
      <c r="N60" s="310">
        <f>N35/$C$60</f>
        <v>0</v>
      </c>
      <c r="P60" s="310">
        <f>P35/$C$60</f>
        <v>0</v>
      </c>
      <c r="R60" s="310">
        <f>R35/$C$60</f>
        <v>0</v>
      </c>
      <c r="T60" s="310">
        <f>T35/$C$60</f>
        <v>0</v>
      </c>
      <c r="V60" s="310">
        <f>V35/$C$60</f>
        <v>0</v>
      </c>
      <c r="W60" s="251"/>
    </row>
    <row r="61" spans="2:23" x14ac:dyDescent="0.2">
      <c r="B61" s="299"/>
      <c r="W61" s="251"/>
    </row>
    <row r="62" spans="2:23" ht="18" thickBot="1" x14ac:dyDescent="0.25">
      <c r="B62" s="311" t="s">
        <v>80</v>
      </c>
      <c r="C62" s="252"/>
      <c r="D62" s="1177">
        <f ca="1">IF(D40=0,0,D35/D40)</f>
        <v>0</v>
      </c>
      <c r="E62" s="252"/>
      <c r="F62" s="1177">
        <f ca="1">IF(F40=0,0,F35/F40)</f>
        <v>0</v>
      </c>
      <c r="G62" s="252"/>
      <c r="H62" s="1177">
        <f ca="1">IF(H40=0,0,H35/H40)</f>
        <v>0</v>
      </c>
      <c r="I62" s="252"/>
      <c r="J62" s="1177">
        <f ca="1">IF(J40=0,0,J35/J40)</f>
        <v>0</v>
      </c>
      <c r="K62" s="252"/>
      <c r="L62" s="1177">
        <f ca="1">IF(L40=0,0,L35/L40)</f>
        <v>0</v>
      </c>
      <c r="M62" s="252"/>
      <c r="N62" s="1177">
        <f ca="1">IF(N40=0,0,N35/N40)</f>
        <v>0</v>
      </c>
      <c r="O62" s="252"/>
      <c r="P62" s="1177">
        <f ca="1">IF(P40=0,0,P35/P40)</f>
        <v>0</v>
      </c>
      <c r="Q62" s="252"/>
      <c r="R62" s="1177">
        <f ca="1">IF(R40=0,0,R35/R40)</f>
        <v>0</v>
      </c>
      <c r="S62" s="252"/>
      <c r="T62" s="1177">
        <f ca="1">IF(T40=0,0,T35/T40)</f>
        <v>0</v>
      </c>
      <c r="U62" s="252"/>
      <c r="V62" s="1177">
        <f ca="1">IF(V40=0,0,V35/V40)</f>
        <v>0</v>
      </c>
      <c r="W62" s="255"/>
    </row>
    <row r="64" spans="2:23" x14ac:dyDescent="0.2">
      <c r="B64" s="52" t="str">
        <f ca="1">copyright</f>
        <v>Copyright © 2026 Michael Blank.</v>
      </c>
      <c r="C64" s="52"/>
      <c r="D64" s="52"/>
    </row>
    <row r="65" spans="2:8" x14ac:dyDescent="0.2">
      <c r="B65" s="52" t="s">
        <v>124</v>
      </c>
      <c r="C65" s="129"/>
      <c r="D65" s="129"/>
    </row>
    <row r="67" spans="2:8" x14ac:dyDescent="0.2">
      <c r="E67" s="125"/>
      <c r="F67" s="125"/>
      <c r="G67" s="125"/>
      <c r="H67" s="125"/>
    </row>
    <row r="68" spans="2:8" x14ac:dyDescent="0.2">
      <c r="E68" s="129"/>
      <c r="F68" s="129"/>
      <c r="G68" s="125"/>
      <c r="H68" s="125"/>
    </row>
    <row r="70" spans="2:8" ht="17" x14ac:dyDescent="0.2">
      <c r="H70" s="54" t="s">
        <v>485</v>
      </c>
    </row>
  </sheetData>
  <sortState xmlns:xlrd2="http://schemas.microsoft.com/office/spreadsheetml/2017/richdata2" ref="B28:B31">
    <sortCondition ref="B28"/>
  </sortState>
  <customSheetViews>
    <customSheetView guid="{238A3432-2201-4481-B06C-00480E9813A7}" showRuler="0">
      <pane xSplit="3" ySplit="6" topLeftCell="D7" activePane="bottomRight" state="frozen"/>
      <selection pane="bottomRight" activeCell="F25" sqref="F25"/>
      <pageMargins left="0.75" right="0.75" top="1" bottom="1" header="0.5" footer="0.5"/>
      <pageSetup orientation="portrait" horizontalDpi="0" verticalDpi="0" r:id="rId1"/>
      <headerFooter alignWithMargins="0"/>
    </customSheetView>
    <customSheetView guid="{A0B83632-25B5-FE44-8A66-2590D6BCDFDC}" scale="130" hiddenColumns="1">
      <pane xSplit="3" ySplit="7" topLeftCell="D44" activePane="bottomRight" state="frozen"/>
      <selection pane="bottomRight" activeCell="B62" sqref="B62"/>
      <pageMargins left="0.75" right="0.75" top="1" bottom="1" header="0.5" footer="0.5"/>
      <pageSetup orientation="landscape" horizontalDpi="1200" verticalDpi="1200" r:id="rId2"/>
      <headerFooter alignWithMargins="0"/>
    </customSheetView>
  </customSheetViews>
  <mergeCells count="1">
    <mergeCell ref="B1:C1"/>
  </mergeCells>
  <phoneticPr fontId="0" type="noConversion"/>
  <conditionalFormatting sqref="D8 F8 H8 J8 L8 N8 P8 R8 T8 V8 D10 F10 H10 J10 L10 N10 P10 R10 T10 V10">
    <cfRule type="cellIs" dxfId="28" priority="1" stopIfTrue="1" operator="equal">
      <formula>"REFINANCE!"</formula>
    </cfRule>
    <cfRule type="cellIs" dxfId="27" priority="2" stopIfTrue="1" operator="equal">
      <formula>"SALE!"</formula>
    </cfRule>
  </conditionalFormatting>
  <conditionalFormatting sqref="D32">
    <cfRule type="expression" priority="8" stopIfTrue="1">
      <formula>SUM($D$19:$D$32)=0</formula>
    </cfRule>
    <cfRule type="cellIs" dxfId="26" priority="9" stopIfTrue="1" operator="lessThan">
      <formula>$AC$17</formula>
    </cfRule>
    <cfRule type="cellIs" dxfId="25" priority="10" stopIfTrue="1" operator="greaterThanOrEqual">
      <formula>$AC$17</formula>
    </cfRule>
  </conditionalFormatting>
  <conditionalFormatting sqref="D62 F62 H62 J62 L62 N62 P62 R62 T62 V62">
    <cfRule type="cellIs" priority="5" stopIfTrue="1" operator="equal">
      <formula>0</formula>
    </cfRule>
    <cfRule type="cellIs" dxfId="24" priority="6" stopIfTrue="1" operator="lessThan">
      <formula>var_DSCR</formula>
    </cfRule>
    <cfRule type="cellIs" dxfId="23" priority="7" stopIfTrue="1" operator="greaterThanOrEqual">
      <formula>var_DSCR</formula>
    </cfRule>
  </conditionalFormatting>
  <conditionalFormatting sqref="F32 H32 J32 L32 N32 P32 R32 T32 V32">
    <cfRule type="expression" priority="11" stopIfTrue="1">
      <formula>SUM($F$19:$F$32)=0</formula>
    </cfRule>
    <cfRule type="cellIs" dxfId="22" priority="12" stopIfTrue="1" operator="lessThan">
      <formula>$AC$17</formula>
    </cfRule>
    <cfRule type="cellIs" dxfId="21" priority="13" stopIfTrue="1" operator="greaterThanOrEqual">
      <formula>$AC$17</formula>
    </cfRule>
  </conditionalFormatting>
  <pageMargins left="0.75" right="0.75" top="1" bottom="1" header="0.5" footer="0.5"/>
  <pageSetup orientation="landscape" horizontalDpi="1200" verticalDpi="1200" r:id="rId3"/>
  <headerFooter alignWithMargins="0"/>
  <cellWatches>
    <cellWatch r="F9"/>
  </cellWatches>
  <ignoredErrors>
    <ignoredError sqref="T27 G20:G32 I19:I32 K19:K32 M19:M32 O19:O32 Q19:Q32 S19:S32 V27:W27 U19:U32 H27 J27 L27 N27 P27 R27 F27 E12:W13" formula="1"/>
  </ignoredErrors>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O57"/>
  <sheetViews>
    <sheetView showGridLines="0" zoomScaleNormal="100" workbookViewId="0"/>
  </sheetViews>
  <sheetFormatPr baseColWidth="10" defaultColWidth="9" defaultRowHeight="13" x14ac:dyDescent="0.15"/>
  <cols>
    <col min="1" max="1" width="3" style="22" customWidth="1"/>
    <col min="2" max="2" width="38.28515625" style="22" customWidth="1"/>
    <col min="3" max="3" width="6.28515625" style="34" customWidth="1"/>
    <col min="4" max="4" width="17.140625" style="35" customWidth="1"/>
    <col min="5" max="5" width="3.7109375" style="35" customWidth="1"/>
    <col min="6" max="6" width="35.85546875" style="22" customWidth="1"/>
    <col min="7" max="7" width="6.28515625" style="22" customWidth="1"/>
    <col min="8" max="8" width="17.140625" style="22" customWidth="1"/>
    <col min="9" max="9" width="10.28515625" style="22" bestFit="1" customWidth="1"/>
    <col min="10" max="13" width="9" style="22"/>
    <col min="14" max="15" width="9" style="22" customWidth="1"/>
    <col min="16" max="18" width="9" style="22"/>
    <col min="19" max="19" width="6.85546875" style="22" customWidth="1"/>
    <col min="20" max="20" width="9" style="22" customWidth="1"/>
    <col min="21" max="16384" width="9" style="22"/>
  </cols>
  <sheetData>
    <row r="1" spans="1:41" s="23" customFormat="1" ht="24" customHeight="1" x14ac:dyDescent="0.15">
      <c r="B1" s="1179" t="s">
        <v>151</v>
      </c>
      <c r="C1" s="1179"/>
      <c r="D1" s="1179"/>
      <c r="E1" s="1179"/>
      <c r="F1" s="1179"/>
      <c r="G1" s="1179"/>
      <c r="H1" s="1179"/>
      <c r="I1" s="67"/>
      <c r="J1" s="67"/>
      <c r="K1" s="77"/>
      <c r="L1" s="18"/>
      <c r="M1" s="18"/>
      <c r="N1" s="18"/>
      <c r="O1" s="18"/>
      <c r="P1" s="16"/>
      <c r="Q1" s="16"/>
      <c r="R1" s="16"/>
      <c r="S1" s="16"/>
      <c r="T1" s="16"/>
      <c r="U1" s="16"/>
      <c r="V1" s="16"/>
      <c r="W1" s="16"/>
      <c r="X1" s="16"/>
      <c r="Y1" s="16"/>
      <c r="Z1" s="21"/>
      <c r="AA1" s="21"/>
      <c r="AB1" s="21"/>
      <c r="AC1" s="21"/>
      <c r="AD1" s="21"/>
      <c r="AE1" s="21"/>
      <c r="AF1" s="21"/>
      <c r="AG1" s="21"/>
      <c r="AH1" s="21"/>
      <c r="AI1" s="21"/>
      <c r="AJ1" s="21"/>
      <c r="AK1" s="21"/>
      <c r="AL1" s="21"/>
      <c r="AM1" s="21"/>
      <c r="AN1" s="21"/>
      <c r="AO1" s="21"/>
    </row>
    <row r="2" spans="1:41" ht="17" thickBot="1" x14ac:dyDescent="0.25">
      <c r="A2" s="54"/>
      <c r="B2" s="327"/>
      <c r="C2" s="293"/>
      <c r="D2" s="54"/>
      <c r="E2" s="77"/>
      <c r="F2" s="327"/>
      <c r="G2" s="327"/>
      <c r="H2" s="327"/>
      <c r="I2" s="327"/>
      <c r="J2" s="327"/>
      <c r="K2" s="327"/>
      <c r="L2" s="33"/>
      <c r="M2" s="33"/>
      <c r="N2" s="33"/>
      <c r="O2" s="33"/>
      <c r="P2" s="33"/>
      <c r="Q2" s="33"/>
      <c r="R2" s="33"/>
      <c r="S2" s="33"/>
      <c r="T2" s="33"/>
      <c r="U2" s="33"/>
      <c r="V2" s="33"/>
      <c r="W2" s="33"/>
      <c r="X2" s="33"/>
      <c r="Y2" s="33"/>
    </row>
    <row r="3" spans="1:41" s="1" customFormat="1" ht="16" x14ac:dyDescent="0.2">
      <c r="A3" s="54"/>
      <c r="B3" s="328" t="s">
        <v>151</v>
      </c>
      <c r="C3" s="329"/>
      <c r="D3" s="330" t="s">
        <v>10</v>
      </c>
      <c r="E3" s="77"/>
      <c r="F3" s="327"/>
      <c r="G3" s="327"/>
      <c r="H3" s="327"/>
      <c r="I3" s="327"/>
      <c r="J3" s="327"/>
      <c r="K3" s="327"/>
      <c r="L3" s="33"/>
      <c r="M3" s="33"/>
      <c r="N3" s="36"/>
      <c r="O3" s="36"/>
      <c r="P3" s="33"/>
      <c r="Q3" s="33"/>
      <c r="R3" s="33"/>
      <c r="S3" s="33"/>
      <c r="T3" s="33"/>
      <c r="U3" s="33"/>
      <c r="V3" s="33"/>
      <c r="W3" s="33"/>
      <c r="X3" s="33"/>
      <c r="Y3" s="33"/>
    </row>
    <row r="4" spans="1:41" s="1" customFormat="1" ht="16" x14ac:dyDescent="0.2">
      <c r="A4" s="54"/>
      <c r="B4" s="58" t="s">
        <v>483</v>
      </c>
      <c r="C4" s="293"/>
      <c r="D4" s="331" t="s">
        <v>612</v>
      </c>
      <c r="E4" s="332"/>
      <c r="F4" s="327"/>
      <c r="G4" s="327"/>
      <c r="H4" s="327"/>
      <c r="I4" s="327"/>
      <c r="J4" s="327"/>
      <c r="K4" s="327"/>
      <c r="L4" s="33"/>
      <c r="M4" s="33"/>
      <c r="N4" s="37"/>
      <c r="O4" s="37"/>
      <c r="P4" s="33"/>
      <c r="Q4" s="33"/>
      <c r="R4" s="33"/>
      <c r="S4" s="33"/>
      <c r="T4" s="33"/>
      <c r="U4" s="33"/>
      <c r="V4" s="33"/>
      <c r="W4" s="33"/>
      <c r="X4" s="33"/>
      <c r="Y4" s="33"/>
    </row>
    <row r="5" spans="1:41" s="1" customFormat="1" ht="17" thickBot="1" x14ac:dyDescent="0.25">
      <c r="A5" s="54"/>
      <c r="B5" s="86" t="s">
        <v>484</v>
      </c>
      <c r="C5" s="333"/>
      <c r="D5" s="334">
        <v>5</v>
      </c>
      <c r="E5" s="332"/>
      <c r="F5" s="327"/>
      <c r="G5" s="327"/>
      <c r="H5" s="327"/>
      <c r="I5" s="327"/>
      <c r="J5" s="327"/>
      <c r="K5" s="327"/>
      <c r="L5" s="33"/>
      <c r="M5" s="33"/>
      <c r="N5" s="37"/>
      <c r="O5" s="37"/>
      <c r="P5" s="33"/>
      <c r="Q5" s="33"/>
      <c r="R5" s="33"/>
      <c r="S5" s="33"/>
      <c r="T5" s="33"/>
      <c r="U5" s="33"/>
      <c r="V5" s="33"/>
      <c r="W5" s="33"/>
      <c r="X5" s="33"/>
      <c r="Y5" s="33"/>
    </row>
    <row r="6" spans="1:41" s="1" customFormat="1" ht="17" thickBot="1" x14ac:dyDescent="0.25">
      <c r="A6" s="54"/>
      <c r="B6" s="335"/>
      <c r="C6" s="293"/>
      <c r="D6" s="256"/>
      <c r="E6" s="336"/>
      <c r="F6" s="335"/>
      <c r="G6" s="293"/>
      <c r="H6" s="337"/>
      <c r="I6" s="327"/>
      <c r="J6" s="327"/>
      <c r="K6" s="327"/>
      <c r="L6" s="33"/>
      <c r="M6" s="33"/>
      <c r="N6" s="37"/>
      <c r="O6" s="37"/>
      <c r="P6" s="33"/>
      <c r="Q6" s="33"/>
      <c r="R6" s="33"/>
      <c r="S6" s="38"/>
      <c r="T6" s="40"/>
      <c r="U6" s="39"/>
      <c r="V6" s="33"/>
      <c r="W6" s="33"/>
      <c r="X6" s="33"/>
      <c r="Y6" s="33"/>
    </row>
    <row r="7" spans="1:41" s="1" customFormat="1" ht="17" x14ac:dyDescent="0.2">
      <c r="A7" s="54"/>
      <c r="B7" s="542" t="s">
        <v>507</v>
      </c>
      <c r="C7" s="543"/>
      <c r="D7" s="820" t="str">
        <f>year_refi</f>
        <v>NA</v>
      </c>
      <c r="E7" s="336"/>
      <c r="F7" s="542" t="s">
        <v>508</v>
      </c>
      <c r="G7" s="543"/>
      <c r="H7" s="819">
        <f>year_sale</f>
        <v>5</v>
      </c>
      <c r="I7" s="327"/>
      <c r="J7" s="327"/>
      <c r="K7" s="327"/>
      <c r="L7" s="33"/>
      <c r="M7" s="33"/>
      <c r="N7" s="37"/>
      <c r="O7" s="37"/>
      <c r="P7" s="33"/>
      <c r="Q7" s="33"/>
      <c r="R7" s="33"/>
      <c r="S7" s="38"/>
      <c r="T7" s="40"/>
      <c r="U7" s="39"/>
      <c r="V7" s="33"/>
      <c r="W7" s="33"/>
      <c r="X7" s="33"/>
      <c r="Y7" s="33"/>
    </row>
    <row r="8" spans="1:41" s="1" customFormat="1" ht="16" x14ac:dyDescent="0.2">
      <c r="A8" s="54"/>
      <c r="B8" s="356" t="s">
        <v>11</v>
      </c>
      <c r="C8" s="363"/>
      <c r="D8" s="544">
        <f ca="1">IF($D$4="NA",0,OFFSET('P&amp;L'!D35,0,$D$4*2-2)+OFFSET('P&amp;L'!D32,0,$D$4*2-2))</f>
        <v>0</v>
      </c>
      <c r="E8" s="66"/>
      <c r="F8" s="356" t="s">
        <v>11</v>
      </c>
      <c r="G8" s="363"/>
      <c r="H8" s="544">
        <f ca="1">OFFSET('P&amp;L'!D35,0,$D$5*2-2)+OFFSET('P&amp;L'!D32,0,$D$5*2-2)</f>
        <v>0</v>
      </c>
      <c r="I8" s="54"/>
      <c r="J8" s="327"/>
      <c r="K8" s="327"/>
      <c r="L8" s="33"/>
      <c r="M8" s="33"/>
      <c r="N8" s="37"/>
      <c r="O8" s="37"/>
      <c r="P8" s="33"/>
      <c r="Q8" s="33"/>
      <c r="R8" s="33"/>
      <c r="S8" s="38"/>
      <c r="T8" s="40"/>
      <c r="U8" s="39"/>
      <c r="V8" s="33"/>
      <c r="W8" s="33"/>
      <c r="X8" s="33"/>
      <c r="Y8" s="33"/>
    </row>
    <row r="9" spans="1:41" s="677" customFormat="1" ht="16" x14ac:dyDescent="0.2">
      <c r="A9" s="661"/>
      <c r="B9" s="669" t="s">
        <v>153</v>
      </c>
      <c r="C9" s="670"/>
      <c r="D9" s="1156">
        <f>IF($D$4="NA",0,Summary!$D$23+(var_capRateBump*$D$4))</f>
        <v>0</v>
      </c>
      <c r="E9" s="671"/>
      <c r="F9" s="669" t="s">
        <v>24</v>
      </c>
      <c r="G9" s="670"/>
      <c r="H9" s="1156">
        <f>Summary!$D$23+(var_capRateBump*$D$5)</f>
        <v>7.5000000000000011E-2</v>
      </c>
      <c r="I9" s="1054">
        <v>1E-3</v>
      </c>
      <c r="J9" s="1053" t="s">
        <v>619</v>
      </c>
      <c r="L9" s="672"/>
      <c r="M9" s="672"/>
      <c r="N9" s="673"/>
      <c r="O9" s="673"/>
      <c r="P9" s="672"/>
      <c r="Q9" s="672"/>
      <c r="R9" s="672"/>
      <c r="S9" s="674"/>
      <c r="T9" s="675"/>
      <c r="U9" s="676"/>
      <c r="V9" s="672"/>
      <c r="W9" s="672"/>
      <c r="X9" s="672"/>
      <c r="Y9" s="672"/>
    </row>
    <row r="10" spans="1:41" s="1" customFormat="1" ht="16" x14ac:dyDescent="0.2">
      <c r="A10" s="54"/>
      <c r="B10" s="58" t="s">
        <v>145</v>
      </c>
      <c r="C10" s="293"/>
      <c r="D10" s="339">
        <f>IF($D$4="NA",0,D8/D9)</f>
        <v>0</v>
      </c>
      <c r="E10" s="340"/>
      <c r="F10" s="58" t="s">
        <v>452</v>
      </c>
      <c r="G10" s="54"/>
      <c r="H10" s="339">
        <f>SUM('Acquisition Costs'!D38:D40)</f>
        <v>0</v>
      </c>
      <c r="I10" s="54"/>
      <c r="J10" s="327"/>
      <c r="K10" s="327"/>
      <c r="L10" s="33"/>
      <c r="M10" s="33"/>
      <c r="N10" s="37"/>
      <c r="O10" s="37"/>
      <c r="P10" s="33"/>
      <c r="Q10" s="33"/>
      <c r="R10" s="33"/>
      <c r="S10" s="38"/>
      <c r="T10" s="40"/>
      <c r="U10" s="39"/>
      <c r="V10" s="33"/>
      <c r="W10" s="33"/>
      <c r="X10" s="33"/>
      <c r="Y10" s="33"/>
    </row>
    <row r="11" spans="1:41" s="1" customFormat="1" ht="16" x14ac:dyDescent="0.2">
      <c r="A11" s="54"/>
      <c r="B11" s="58" t="s">
        <v>146</v>
      </c>
      <c r="C11" s="293"/>
      <c r="D11" s="341">
        <v>0.65</v>
      </c>
      <c r="E11" s="342"/>
      <c r="F11" s="58" t="s">
        <v>451</v>
      </c>
      <c r="G11" s="54"/>
      <c r="H11" s="339">
        <f>Summary!$D$21*$I$11</f>
        <v>0</v>
      </c>
      <c r="I11" s="343">
        <v>0.5</v>
      </c>
      <c r="J11" s="344" t="s">
        <v>459</v>
      </c>
      <c r="K11" s="327"/>
      <c r="L11" s="33"/>
      <c r="M11" s="33"/>
      <c r="N11" s="37"/>
      <c r="O11" s="37"/>
      <c r="P11" s="33"/>
      <c r="Q11" s="33"/>
      <c r="R11" s="33"/>
      <c r="S11" s="38"/>
      <c r="T11" s="41"/>
      <c r="U11" s="33"/>
      <c r="V11" s="33"/>
      <c r="W11" s="33"/>
      <c r="X11" s="33"/>
      <c r="Y11" s="33"/>
    </row>
    <row r="12" spans="1:41" s="1" customFormat="1" ht="16" x14ac:dyDescent="0.2">
      <c r="A12" s="54"/>
      <c r="B12" s="58" t="s">
        <v>13</v>
      </c>
      <c r="C12" s="293"/>
      <c r="D12" s="1157">
        <f>IF($D$4="NA",0,Summary!D11)</f>
        <v>0</v>
      </c>
      <c r="E12" s="340"/>
      <c r="F12" s="58" t="s">
        <v>35</v>
      </c>
      <c r="G12" s="293"/>
      <c r="H12" s="339">
        <f ca="1">H8/H9</f>
        <v>0</v>
      </c>
      <c r="I12" s="54"/>
      <c r="J12" s="327"/>
      <c r="K12" s="327"/>
      <c r="L12" s="33"/>
      <c r="M12" s="33"/>
      <c r="N12" s="37"/>
      <c r="O12" s="37"/>
      <c r="P12" s="33"/>
      <c r="Q12" s="33"/>
      <c r="R12" s="33"/>
      <c r="S12" s="33"/>
      <c r="T12" s="33"/>
      <c r="U12" s="33"/>
      <c r="V12" s="33"/>
      <c r="W12" s="33"/>
      <c r="X12" s="33"/>
      <c r="Y12" s="33"/>
    </row>
    <row r="13" spans="1:41" s="1" customFormat="1" ht="16" x14ac:dyDescent="0.2">
      <c r="A13" s="54"/>
      <c r="B13" s="58" t="s">
        <v>152</v>
      </c>
      <c r="C13" s="293"/>
      <c r="D13" s="345">
        <v>25</v>
      </c>
      <c r="E13" s="340"/>
      <c r="F13" s="58" t="s">
        <v>122</v>
      </c>
      <c r="G13" s="343">
        <f ca="1">IF(H12&lt;2000000,4%,3%)</f>
        <v>0.04</v>
      </c>
      <c r="H13" s="339">
        <f ca="1">-G13*H12</f>
        <v>0</v>
      </c>
      <c r="I13" s="54"/>
      <c r="J13" s="344"/>
      <c r="K13" s="327"/>
      <c r="L13" s="33"/>
      <c r="M13" s="33"/>
      <c r="N13" s="37"/>
      <c r="O13" s="33"/>
      <c r="P13" s="33"/>
      <c r="Q13" s="33"/>
      <c r="R13" s="33"/>
      <c r="S13" s="33"/>
      <c r="T13" s="33"/>
      <c r="U13" s="33"/>
      <c r="V13" s="33"/>
      <c r="W13" s="33"/>
      <c r="X13" s="33"/>
      <c r="Y13" s="33"/>
    </row>
    <row r="14" spans="1:41" s="1" customFormat="1" ht="16" x14ac:dyDescent="0.2">
      <c r="A14" s="54"/>
      <c r="B14" s="58" t="s">
        <v>405</v>
      </c>
      <c r="D14" s="345">
        <v>0</v>
      </c>
      <c r="E14" s="340"/>
      <c r="F14" s="58" t="s">
        <v>57</v>
      </c>
      <c r="G14" s="293"/>
      <c r="H14" s="339">
        <f ca="1">-OFFSET(Loans!$H$35,0,$D$5-1)</f>
        <v>0</v>
      </c>
      <c r="I14" s="54"/>
      <c r="J14" s="327"/>
      <c r="K14" s="327"/>
      <c r="L14" s="33"/>
      <c r="M14" s="33"/>
      <c r="N14" s="33"/>
      <c r="O14" s="33"/>
      <c r="P14" s="33"/>
      <c r="Q14" s="33"/>
      <c r="R14" s="33"/>
      <c r="S14" s="33"/>
      <c r="T14" s="33"/>
      <c r="U14" s="33"/>
      <c r="V14" s="33"/>
      <c r="W14" s="33"/>
      <c r="X14" s="33"/>
      <c r="Y14" s="33"/>
    </row>
    <row r="15" spans="1:41" s="1" customFormat="1" ht="16" x14ac:dyDescent="0.2">
      <c r="A15" s="54"/>
      <c r="B15" s="58" t="s">
        <v>147</v>
      </c>
      <c r="C15" s="293"/>
      <c r="D15" s="339">
        <f>IF($D$4="NA",0,D11*D10)</f>
        <v>0</v>
      </c>
      <c r="E15" s="340"/>
      <c r="F15" s="58" t="s">
        <v>622</v>
      </c>
      <c r="G15" s="1064">
        <v>0</v>
      </c>
      <c r="H15" s="339">
        <f ca="1">H14*G15</f>
        <v>0</v>
      </c>
      <c r="I15" s="364"/>
      <c r="J15" s="327"/>
      <c r="K15" s="327"/>
      <c r="L15" s="33"/>
      <c r="M15" s="33"/>
      <c r="N15" s="33"/>
      <c r="O15" s="33"/>
      <c r="P15" s="33"/>
      <c r="Q15" s="33"/>
      <c r="R15" s="33"/>
      <c r="S15" s="33"/>
      <c r="T15" s="33"/>
      <c r="U15" s="33"/>
      <c r="V15" s="33"/>
      <c r="W15" s="33"/>
      <c r="X15" s="33"/>
      <c r="Y15" s="33"/>
    </row>
    <row r="16" spans="1:41" s="1" customFormat="1" ht="16" x14ac:dyDescent="0.2">
      <c r="A16" s="54"/>
      <c r="B16" s="84" t="s">
        <v>148</v>
      </c>
      <c r="C16" s="343">
        <v>0.01</v>
      </c>
      <c r="D16" s="339">
        <f>IF($D$4="NA",0,-C16*D15)</f>
        <v>0</v>
      </c>
      <c r="E16" s="340"/>
      <c r="F16" s="84" t="s">
        <v>63</v>
      </c>
      <c r="G16" s="78">
        <f>Summary!D45</f>
        <v>0</v>
      </c>
      <c r="H16" s="339">
        <f ca="1">H12*G16</f>
        <v>0</v>
      </c>
      <c r="I16" s="364"/>
      <c r="J16" s="327"/>
      <c r="K16" s="327"/>
      <c r="L16" s="33"/>
      <c r="M16" s="33"/>
      <c r="N16" s="33"/>
      <c r="O16" s="33"/>
      <c r="P16" s="33"/>
      <c r="Q16" s="33"/>
      <c r="R16" s="33"/>
      <c r="S16" s="33"/>
      <c r="T16" s="33"/>
      <c r="U16" s="33"/>
      <c r="V16" s="33"/>
      <c r="W16" s="33"/>
      <c r="X16" s="33"/>
      <c r="Y16" s="33"/>
    </row>
    <row r="17" spans="1:25" s="1" customFormat="1" ht="16" x14ac:dyDescent="0.2">
      <c r="A17" s="54"/>
      <c r="B17" s="84" t="s">
        <v>290</v>
      </c>
      <c r="C17" s="293"/>
      <c r="D17" s="347">
        <v>0</v>
      </c>
      <c r="E17" s="1222"/>
      <c r="F17" s="353" t="s">
        <v>64</v>
      </c>
      <c r="G17" s="354"/>
      <c r="H17" s="355">
        <f ca="1">H12+H13+H14+H15-H16+H10+H11</f>
        <v>0</v>
      </c>
      <c r="I17" s="364"/>
      <c r="J17" s="327"/>
      <c r="K17" s="327"/>
      <c r="L17" s="33"/>
      <c r="M17" s="33"/>
      <c r="N17" s="33"/>
      <c r="O17" s="33"/>
      <c r="P17" s="33"/>
      <c r="Q17" s="33"/>
      <c r="R17" s="33"/>
      <c r="S17" s="33"/>
      <c r="T17" s="33"/>
      <c r="U17" s="33"/>
      <c r="V17" s="33"/>
      <c r="W17" s="33"/>
      <c r="X17" s="33"/>
      <c r="Y17" s="33"/>
    </row>
    <row r="18" spans="1:25" s="1" customFormat="1" ht="16" x14ac:dyDescent="0.2">
      <c r="A18" s="54"/>
      <c r="B18" s="348" t="s">
        <v>149</v>
      </c>
      <c r="C18" s="349"/>
      <c r="D18" s="346">
        <f ca="1">IF($D$4="NA",0,-OFFSET(Loans!H35,0,$D$4-1))</f>
        <v>0</v>
      </c>
      <c r="E18" s="1222"/>
      <c r="F18" s="983" t="s">
        <v>474</v>
      </c>
      <c r="G18" s="451"/>
      <c r="H18" s="352">
        <f ca="1">MIN(INDEX(Returns!C5:L5,1,year_sale)-INDEX(Returns!C12:L12,1,year_sale),H17)</f>
        <v>0</v>
      </c>
      <c r="I18" s="364"/>
      <c r="J18" s="327"/>
      <c r="K18" s="327"/>
      <c r="L18" s="33"/>
      <c r="M18" s="33"/>
      <c r="N18" s="33"/>
      <c r="O18" s="33"/>
      <c r="P18" s="33"/>
      <c r="Q18" s="33"/>
      <c r="R18" s="33"/>
      <c r="S18" s="33"/>
      <c r="T18" s="33"/>
      <c r="U18" s="33"/>
      <c r="V18" s="33"/>
      <c r="W18" s="33"/>
      <c r="X18" s="33"/>
      <c r="Y18" s="33"/>
    </row>
    <row r="19" spans="1:25" s="1" customFormat="1" ht="16" x14ac:dyDescent="0.2">
      <c r="A19" s="54"/>
      <c r="B19" s="350" t="s">
        <v>473</v>
      </c>
      <c r="C19" s="256"/>
      <c r="D19" s="351">
        <f>IF($D$4="NA",0,SUM(D15:D18))</f>
        <v>0</v>
      </c>
      <c r="E19" s="1222"/>
      <c r="F19" s="983" t="s">
        <v>569</v>
      </c>
      <c r="G19" s="451"/>
      <c r="H19" s="352">
        <f ca="1">MIN(H17-H18,INDEX('P&amp;L'!$D$47:$V$47,1,(year_sale*2)-1))</f>
        <v>0</v>
      </c>
      <c r="I19" s="54"/>
      <c r="J19" s="327"/>
      <c r="K19" s="327"/>
      <c r="L19" s="33"/>
      <c r="M19" s="33"/>
      <c r="N19" s="33"/>
      <c r="O19" s="33"/>
      <c r="P19" s="33"/>
      <c r="Q19" s="33"/>
      <c r="R19" s="33"/>
      <c r="S19" s="33"/>
      <c r="T19" s="33"/>
      <c r="U19" s="33"/>
      <c r="V19" s="33"/>
      <c r="W19" s="33"/>
      <c r="X19" s="33"/>
      <c r="Y19" s="33"/>
    </row>
    <row r="20" spans="1:25" s="1" customFormat="1" ht="16" x14ac:dyDescent="0.2">
      <c r="A20" s="54"/>
      <c r="B20" s="84" t="s">
        <v>589</v>
      </c>
      <c r="C20" s="1010">
        <v>0</v>
      </c>
      <c r="D20" s="339">
        <f>IF(C20&gt;0,MIN(D15*C20,D19),0)</f>
        <v>0</v>
      </c>
      <c r="E20" s="1222"/>
      <c r="F20" s="984" t="s">
        <v>162</v>
      </c>
      <c r="G20" s="985"/>
      <c r="H20" s="986">
        <f ca="1">H17-H18-H19</f>
        <v>0</v>
      </c>
      <c r="I20" s="54"/>
      <c r="J20" s="327"/>
      <c r="K20" s="327"/>
      <c r="L20" s="30"/>
      <c r="M20" s="33"/>
      <c r="N20" s="33"/>
      <c r="O20" s="33"/>
      <c r="P20" s="33"/>
      <c r="Q20" s="33"/>
      <c r="R20" s="33"/>
      <c r="S20" s="33"/>
      <c r="T20" s="33"/>
      <c r="U20" s="33"/>
      <c r="V20" s="33"/>
      <c r="W20" s="33"/>
      <c r="X20" s="33"/>
      <c r="Y20" s="33"/>
    </row>
    <row r="21" spans="1:25" s="1" customFormat="1" ht="16" x14ac:dyDescent="0.2">
      <c r="A21" s="54"/>
      <c r="B21" s="84" t="s">
        <v>474</v>
      </c>
      <c r="C21" s="293"/>
      <c r="D21" s="352">
        <f>IF($D$4="NA",0,MIN(D19-D20,INDEX(Returns!C5:L5,1,year_refi)-INDEX(Returns!C12:L12,1,year_refi)))</f>
        <v>0</v>
      </c>
      <c r="E21" s="1222"/>
      <c r="F21" s="874" t="s">
        <v>115</v>
      </c>
      <c r="G21" s="451"/>
      <c r="H21" s="352">
        <f ca="1">OFFSET(Loans!H33,0,$D$5-1)-D25</f>
        <v>0</v>
      </c>
      <c r="I21" s="54"/>
      <c r="J21" s="327"/>
      <c r="K21" s="327"/>
      <c r="L21" s="33"/>
      <c r="M21" s="33"/>
      <c r="N21" s="33"/>
      <c r="O21" s="33"/>
      <c r="P21" s="33"/>
      <c r="Q21" s="33"/>
      <c r="R21" s="33"/>
      <c r="S21" s="33"/>
      <c r="T21" s="33"/>
      <c r="U21" s="33"/>
      <c r="V21" s="33"/>
      <c r="W21" s="33"/>
      <c r="X21" s="33"/>
      <c r="Y21" s="33"/>
    </row>
    <row r="22" spans="1:25" s="1" customFormat="1" ht="16" x14ac:dyDescent="0.2">
      <c r="A22" s="54"/>
      <c r="B22" s="353" t="s">
        <v>165</v>
      </c>
      <c r="C22" s="354"/>
      <c r="D22" s="355">
        <f>IF($D$4="NA",0,INDEX(Returns!C5:L5,1,year_refi)-D21)</f>
        <v>0</v>
      </c>
      <c r="E22" s="1222"/>
      <c r="F22" s="874" t="s">
        <v>116</v>
      </c>
      <c r="G22" s="451"/>
      <c r="H22" s="352">
        <f ca="1">IF(H20&lt;=H21,0,H20-H21)</f>
        <v>0</v>
      </c>
      <c r="I22" s="54"/>
      <c r="J22" s="327"/>
      <c r="K22" s="327"/>
      <c r="L22" s="33"/>
      <c r="M22" s="33"/>
      <c r="N22" s="33"/>
      <c r="O22" s="33"/>
      <c r="P22" s="33"/>
      <c r="Q22" s="33"/>
      <c r="R22" s="33"/>
      <c r="S22" s="33"/>
      <c r="T22" s="33"/>
      <c r="U22" s="33"/>
      <c r="V22" s="33"/>
      <c r="W22" s="33"/>
      <c r="X22" s="33"/>
      <c r="Y22" s="33"/>
    </row>
    <row r="23" spans="1:25" s="1" customFormat="1" ht="16" x14ac:dyDescent="0.2">
      <c r="A23" s="54"/>
      <c r="B23" s="68" t="s">
        <v>255</v>
      </c>
      <c r="C23" s="293"/>
      <c r="D23" s="1008">
        <f>IF($D$4="NA",0,1-(D22/Summary!D22))</f>
        <v>0</v>
      </c>
      <c r="E23" s="1222"/>
      <c r="F23" s="58" t="s">
        <v>160</v>
      </c>
      <c r="G23" s="342">
        <f>Summary!D41</f>
        <v>0.8</v>
      </c>
      <c r="H23" s="339">
        <f ca="1">H20*$G$23</f>
        <v>0</v>
      </c>
      <c r="I23" s="54"/>
      <c r="J23" s="327"/>
      <c r="K23" s="327"/>
      <c r="L23" s="33"/>
      <c r="M23" s="33"/>
      <c r="N23" s="33"/>
      <c r="O23" s="33"/>
      <c r="P23" s="33"/>
      <c r="Q23" s="33"/>
      <c r="R23" s="33"/>
      <c r="S23" s="33"/>
      <c r="T23" s="33"/>
      <c r="U23" s="33"/>
      <c r="V23" s="33"/>
      <c r="W23" s="33"/>
      <c r="X23" s="33"/>
      <c r="Y23" s="33"/>
    </row>
    <row r="24" spans="1:25" s="1" customFormat="1" ht="16" x14ac:dyDescent="0.2">
      <c r="A24" s="54"/>
      <c r="B24" s="58" t="s">
        <v>163</v>
      </c>
      <c r="C24" s="293"/>
      <c r="D24" s="339">
        <f>D19-D20-D21</f>
        <v>0</v>
      </c>
      <c r="E24" s="340"/>
      <c r="F24" s="58" t="s">
        <v>161</v>
      </c>
      <c r="G24" s="342">
        <f>Summary!D42</f>
        <v>0.19999999999999996</v>
      </c>
      <c r="H24" s="339">
        <f ca="1">H20*$G$24</f>
        <v>0</v>
      </c>
      <c r="I24" s="327"/>
      <c r="J24" s="327"/>
      <c r="K24" s="327"/>
      <c r="L24" s="33"/>
      <c r="M24" s="33"/>
      <c r="N24" s="33"/>
      <c r="O24" s="33"/>
      <c r="P24" s="33"/>
      <c r="Q24" s="33"/>
      <c r="R24" s="33"/>
      <c r="S24" s="33"/>
      <c r="T24" s="33"/>
      <c r="U24" s="33"/>
      <c r="V24" s="33"/>
      <c r="W24" s="33"/>
      <c r="X24" s="33"/>
      <c r="Y24" s="33"/>
    </row>
    <row r="25" spans="1:25" s="1" customFormat="1" ht="17" thickBot="1" x14ac:dyDescent="0.25">
      <c r="A25" s="54"/>
      <c r="B25" s="68" t="s">
        <v>115</v>
      </c>
      <c r="C25" s="293"/>
      <c r="D25" s="339">
        <f ca="1">IF($D$4="NA",0,OFFSET(Loans!H33,0,$D$4-1))</f>
        <v>0</v>
      </c>
      <c r="E25" s="66"/>
      <c r="F25" s="540" t="s">
        <v>476</v>
      </c>
      <c r="G25" s="541"/>
      <c r="H25" s="987">
        <f ca="1">H23+H18+H19</f>
        <v>0</v>
      </c>
      <c r="I25" s="327"/>
      <c r="J25" s="327"/>
      <c r="K25" s="327"/>
      <c r="L25" s="33"/>
      <c r="M25" s="33"/>
      <c r="N25" s="33"/>
      <c r="O25" s="33"/>
      <c r="P25" s="33"/>
      <c r="Q25" s="33"/>
      <c r="R25" s="33"/>
      <c r="S25" s="33"/>
      <c r="T25" s="33"/>
      <c r="U25" s="33"/>
      <c r="V25" s="33"/>
      <c r="W25" s="33"/>
      <c r="X25" s="33"/>
      <c r="Y25" s="33"/>
    </row>
    <row r="26" spans="1:25" s="1" customFormat="1" ht="17" thickBot="1" x14ac:dyDescent="0.25">
      <c r="A26" s="54"/>
      <c r="B26" s="68" t="s">
        <v>116</v>
      </c>
      <c r="C26" s="293"/>
      <c r="D26" s="339">
        <f>IF($D$4="NA",0,IF(D24=0,0,IF(D24-D25&gt;0,D24-D25,0)))</f>
        <v>0</v>
      </c>
      <c r="E26" s="340"/>
      <c r="F26" s="327"/>
      <c r="G26" s="327"/>
      <c r="H26" s="327"/>
      <c r="I26" s="327"/>
      <c r="J26" s="327"/>
      <c r="K26" s="327"/>
      <c r="L26" s="33"/>
      <c r="M26" s="33"/>
      <c r="N26" s="33"/>
      <c r="O26" s="33"/>
      <c r="P26" s="33"/>
      <c r="Q26" s="33"/>
      <c r="R26" s="33"/>
      <c r="S26" s="33"/>
      <c r="T26" s="33"/>
      <c r="U26" s="33"/>
      <c r="V26" s="33"/>
      <c r="W26" s="33"/>
      <c r="X26" s="33"/>
      <c r="Y26" s="33"/>
    </row>
    <row r="27" spans="1:25" s="43" customFormat="1" ht="17" x14ac:dyDescent="0.2">
      <c r="A27" s="357"/>
      <c r="B27" s="850" t="s">
        <v>160</v>
      </c>
      <c r="C27" s="849">
        <f>Summary!D41</f>
        <v>0.8</v>
      </c>
      <c r="D27" s="851">
        <f>D24*C27</f>
        <v>0</v>
      </c>
      <c r="E27" s="358"/>
      <c r="F27" s="313" t="s">
        <v>155</v>
      </c>
      <c r="G27" s="968"/>
      <c r="H27" s="969"/>
      <c r="I27" s="54"/>
      <c r="J27" s="327"/>
      <c r="K27" s="327"/>
      <c r="L27" s="33"/>
      <c r="M27" s="44"/>
      <c r="N27" s="44"/>
      <c r="O27" s="44"/>
      <c r="P27" s="44"/>
      <c r="Q27" s="44"/>
      <c r="R27" s="44"/>
      <c r="S27" s="44"/>
      <c r="T27" s="44"/>
      <c r="U27" s="44"/>
      <c r="V27" s="44"/>
      <c r="W27" s="44"/>
      <c r="X27" s="44"/>
      <c r="Y27" s="44"/>
    </row>
    <row r="28" spans="1:25" s="43" customFormat="1" ht="16" x14ac:dyDescent="0.2">
      <c r="A28" s="357"/>
      <c r="B28" s="850" t="s">
        <v>161</v>
      </c>
      <c r="C28" s="849">
        <f>Summary!D42</f>
        <v>0.19999999999999996</v>
      </c>
      <c r="D28" s="851">
        <f>D24*C28</f>
        <v>0</v>
      </c>
      <c r="E28" s="358"/>
      <c r="F28" s="840" t="s">
        <v>166</v>
      </c>
      <c r="G28" s="841"/>
      <c r="H28" s="842">
        <f ca="1">D27+H23</f>
        <v>0</v>
      </c>
      <c r="I28" s="357"/>
      <c r="J28" s="359"/>
      <c r="K28" s="359"/>
      <c r="L28" s="44"/>
      <c r="M28" s="44"/>
      <c r="N28" s="44"/>
      <c r="O28" s="44"/>
      <c r="P28" s="44"/>
      <c r="Q28" s="44"/>
      <c r="R28" s="44"/>
      <c r="S28" s="44"/>
      <c r="T28" s="44"/>
      <c r="U28" s="44"/>
      <c r="V28" s="44"/>
      <c r="W28" s="44"/>
      <c r="X28" s="44"/>
      <c r="Y28" s="44"/>
    </row>
    <row r="29" spans="1:25" s="1" customFormat="1" ht="17" x14ac:dyDescent="0.2">
      <c r="A29" s="54"/>
      <c r="B29" s="853" t="s">
        <v>475</v>
      </c>
      <c r="C29" s="854"/>
      <c r="D29" s="855">
        <f>IF($D$4="NA",0,D27+D21)</f>
        <v>0</v>
      </c>
      <c r="E29" s="77"/>
      <c r="F29" s="843" t="s">
        <v>446</v>
      </c>
      <c r="G29" s="844"/>
      <c r="H29" s="845">
        <f ca="1">D29+H25</f>
        <v>0</v>
      </c>
      <c r="J29" s="359"/>
      <c r="K29" s="359"/>
      <c r="L29" s="44"/>
      <c r="M29" s="33"/>
      <c r="N29" s="33"/>
      <c r="O29" s="33"/>
      <c r="P29" s="33"/>
      <c r="Q29" s="33"/>
      <c r="R29" s="33"/>
      <c r="S29" s="33"/>
      <c r="T29" s="33"/>
      <c r="U29" s="33"/>
      <c r="V29" s="33"/>
      <c r="W29" s="33"/>
      <c r="X29" s="33"/>
      <c r="Y29" s="33"/>
    </row>
    <row r="30" spans="1:25" s="1" customFormat="1" ht="18" thickBot="1" x14ac:dyDescent="0.25">
      <c r="A30" s="54"/>
      <c r="B30" s="86" t="s">
        <v>164</v>
      </c>
      <c r="C30" s="333"/>
      <c r="D30" s="852" t="str">
        <f>IF($D$4="NA","",D22)</f>
        <v/>
      </c>
      <c r="E30" s="360"/>
      <c r="F30" s="846" t="s">
        <v>171</v>
      </c>
      <c r="G30" s="817"/>
      <c r="H30" s="1065">
        <f>Summary!D50</f>
        <v>0</v>
      </c>
      <c r="I30" s="357" t="str">
        <f>About!E7</f>
        <v/>
      </c>
      <c r="J30" s="327"/>
      <c r="K30" s="327"/>
      <c r="L30" s="33"/>
      <c r="M30" s="33"/>
      <c r="N30" s="33"/>
      <c r="O30" s="33"/>
      <c r="P30" s="33"/>
      <c r="Q30" s="33"/>
      <c r="R30" s="33"/>
      <c r="S30" s="33"/>
      <c r="T30" s="33"/>
      <c r="U30" s="33"/>
      <c r="V30" s="33"/>
      <c r="W30" s="33"/>
      <c r="X30" s="33"/>
      <c r="Y30" s="33"/>
    </row>
    <row r="31" spans="1:25" s="1" customFormat="1" ht="18" thickBot="1" x14ac:dyDescent="0.25">
      <c r="A31" s="54"/>
      <c r="B31" s="327"/>
      <c r="C31" s="361"/>
      <c r="D31" s="77"/>
      <c r="E31" s="360"/>
      <c r="F31" s="847" t="s">
        <v>657</v>
      </c>
      <c r="G31" s="848"/>
      <c r="H31" s="1066">
        <f>Summary!D37</f>
        <v>0</v>
      </c>
      <c r="I31" s="357" t="str">
        <f>About!E10</f>
        <v/>
      </c>
      <c r="J31" s="327"/>
      <c r="K31" s="327"/>
      <c r="L31" s="33"/>
      <c r="M31" s="33"/>
      <c r="N31" s="33"/>
      <c r="O31" s="33"/>
      <c r="P31" s="33"/>
      <c r="Q31" s="33"/>
      <c r="R31" s="33"/>
      <c r="S31" s="33"/>
      <c r="T31" s="33"/>
      <c r="U31" s="33"/>
      <c r="V31" s="33"/>
      <c r="W31" s="33"/>
      <c r="X31" s="33"/>
      <c r="Y31" s="33"/>
    </row>
    <row r="32" spans="1:25" ht="16" x14ac:dyDescent="0.2">
      <c r="A32" s="362"/>
      <c r="B32" s="52" t="str">
        <f ca="1">copyright</f>
        <v>Copyright © 2026 Michael Blank.</v>
      </c>
      <c r="C32" s="361"/>
      <c r="D32" s="360"/>
      <c r="E32" s="360"/>
      <c r="F32" s="1"/>
      <c r="G32" s="1"/>
      <c r="H32" s="1"/>
      <c r="I32" s="1"/>
      <c r="J32" s="327"/>
      <c r="K32" s="327"/>
      <c r="L32" s="33"/>
      <c r="M32" s="18"/>
      <c r="N32" s="18"/>
      <c r="O32" s="18"/>
      <c r="P32" s="18"/>
      <c r="Q32" s="18"/>
      <c r="R32" s="18"/>
      <c r="S32" s="18"/>
      <c r="T32" s="18"/>
      <c r="U32" s="18"/>
      <c r="V32" s="18"/>
      <c r="W32" s="18"/>
      <c r="X32" s="18"/>
      <c r="Y32" s="18"/>
    </row>
    <row r="33" spans="1:25" ht="16" x14ac:dyDescent="0.2">
      <c r="A33" s="54"/>
      <c r="B33" s="52" t="s">
        <v>124</v>
      </c>
      <c r="C33" s="361"/>
      <c r="D33" s="360"/>
      <c r="E33" s="77"/>
      <c r="F33" s="77"/>
      <c r="G33" s="77"/>
      <c r="H33" s="77"/>
      <c r="I33" s="327"/>
      <c r="J33" s="77"/>
      <c r="K33" s="77"/>
      <c r="L33" s="18"/>
      <c r="M33" s="33"/>
      <c r="N33" s="33"/>
      <c r="O33" s="33"/>
      <c r="P33" s="33"/>
      <c r="Q33" s="33"/>
      <c r="R33" s="33"/>
      <c r="S33" s="33"/>
      <c r="T33" s="33"/>
      <c r="U33" s="33"/>
      <c r="V33" s="33"/>
      <c r="W33" s="33"/>
      <c r="X33" s="33"/>
      <c r="Y33" s="33"/>
    </row>
    <row r="34" spans="1:25" ht="16" x14ac:dyDescent="0.2">
      <c r="A34" s="54"/>
      <c r="B34" s="33"/>
      <c r="C34" s="18"/>
      <c r="D34" s="18"/>
      <c r="E34" s="77"/>
      <c r="F34" s="327"/>
      <c r="G34" s="327"/>
      <c r="H34" s="327"/>
      <c r="I34" s="327"/>
      <c r="J34" s="327"/>
      <c r="K34" s="327"/>
      <c r="L34" s="33"/>
      <c r="M34" s="33"/>
      <c r="N34" s="33"/>
      <c r="O34" s="33"/>
      <c r="P34" s="33"/>
      <c r="Q34" s="33"/>
      <c r="R34" s="33"/>
      <c r="S34" s="33"/>
      <c r="T34" s="33"/>
      <c r="U34" s="33"/>
      <c r="V34" s="33"/>
      <c r="W34" s="33"/>
      <c r="X34" s="33"/>
      <c r="Y34" s="33"/>
    </row>
    <row r="35" spans="1:25" ht="16" x14ac:dyDescent="0.2">
      <c r="A35" s="33"/>
      <c r="C35" s="22"/>
      <c r="D35" s="22"/>
      <c r="E35" s="18"/>
      <c r="F35" s="327"/>
      <c r="G35" s="327"/>
      <c r="H35" s="327"/>
      <c r="I35" s="327"/>
      <c r="J35" s="327"/>
      <c r="K35" s="327"/>
      <c r="L35" s="33"/>
      <c r="M35" s="33"/>
      <c r="N35" s="33"/>
      <c r="O35" s="33"/>
      <c r="P35" s="33"/>
      <c r="Q35" s="33"/>
      <c r="R35" s="33"/>
      <c r="S35" s="33"/>
      <c r="T35" s="33"/>
      <c r="U35" s="33"/>
      <c r="V35" s="33"/>
      <c r="W35" s="33"/>
      <c r="X35" s="33"/>
      <c r="Y35" s="33"/>
    </row>
    <row r="36" spans="1:25" x14ac:dyDescent="0.2">
      <c r="C36" s="22"/>
      <c r="D36" s="22"/>
      <c r="E36" s="22"/>
      <c r="F36" s="33"/>
      <c r="G36" s="33"/>
      <c r="H36" s="33"/>
      <c r="I36" s="33"/>
      <c r="J36" s="33"/>
      <c r="K36" s="33"/>
      <c r="L36" s="33"/>
    </row>
    <row r="37" spans="1:25" x14ac:dyDescent="0.2">
      <c r="C37" s="22"/>
      <c r="D37" s="22"/>
      <c r="E37" s="22"/>
    </row>
    <row r="38" spans="1:25" x14ac:dyDescent="0.2">
      <c r="C38" s="22"/>
      <c r="D38" s="22"/>
      <c r="E38" s="22"/>
    </row>
    <row r="39" spans="1:25" x14ac:dyDescent="0.2">
      <c r="C39" s="22"/>
      <c r="D39" s="22"/>
      <c r="E39" s="22"/>
    </row>
    <row r="40" spans="1:25" x14ac:dyDescent="0.2">
      <c r="C40" s="22"/>
      <c r="D40" s="22"/>
      <c r="E40" s="22"/>
    </row>
    <row r="41" spans="1:25" x14ac:dyDescent="0.2">
      <c r="C41" s="22"/>
      <c r="D41" s="22"/>
      <c r="E41" s="22"/>
    </row>
    <row r="42" spans="1:25" x14ac:dyDescent="0.15">
      <c r="E42" s="22"/>
    </row>
    <row r="46" spans="1:25" ht="16" x14ac:dyDescent="0.15">
      <c r="M46"/>
      <c r="N46"/>
      <c r="O46"/>
      <c r="P46"/>
    </row>
    <row r="47" spans="1:25" ht="16" x14ac:dyDescent="0.15">
      <c r="F47"/>
      <c r="G47"/>
      <c r="H47"/>
      <c r="I47"/>
      <c r="J47"/>
      <c r="K47"/>
      <c r="L47"/>
      <c r="M47"/>
      <c r="N47"/>
      <c r="O47"/>
      <c r="P47"/>
    </row>
    <row r="48" spans="1:25" ht="16" x14ac:dyDescent="0.15">
      <c r="F48"/>
      <c r="G48"/>
      <c r="H48"/>
      <c r="I48"/>
      <c r="J48"/>
      <c r="K48"/>
      <c r="L48"/>
      <c r="M48"/>
      <c r="N48"/>
      <c r="O48"/>
      <c r="P48"/>
    </row>
    <row r="49" spans="6:16" ht="16" x14ac:dyDescent="0.15">
      <c r="F49"/>
      <c r="G49"/>
      <c r="H49"/>
      <c r="I49"/>
      <c r="J49"/>
      <c r="K49"/>
      <c r="L49"/>
      <c r="M49"/>
      <c r="N49"/>
      <c r="O49"/>
      <c r="P49"/>
    </row>
    <row r="50" spans="6:16" ht="16" x14ac:dyDescent="0.15">
      <c r="F50"/>
      <c r="G50"/>
      <c r="H50"/>
      <c r="I50"/>
      <c r="J50"/>
      <c r="K50"/>
      <c r="L50"/>
      <c r="M50"/>
      <c r="N50"/>
      <c r="O50"/>
      <c r="P50"/>
    </row>
    <row r="51" spans="6:16" ht="16" x14ac:dyDescent="0.15">
      <c r="F51"/>
      <c r="G51"/>
      <c r="H51"/>
      <c r="I51"/>
      <c r="J51"/>
      <c r="K51"/>
      <c r="L51"/>
      <c r="M51"/>
      <c r="N51"/>
      <c r="O51"/>
      <c r="P51"/>
    </row>
    <row r="52" spans="6:16" ht="16" x14ac:dyDescent="0.15">
      <c r="F52"/>
      <c r="G52"/>
      <c r="H52"/>
      <c r="I52"/>
      <c r="J52"/>
      <c r="K52"/>
      <c r="L52"/>
      <c r="M52"/>
      <c r="N52"/>
      <c r="O52"/>
      <c r="P52"/>
    </row>
    <row r="53" spans="6:16" ht="16" x14ac:dyDescent="0.15">
      <c r="F53"/>
      <c r="G53"/>
      <c r="H53"/>
      <c r="I53"/>
      <c r="J53"/>
      <c r="K53"/>
      <c r="L53"/>
      <c r="M53"/>
      <c r="N53"/>
      <c r="O53"/>
      <c r="P53"/>
    </row>
    <row r="54" spans="6:16" ht="16" x14ac:dyDescent="0.15">
      <c r="F54"/>
      <c r="G54"/>
      <c r="H54"/>
      <c r="I54"/>
      <c r="J54"/>
      <c r="K54"/>
      <c r="L54"/>
      <c r="M54"/>
      <c r="N54"/>
      <c r="O54"/>
      <c r="P54"/>
    </row>
    <row r="55" spans="6:16" ht="16" x14ac:dyDescent="0.15">
      <c r="F55"/>
      <c r="G55"/>
      <c r="H55"/>
      <c r="I55"/>
      <c r="J55"/>
      <c r="K55"/>
      <c r="L55"/>
      <c r="M55"/>
      <c r="N55"/>
      <c r="O55"/>
      <c r="P55"/>
    </row>
    <row r="56" spans="6:16" ht="16" x14ac:dyDescent="0.15">
      <c r="F56"/>
      <c r="G56"/>
      <c r="H56"/>
      <c r="I56"/>
      <c r="J56"/>
      <c r="K56"/>
      <c r="L56"/>
      <c r="M56"/>
      <c r="N56"/>
      <c r="O56"/>
      <c r="P56"/>
    </row>
    <row r="57" spans="6:16" ht="16" x14ac:dyDescent="0.15">
      <c r="F57"/>
      <c r="G57"/>
      <c r="H57"/>
      <c r="I57"/>
      <c r="J57"/>
      <c r="K57"/>
      <c r="L57"/>
    </row>
  </sheetData>
  <customSheetViews>
    <customSheetView guid="{238A3432-2201-4481-B06C-00480E9813A7}" showRuler="0">
      <selection activeCell="I16" sqref="I16"/>
      <pageMargins left="0.75" right="0.75" top="1" bottom="1" header="0.5" footer="0.5"/>
      <pageSetup orientation="portrait" horizontalDpi="0" verticalDpi="0" r:id="rId1"/>
      <headerFooter alignWithMargins="0"/>
    </customSheetView>
    <customSheetView guid="{A0B83632-25B5-FE44-8A66-2590D6BCDFDC}" scale="130" hiddenColumns="1">
      <selection activeCell="E2" sqref="E2"/>
      <pageMargins left="0.47" right="0.55000000000000004" top="1" bottom="1" header="0.5" footer="0.5"/>
      <pageSetup orientation="landscape" horizontalDpi="1200" verticalDpi="1200" r:id="rId2"/>
      <headerFooter alignWithMargins="0"/>
    </customSheetView>
  </customSheetViews>
  <mergeCells count="2">
    <mergeCell ref="E17:E23"/>
    <mergeCell ref="B1:H1"/>
  </mergeCells>
  <phoneticPr fontId="0" type="noConversion"/>
  <conditionalFormatting sqref="D19">
    <cfRule type="expression" dxfId="20" priority="1">
      <formula>$D$19&lt;0</formula>
    </cfRule>
  </conditionalFormatting>
  <conditionalFormatting sqref="D20:D29">
    <cfRule type="expression" dxfId="19" priority="2">
      <formula>$D$19&lt;0</formula>
    </cfRule>
  </conditionalFormatting>
  <conditionalFormatting sqref="D23">
    <cfRule type="cellIs" priority="10" stopIfTrue="1" operator="equal">
      <formula>0</formula>
    </cfRule>
    <cfRule type="cellIs" dxfId="18" priority="11" stopIfTrue="1" operator="lessThan">
      <formula>var_returnCapitalPercentage</formula>
    </cfRule>
    <cfRule type="cellIs" dxfId="17" priority="12" stopIfTrue="1" operator="greaterThanOrEqual">
      <formula>var_returnCapitalPercentage</formula>
    </cfRule>
  </conditionalFormatting>
  <conditionalFormatting sqref="H30">
    <cfRule type="cellIs" dxfId="16" priority="5" stopIfTrue="1" operator="lessThan">
      <formula>var_IRR</formula>
    </cfRule>
    <cfRule type="cellIs" dxfId="15" priority="6" stopIfTrue="1" operator="greaterThanOrEqual">
      <formula>var_IRR</formula>
    </cfRule>
  </conditionalFormatting>
  <conditionalFormatting sqref="H30:H31">
    <cfRule type="cellIs" priority="4" stopIfTrue="1" operator="equal">
      <formula>0</formula>
    </cfRule>
  </conditionalFormatting>
  <conditionalFormatting sqref="H31">
    <cfRule type="cellIs" dxfId="14" priority="8" stopIfTrue="1" operator="greaterThanOrEqual">
      <formula>var_averageCoC</formula>
    </cfRule>
    <cfRule type="cellIs" dxfId="13" priority="9" stopIfTrue="1" operator="lessThan">
      <formula>var_averageCoC</formula>
    </cfRule>
  </conditionalFormatting>
  <dataValidations count="2">
    <dataValidation type="list" allowBlank="1" showInputMessage="1" showErrorMessage="1" promptTitle="TIP" prompt="Make sure this number is less than the Year of the final Disposition. NA = No Cash Out ReFinance" sqref="D4" xr:uid="{00000000-0002-0000-0700-000000000000}">
      <formula1>"NA,1,2,3,4,5,6,7,8,9,10"</formula1>
    </dataValidation>
    <dataValidation type="list" allowBlank="1" showInputMessage="1" showErrorMessage="1" promptTitle="TIP" prompt="Make Sure this Year is greater than the Re-Fi Year!" sqref="D5" xr:uid="{00000000-0002-0000-0700-000001000000}">
      <formula1>"1,2,3,4,5,6,7,8,9,10"</formula1>
    </dataValidation>
  </dataValidations>
  <pageMargins left="0.47" right="0.55000000000000004" top="1" bottom="1" header="0.5" footer="0.5"/>
  <pageSetup orientation="landscape" horizontalDpi="1200" verticalDpi="1200" r:id="rId3"/>
  <headerFooter alignWithMargins="0"/>
  <cellWatches>
    <cellWatch r="F9"/>
  </cellWatches>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outlinePr summaryBelow="0" summaryRight="0"/>
  </sheetPr>
  <dimension ref="A1:Y183"/>
  <sheetViews>
    <sheetView showGridLines="0" zoomScaleNormal="100" workbookViewId="0"/>
  </sheetViews>
  <sheetFormatPr baseColWidth="10" defaultColWidth="9" defaultRowHeight="16" outlineLevelRow="1" x14ac:dyDescent="0.2"/>
  <cols>
    <col min="1" max="1" width="3.42578125" style="54" customWidth="1"/>
    <col min="2" max="2" width="40.5703125" style="54" customWidth="1"/>
    <col min="3" max="14" width="11.42578125" style="54" customWidth="1"/>
    <col min="15" max="18" width="9" style="54"/>
    <col min="19" max="19" width="9" style="10"/>
    <col min="20" max="20" width="9" style="830"/>
    <col min="21" max="16384" width="9" style="10"/>
  </cols>
  <sheetData>
    <row r="1" spans="1:20" s="50" customFormat="1" ht="24" customHeight="1" x14ac:dyDescent="0.2">
      <c r="B1" s="1179" t="s">
        <v>677</v>
      </c>
      <c r="C1" s="1179"/>
      <c r="D1" s="1179"/>
      <c r="E1" s="1179"/>
      <c r="F1" s="1179"/>
      <c r="G1" s="1179"/>
      <c r="H1" s="1179"/>
      <c r="I1" s="1179"/>
      <c r="J1" s="1179"/>
      <c r="K1" s="1179"/>
      <c r="L1" s="1179"/>
      <c r="M1" s="1179"/>
      <c r="N1" s="1179"/>
      <c r="O1" s="49"/>
      <c r="P1" s="49"/>
      <c r="Q1" s="49"/>
      <c r="R1" s="49"/>
    </row>
    <row r="2" spans="1:20" x14ac:dyDescent="0.2">
      <c r="C2" s="129"/>
      <c r="D2" s="129"/>
      <c r="E2" s="129"/>
    </row>
    <row r="3" spans="1:20" ht="17" thickBot="1" x14ac:dyDescent="0.25">
      <c r="C3" s="256" t="str">
        <f t="shared" ref="C3:L3" si="0">IF(C4=year_refi,"REFINANCE!",IF(C4=year_sale,"SALE!",""))</f>
        <v/>
      </c>
      <c r="D3" s="256" t="str">
        <f t="shared" si="0"/>
        <v/>
      </c>
      <c r="E3" s="256" t="str">
        <f t="shared" si="0"/>
        <v/>
      </c>
      <c r="F3" s="256" t="str">
        <f t="shared" si="0"/>
        <v/>
      </c>
      <c r="G3" s="256" t="str">
        <f t="shared" si="0"/>
        <v>SALE!</v>
      </c>
      <c r="H3" s="256" t="str">
        <f t="shared" si="0"/>
        <v/>
      </c>
      <c r="I3" s="256" t="str">
        <f t="shared" si="0"/>
        <v/>
      </c>
      <c r="J3" s="256" t="str">
        <f t="shared" si="0"/>
        <v/>
      </c>
      <c r="K3" s="256" t="str">
        <f t="shared" si="0"/>
        <v/>
      </c>
      <c r="L3" s="256" t="str">
        <f t="shared" si="0"/>
        <v/>
      </c>
    </row>
    <row r="4" spans="1:20" x14ac:dyDescent="0.2">
      <c r="B4" s="775" t="s">
        <v>482</v>
      </c>
      <c r="C4" s="315">
        <v>1</v>
      </c>
      <c r="D4" s="315">
        <f>C4+1</f>
        <v>2</v>
      </c>
      <c r="E4" s="315">
        <f t="shared" ref="E4:L4" si="1">D4+1</f>
        <v>3</v>
      </c>
      <c r="F4" s="315">
        <f t="shared" si="1"/>
        <v>4</v>
      </c>
      <c r="G4" s="315">
        <f t="shared" si="1"/>
        <v>5</v>
      </c>
      <c r="H4" s="315">
        <f t="shared" si="1"/>
        <v>6</v>
      </c>
      <c r="I4" s="315">
        <f t="shared" si="1"/>
        <v>7</v>
      </c>
      <c r="J4" s="315">
        <f t="shared" si="1"/>
        <v>8</v>
      </c>
      <c r="K4" s="315">
        <f t="shared" si="1"/>
        <v>9</v>
      </c>
      <c r="L4" s="315">
        <f t="shared" si="1"/>
        <v>10</v>
      </c>
      <c r="M4" s="315" t="s">
        <v>74</v>
      </c>
      <c r="N4" s="319" t="s">
        <v>73</v>
      </c>
    </row>
    <row r="5" spans="1:20" x14ac:dyDescent="0.2">
      <c r="B5" s="862" t="s">
        <v>167</v>
      </c>
      <c r="C5" s="857">
        <f>Summary!$D$22</f>
        <v>0</v>
      </c>
      <c r="D5" s="857">
        <f>C$14</f>
        <v>0</v>
      </c>
      <c r="E5" s="857">
        <f t="shared" ref="E5:L5" si="2">D$14</f>
        <v>0</v>
      </c>
      <c r="F5" s="857">
        <f t="shared" si="2"/>
        <v>0</v>
      </c>
      <c r="G5" s="857">
        <f t="shared" si="2"/>
        <v>0</v>
      </c>
      <c r="H5" s="857">
        <f t="shared" ca="1" si="2"/>
        <v>0</v>
      </c>
      <c r="I5" s="857">
        <f t="shared" ca="1" si="2"/>
        <v>0</v>
      </c>
      <c r="J5" s="857">
        <f t="shared" ca="1" si="2"/>
        <v>0</v>
      </c>
      <c r="K5" s="857">
        <f t="shared" ca="1" si="2"/>
        <v>0</v>
      </c>
      <c r="L5" s="857">
        <f t="shared" ca="1" si="2"/>
        <v>0</v>
      </c>
      <c r="M5" s="858"/>
      <c r="N5" s="861"/>
    </row>
    <row r="6" spans="1:20" x14ac:dyDescent="0.2">
      <c r="A6" s="10"/>
      <c r="B6" s="862" t="s">
        <v>586</v>
      </c>
      <c r="C6" s="859">
        <f ca="1">'P&amp;L'!D$51</f>
        <v>0</v>
      </c>
      <c r="D6" s="859">
        <f ca="1">'P&amp;L'!F$51</f>
        <v>0</v>
      </c>
      <c r="E6" s="859">
        <f ca="1">'P&amp;L'!H$51</f>
        <v>0</v>
      </c>
      <c r="F6" s="859">
        <f ca="1">'P&amp;L'!J$51</f>
        <v>0</v>
      </c>
      <c r="G6" s="859">
        <f ca="1">'P&amp;L'!L$51</f>
        <v>0</v>
      </c>
      <c r="H6" s="859">
        <f>'P&amp;L'!N$51</f>
        <v>0</v>
      </c>
      <c r="I6" s="859">
        <f>'P&amp;L'!P$51</f>
        <v>0</v>
      </c>
      <c r="J6" s="859">
        <f>'P&amp;L'!R$51</f>
        <v>0</v>
      </c>
      <c r="K6" s="859">
        <f>'P&amp;L'!T$51</f>
        <v>0</v>
      </c>
      <c r="L6" s="859">
        <f>'P&amp;L'!V$51</f>
        <v>0</v>
      </c>
      <c r="M6" s="857">
        <f ca="1">SUM(C6:L6)</f>
        <v>0</v>
      </c>
      <c r="N6" s="861"/>
      <c r="O6" s="10"/>
      <c r="P6" s="10"/>
      <c r="Q6" s="10"/>
      <c r="R6" s="10"/>
    </row>
    <row r="7" spans="1:20" x14ac:dyDescent="0.2">
      <c r="B7" s="862" t="s">
        <v>657</v>
      </c>
      <c r="C7" s="880" t="str">
        <f>IF(C$4&lt;=year_sale,IF(C$5=0,"∞",C$6/C$5),0)</f>
        <v>∞</v>
      </c>
      <c r="D7" s="880" t="str">
        <f t="shared" ref="D7:L7" si="3">IF(D$4&lt;=year_sale,IF(D$5=0,"∞",D$6/D$5),0)</f>
        <v>∞</v>
      </c>
      <c r="E7" s="880" t="str">
        <f t="shared" si="3"/>
        <v>∞</v>
      </c>
      <c r="F7" s="880" t="str">
        <f t="shared" si="3"/>
        <v>∞</v>
      </c>
      <c r="G7" s="880" t="str">
        <f t="shared" si="3"/>
        <v>∞</v>
      </c>
      <c r="H7" s="880">
        <f t="shared" si="3"/>
        <v>0</v>
      </c>
      <c r="I7" s="880">
        <f t="shared" si="3"/>
        <v>0</v>
      </c>
      <c r="J7" s="880">
        <f t="shared" si="3"/>
        <v>0</v>
      </c>
      <c r="K7" s="880">
        <f t="shared" si="3"/>
        <v>0</v>
      </c>
      <c r="L7" s="880">
        <f t="shared" si="3"/>
        <v>0</v>
      </c>
      <c r="M7" s="451"/>
      <c r="N7" s="1147"/>
      <c r="P7" s="364"/>
    </row>
    <row r="8" spans="1:20" x14ac:dyDescent="0.2">
      <c r="B8" s="874" t="s">
        <v>658</v>
      </c>
      <c r="C8" s="1005" t="str">
        <f>IF(C$4&lt;=year_sale,IF(C7="∞","∞",AVERAGE($C$7:C7)),0)</f>
        <v>∞</v>
      </c>
      <c r="D8" s="1005" t="str">
        <f>IF(D$4&lt;=year_sale,IF(D7="∞","∞",AVERAGE($C$7:D7)),0)</f>
        <v>∞</v>
      </c>
      <c r="E8" s="1005" t="str">
        <f>IF(E$4&lt;=year_sale,IF(E7="∞","∞",AVERAGE($C$7:E7)),0)</f>
        <v>∞</v>
      </c>
      <c r="F8" s="1005" t="str">
        <f>IF(F$4&lt;=year_sale,IF(F7="∞","∞",AVERAGE($C$7:F7)),0)</f>
        <v>∞</v>
      </c>
      <c r="G8" s="1005" t="str">
        <f>IF(G$4&lt;=year_sale,IF(G7="∞","∞",AVERAGE($C$7:G7)),0)</f>
        <v>∞</v>
      </c>
      <c r="H8" s="1005">
        <f>IF(H$4&lt;=year_sale,IF(H7="∞","∞",AVERAGE($C$7:H7)),0)</f>
        <v>0</v>
      </c>
      <c r="I8" s="1005">
        <f>IF(I$4&lt;=year_sale,IF(I7="∞","∞",AVERAGE($C$7:I7)),0)</f>
        <v>0</v>
      </c>
      <c r="J8" s="1005">
        <f>IF(J$4&lt;=year_sale,IF(J7="∞","∞",AVERAGE($C$7:J7)),0)</f>
        <v>0</v>
      </c>
      <c r="K8" s="1005">
        <f>IF(K$4&lt;=year_sale,IF(K7="∞","∞",AVERAGE($C$7:K7)),0)</f>
        <v>0</v>
      </c>
      <c r="L8" s="1005">
        <f>IF(L$4&lt;=year_sale,IF(L7="∞","∞",AVERAGE($C$7:L7)),0)</f>
        <v>0</v>
      </c>
      <c r="M8" s="451"/>
      <c r="N8" s="1147"/>
      <c r="P8" s="1009"/>
    </row>
    <row r="9" spans="1:20" x14ac:dyDescent="0.2">
      <c r="B9" s="862" t="s">
        <v>626</v>
      </c>
      <c r="C9" s="857">
        <f>IF(C4=year_sale,'Exit Strategy'!$H$19,0)</f>
        <v>0</v>
      </c>
      <c r="D9" s="857">
        <f>IF(D4=year_sale,'Exit Strategy'!$H$19,0)</f>
        <v>0</v>
      </c>
      <c r="E9" s="857">
        <f>IF(E4=year_sale,'Exit Strategy'!$H$19,0)</f>
        <v>0</v>
      </c>
      <c r="F9" s="857">
        <f>IF(F4=year_sale,'Exit Strategy'!$H$19,0)</f>
        <v>0</v>
      </c>
      <c r="G9" s="857">
        <f ca="1">IF(G4=year_sale,'Exit Strategy'!$H$19,0)</f>
        <v>0</v>
      </c>
      <c r="H9" s="857">
        <f>IF(H4=year_sale,'Exit Strategy'!$H$19,0)</f>
        <v>0</v>
      </c>
      <c r="I9" s="857">
        <f>IF(I4=year_sale,'Exit Strategy'!$H$19,0)</f>
        <v>0</v>
      </c>
      <c r="J9" s="857">
        <f>IF(J4=year_sale,'Exit Strategy'!$H$19,0)</f>
        <v>0</v>
      </c>
      <c r="K9" s="857">
        <f>IF(K4=year_sale,'Exit Strategy'!$H$19,0)</f>
        <v>0</v>
      </c>
      <c r="L9" s="857">
        <f>IF(L4=year_sale,'Exit Strategy'!$H$19,0)</f>
        <v>0</v>
      </c>
      <c r="M9" s="94">
        <f ca="1">SUM(C9:L9)</f>
        <v>0</v>
      </c>
      <c r="N9" s="1147"/>
      <c r="P9" s="1009"/>
    </row>
    <row r="10" spans="1:20" x14ac:dyDescent="0.2">
      <c r="B10" s="862" t="s">
        <v>159</v>
      </c>
      <c r="C10" s="857">
        <f>IF(C$4=year_refi,'Exit Strategy'!$D$27,IF(C$4=year_sale,'Exit Strategy'!$H$23,0))</f>
        <v>0</v>
      </c>
      <c r="D10" s="857">
        <f>IF(D$4=year_refi,'Exit Strategy'!$D$27,IF(D$4=year_sale,'Exit Strategy'!$H$23,0))</f>
        <v>0</v>
      </c>
      <c r="E10" s="857">
        <f>IF(E$4=year_refi,'Exit Strategy'!$D$27,IF(E$4=year_sale,'Exit Strategy'!$H$23,0))</f>
        <v>0</v>
      </c>
      <c r="F10" s="857">
        <f>IF(F$4=year_refi,'Exit Strategy'!$D$27,IF(F$4=year_sale,'Exit Strategy'!$H$23,0))</f>
        <v>0</v>
      </c>
      <c r="G10" s="857">
        <f ca="1">IF(G$4=year_refi,'Exit Strategy'!$D$27,IF(G$4=year_sale,'Exit Strategy'!$H$23,0))</f>
        <v>0</v>
      </c>
      <c r="H10" s="857">
        <f>IF(H$4=year_refi,'Exit Strategy'!$D$27,IF(H$4=year_sale,'Exit Strategy'!$H$23,0))</f>
        <v>0</v>
      </c>
      <c r="I10" s="857">
        <f>IF(I$4=year_refi,'Exit Strategy'!$D$27,IF(I$4=year_sale,'Exit Strategy'!$H$23,0))</f>
        <v>0</v>
      </c>
      <c r="J10" s="857">
        <f>IF(J$4=year_refi,'Exit Strategy'!$D$27,IF(J$4=year_sale,'Exit Strategy'!$H$23,0))</f>
        <v>0</v>
      </c>
      <c r="K10" s="857">
        <f>IF(K$4=year_refi,'Exit Strategy'!$D$27,IF(K$4=year_sale,'Exit Strategy'!$H$23,0))</f>
        <v>0</v>
      </c>
      <c r="L10" s="857">
        <f>IF(L$4=year_refi,'Exit Strategy'!$D$27,IF(L$4=year_sale,'Exit Strategy'!$H$23,0))</f>
        <v>0</v>
      </c>
      <c r="M10" s="857">
        <f ca="1">SUM(C10:L10)</f>
        <v>0</v>
      </c>
      <c r="N10" s="1147"/>
      <c r="P10" s="365"/>
    </row>
    <row r="11" spans="1:20" x14ac:dyDescent="0.2">
      <c r="B11" s="862" t="s">
        <v>158</v>
      </c>
      <c r="C11" s="1005">
        <f ca="1">IFERROR(IF(C$4&lt;=year_sale,(SUM($C$6:C6)+SUM($C$10:C10)+C9)/$C$5/C$4,0),0)</f>
        <v>0</v>
      </c>
      <c r="D11" s="1005">
        <f ca="1">IFERROR(IF(D$4&lt;=year_sale,(SUM($C$6:D6)+SUM($C$10:D10)+D9)/$C$5/D$4,0),0)</f>
        <v>0</v>
      </c>
      <c r="E11" s="1005">
        <f ca="1">IFERROR(IF(E$4&lt;=year_sale,(SUM($C$6:E6)+SUM($C$10:E10)+E9)/$C$5/E$4,0),0)</f>
        <v>0</v>
      </c>
      <c r="F11" s="1005">
        <f ca="1">IFERROR(IF(F$4&lt;=year_sale,(SUM($C$6:F6)+SUM($C$10:F10)+F9)/$C$5/F$4,0),0)</f>
        <v>0</v>
      </c>
      <c r="G11" s="1005">
        <f ca="1">IFERROR(IF(G$4&lt;=year_sale,(SUM($C$6:G6)+SUM($C$10:G10)+G9)/$C$5/G$4,0),0)</f>
        <v>0</v>
      </c>
      <c r="H11" s="1005">
        <f>IFERROR(IF(H$4&lt;=year_sale,(SUM($C$6:H6)+SUM($C$10:H10)+H9)/$C$5/H$4,0),0)</f>
        <v>0</v>
      </c>
      <c r="I11" s="1005">
        <f>IFERROR(IF(I$4&lt;=year_sale,(SUM($C$6:I6)+SUM($C$10:I10)+I9)/$C$5/I$4,0),0)</f>
        <v>0</v>
      </c>
      <c r="J11" s="1005">
        <f>IFERROR(IF(J$4&lt;=year_sale,(SUM($C$6:J6)+SUM($C$10:J10)+J9)/$C$5/J$4,0),0)</f>
        <v>0</v>
      </c>
      <c r="K11" s="1005">
        <f>IFERROR(IF(K$4&lt;=year_sale,(SUM($C$6:K6)+SUM($C$10:K10)+K9)/$C$5/K$4,0),0)</f>
        <v>0</v>
      </c>
      <c r="L11" s="1005">
        <f>IFERROR(IF(L$4&lt;=year_sale,(SUM($C$6:L6)+SUM($C$10:L10)+L9)/$C$5/L$4,0),0)</f>
        <v>0</v>
      </c>
      <c r="M11" s="860"/>
      <c r="N11" s="1147"/>
      <c r="P11" s="365"/>
    </row>
    <row r="12" spans="1:20" s="661" customFormat="1" x14ac:dyDescent="0.2">
      <c r="B12" s="862" t="s">
        <v>478</v>
      </c>
      <c r="C12" s="857">
        <f>IF(C$4&gt;year_sale,0,IF(C$4=IF('Acquisition Costs'!$C$43&lt;=0,year_sale,MIN('Acquisition Costs'!$C$43,year_sale)),'Acquisition Costs'!$D$44,0))</f>
        <v>0</v>
      </c>
      <c r="D12" s="857">
        <f>IF(D$4&gt;year_sale,0,IF(D$4=IF('Acquisition Costs'!$C$43&lt;=0,year_sale,MIN('Acquisition Costs'!$C$43,year_sale)),'Acquisition Costs'!$D$44,0))</f>
        <v>0</v>
      </c>
      <c r="E12" s="857">
        <f>IF(E$4&gt;year_sale,0,IF(E$4=IF('Acquisition Costs'!$C$43&lt;=0,year_sale,MIN('Acquisition Costs'!$C$43,year_sale)),'Acquisition Costs'!$D$44,0))</f>
        <v>0</v>
      </c>
      <c r="F12" s="857">
        <f>IF(F$4&gt;year_sale,0,IF(F$4=IF('Acquisition Costs'!$C$43&lt;=0,year_sale,MIN('Acquisition Costs'!$C$43,year_sale)),'Acquisition Costs'!$D$44,0))</f>
        <v>0</v>
      </c>
      <c r="G12" s="857">
        <f>IF(G$4&gt;year_sale,0,IF(G$4=IF('Acquisition Costs'!$C$43&lt;=0,year_sale,MIN('Acquisition Costs'!$C$43,year_sale)),'Acquisition Costs'!$D$44,0))</f>
        <v>0</v>
      </c>
      <c r="H12" s="857">
        <f>IF(H$4&gt;year_sale,0,IF(H$4=IF('Acquisition Costs'!$C$43&lt;=0,year_sale,MIN('Acquisition Costs'!$C$43,year_sale)),'Acquisition Costs'!$D$44,0))</f>
        <v>0</v>
      </c>
      <c r="I12" s="857">
        <f>IF(I$4&gt;year_sale,0,IF(I$4=IF('Acquisition Costs'!$C$43&lt;=0,year_sale,MIN('Acquisition Costs'!$C$43,year_sale)),'Acquisition Costs'!$D$44,0))</f>
        <v>0</v>
      </c>
      <c r="J12" s="857">
        <f>IF(J$4&gt;year_sale,0,IF(J$4=IF('Acquisition Costs'!$C$43&lt;=0,year_sale,MIN('Acquisition Costs'!$C$43,year_sale)),'Acquisition Costs'!$D$44,0))</f>
        <v>0</v>
      </c>
      <c r="K12" s="857">
        <f>IF(K$4&gt;year_sale,0,IF(K$4=IF('Acquisition Costs'!$C$43&lt;=0,year_sale,MIN('Acquisition Costs'!$C$43,year_sale)),'Acquisition Costs'!$D$44,0))</f>
        <v>0</v>
      </c>
      <c r="L12" s="857">
        <f>IF(L$4&gt;year_sale,0,IF(L$4=IF('Acquisition Costs'!$C$43&lt;=0,year_sale,MIN('Acquisition Costs'!$C$43,year_sale)),'Acquisition Costs'!$D$44,0))</f>
        <v>0</v>
      </c>
      <c r="M12" s="857"/>
      <c r="N12" s="1147"/>
      <c r="P12" s="662"/>
      <c r="T12" s="1003"/>
    </row>
    <row r="13" spans="1:20" x14ac:dyDescent="0.2">
      <c r="B13" s="862" t="s">
        <v>481</v>
      </c>
      <c r="C13" s="857">
        <f>IF(C$4=year_refi,'Exit Strategy'!$D$21,IF(C$4=year_sale,'Exit Strategy'!$H$18,0))</f>
        <v>0</v>
      </c>
      <c r="D13" s="857">
        <f>IF(D$4=year_refi,'Exit Strategy'!$D$21,IF(D$4=year_sale,'Exit Strategy'!$H$18,0))</f>
        <v>0</v>
      </c>
      <c r="E13" s="857">
        <f>IF(E$4=year_refi,'Exit Strategy'!$D$21,IF(E$4=year_sale,'Exit Strategy'!$H$18,0))</f>
        <v>0</v>
      </c>
      <c r="F13" s="857">
        <f>IF(F$4=year_refi,'Exit Strategy'!$D$21,IF(F$4=year_sale,'Exit Strategy'!$H$18,0))</f>
        <v>0</v>
      </c>
      <c r="G13" s="857">
        <f ca="1">IF(G$4=year_refi,'Exit Strategy'!$D$21,IF(G$4=year_sale,'Exit Strategy'!$H$18,0))</f>
        <v>0</v>
      </c>
      <c r="H13" s="857">
        <f>IF(H$4=year_refi,'Exit Strategy'!$D$21,IF(H$4=year_sale,'Exit Strategy'!$H$18,0))</f>
        <v>0</v>
      </c>
      <c r="I13" s="857">
        <f>IF(I$4=year_refi,'Exit Strategy'!$D$21,IF(I$4=year_sale,'Exit Strategy'!$H$18,0))</f>
        <v>0</v>
      </c>
      <c r="J13" s="857">
        <f>IF(J$4=year_refi,'Exit Strategy'!$D$21,IF(J$4=year_sale,'Exit Strategy'!$H$18,0))</f>
        <v>0</v>
      </c>
      <c r="K13" s="857">
        <f>IF(K$4=year_refi,'Exit Strategy'!$D$21,IF(K$4=year_sale,'Exit Strategy'!$H$18,0))</f>
        <v>0</v>
      </c>
      <c r="L13" s="857">
        <f>IF(L$4=year_refi,'Exit Strategy'!$D$21,IF(L$4=year_sale,'Exit Strategy'!$H$18,0))</f>
        <v>0</v>
      </c>
      <c r="M13" s="94"/>
      <c r="N13" s="1147"/>
      <c r="P13" s="365"/>
    </row>
    <row r="14" spans="1:20" x14ac:dyDescent="0.2">
      <c r="B14" s="862" t="s">
        <v>168</v>
      </c>
      <c r="C14" s="857">
        <f>C$5-MAX(C$12,0)-MAX(MIN(C$13,0),C$13)</f>
        <v>0</v>
      </c>
      <c r="D14" s="857">
        <f>D$5-MAX(D$12,0)-MAX(MIN(D$13,0),D$13)</f>
        <v>0</v>
      </c>
      <c r="E14" s="857">
        <f t="shared" ref="E14:L14" si="4">E$5-MAX(E$12,0)-MAX(MIN(E$13,0),E$13)</f>
        <v>0</v>
      </c>
      <c r="F14" s="857">
        <f t="shared" si="4"/>
        <v>0</v>
      </c>
      <c r="G14" s="857">
        <f t="shared" ca="1" si="4"/>
        <v>0</v>
      </c>
      <c r="H14" s="857">
        <f t="shared" ca="1" si="4"/>
        <v>0</v>
      </c>
      <c r="I14" s="857">
        <f t="shared" ca="1" si="4"/>
        <v>0</v>
      </c>
      <c r="J14" s="857">
        <f t="shared" ca="1" si="4"/>
        <v>0</v>
      </c>
      <c r="K14" s="857">
        <f t="shared" ca="1" si="4"/>
        <v>0</v>
      </c>
      <c r="L14" s="857">
        <f t="shared" ca="1" si="4"/>
        <v>0</v>
      </c>
      <c r="M14" s="301"/>
      <c r="N14" s="1147"/>
      <c r="P14" s="365"/>
    </row>
    <row r="15" spans="1:20" x14ac:dyDescent="0.2">
      <c r="B15" s="882" t="s">
        <v>274</v>
      </c>
      <c r="C15" s="883">
        <f t="shared" ref="C15:K15" ca="1" si="5">C$6+C9+MAX(MIN(C$10,0),C$10)</f>
        <v>0</v>
      </c>
      <c r="D15" s="883">
        <f t="shared" ca="1" si="5"/>
        <v>0</v>
      </c>
      <c r="E15" s="883">
        <f t="shared" ca="1" si="5"/>
        <v>0</v>
      </c>
      <c r="F15" s="883">
        <f t="shared" ca="1" si="5"/>
        <v>0</v>
      </c>
      <c r="G15" s="883">
        <f ca="1">G$6+G9+MAX(MIN(G$10,0),G$10)</f>
        <v>0</v>
      </c>
      <c r="H15" s="883">
        <f t="shared" si="5"/>
        <v>0</v>
      </c>
      <c r="I15" s="883">
        <f t="shared" si="5"/>
        <v>0</v>
      </c>
      <c r="J15" s="883">
        <f t="shared" si="5"/>
        <v>0</v>
      </c>
      <c r="K15" s="883">
        <f t="shared" si="5"/>
        <v>0</v>
      </c>
      <c r="L15" s="883">
        <f>L$6+L9+MAX(MIN(L$10,0),L$10)</f>
        <v>0</v>
      </c>
      <c r="M15" s="883">
        <f ca="1">SUM(M5:M14)</f>
        <v>0</v>
      </c>
      <c r="N15" s="1006">
        <f>IF(C5=0,0,M15/C5)</f>
        <v>0</v>
      </c>
    </row>
    <row r="16" spans="1:20" ht="17" thickBot="1" x14ac:dyDescent="0.25">
      <c r="B16" s="875" t="str">
        <f>CONCATENATE("Average Annual Return",IF(Variables!$F$18="Yes","",""))</f>
        <v>Average Annual Return</v>
      </c>
      <c r="C16" s="876"/>
      <c r="D16" s="876"/>
      <c r="E16" s="876"/>
      <c r="F16" s="876"/>
      <c r="G16" s="876"/>
      <c r="H16" s="876"/>
      <c r="I16" s="876"/>
      <c r="J16" s="876"/>
      <c r="K16" s="876"/>
      <c r="L16" s="876"/>
      <c r="M16" s="876"/>
      <c r="N16" s="1062">
        <f ca="1">OFFSET(C$11,0,year_sale-1)</f>
        <v>0</v>
      </c>
      <c r="O16" s="357" t="str">
        <f ca="1">About!E6</f>
        <v/>
      </c>
      <c r="P16" s="366"/>
    </row>
    <row r="17" spans="1:23" ht="17" thickBot="1" x14ac:dyDescent="0.25">
      <c r="B17" s="875" t="s">
        <v>9</v>
      </c>
      <c r="C17" s="876"/>
      <c r="D17" s="876"/>
      <c r="E17" s="876"/>
      <c r="F17" s="876"/>
      <c r="G17" s="876"/>
      <c r="H17" s="876"/>
      <c r="I17" s="876"/>
      <c r="J17" s="876"/>
      <c r="K17" s="876"/>
      <c r="L17" s="876"/>
      <c r="M17" s="876"/>
      <c r="N17" s="1063">
        <f>IRR!$J$58</f>
        <v>0</v>
      </c>
      <c r="O17" s="357" t="str">
        <f>About!E7</f>
        <v/>
      </c>
    </row>
    <row r="18" spans="1:23" ht="17" thickBot="1" x14ac:dyDescent="0.25">
      <c r="B18" s="875" t="s">
        <v>657</v>
      </c>
      <c r="C18" s="877"/>
      <c r="D18" s="876"/>
      <c r="E18" s="876"/>
      <c r="F18" s="876"/>
      <c r="G18" s="876"/>
      <c r="H18" s="876"/>
      <c r="I18" s="876"/>
      <c r="J18" s="876"/>
      <c r="K18" s="876"/>
      <c r="L18" s="876"/>
      <c r="M18" s="876"/>
      <c r="N18" s="1063">
        <f>IFERROR(AVERAGEIF(C4:L4,"&lt;=" &amp; year_sale,C7:L7),0)</f>
        <v>0</v>
      </c>
      <c r="O18" s="357" t="str">
        <f>About!E10</f>
        <v/>
      </c>
    </row>
    <row r="19" spans="1:23" ht="17" thickBot="1" x14ac:dyDescent="0.25">
      <c r="B19" s="1055" t="s">
        <v>620</v>
      </c>
      <c r="C19" s="1056"/>
      <c r="D19" s="1057"/>
      <c r="E19" s="1057"/>
      <c r="F19" s="1057"/>
      <c r="G19" s="1057"/>
      <c r="H19" s="1057"/>
      <c r="I19" s="1057"/>
      <c r="J19" s="1057"/>
      <c r="K19" s="1057"/>
      <c r="L19" s="1057"/>
      <c r="M19" s="1057"/>
      <c r="N19" s="1165">
        <f>IF(C5=0,0,SUM(C6:L6,C9:L9,C10:L10,C12:L13)/C5)</f>
        <v>0</v>
      </c>
      <c r="O19" s="357"/>
    </row>
    <row r="20" spans="1:23" ht="17" thickBot="1" x14ac:dyDescent="0.25">
      <c r="E20" s="1161"/>
      <c r="F20" s="1161"/>
      <c r="G20" s="365"/>
      <c r="L20" s="1162"/>
      <c r="M20" s="365"/>
    </row>
    <row r="21" spans="1:23" x14ac:dyDescent="0.2">
      <c r="B21" s="775" t="s">
        <v>509</v>
      </c>
      <c r="C21" s="315">
        <v>1</v>
      </c>
      <c r="D21" s="315">
        <f>C21+1</f>
        <v>2</v>
      </c>
      <c r="E21" s="315">
        <f t="shared" ref="E21:L21" si="6">D21+1</f>
        <v>3</v>
      </c>
      <c r="F21" s="315">
        <f t="shared" si="6"/>
        <v>4</v>
      </c>
      <c r="G21" s="315">
        <f t="shared" si="6"/>
        <v>5</v>
      </c>
      <c r="H21" s="315">
        <f t="shared" si="6"/>
        <v>6</v>
      </c>
      <c r="I21" s="315">
        <f t="shared" si="6"/>
        <v>7</v>
      </c>
      <c r="J21" s="315">
        <f t="shared" si="6"/>
        <v>8</v>
      </c>
      <c r="K21" s="315">
        <f t="shared" si="6"/>
        <v>9</v>
      </c>
      <c r="L21" s="315">
        <f t="shared" si="6"/>
        <v>10</v>
      </c>
      <c r="M21" s="319" t="s">
        <v>169</v>
      </c>
      <c r="N21" s="256"/>
    </row>
    <row r="22" spans="1:23" ht="17" x14ac:dyDescent="0.2">
      <c r="B22" s="866" t="s">
        <v>275</v>
      </c>
      <c r="C22" s="863"/>
      <c r="D22" s="863"/>
      <c r="E22" s="863"/>
      <c r="F22" s="863"/>
      <c r="G22" s="863"/>
      <c r="H22" s="863"/>
      <c r="I22" s="863"/>
      <c r="J22" s="863"/>
      <c r="K22" s="863"/>
      <c r="L22" s="863"/>
      <c r="M22" s="867"/>
      <c r="N22" s="293"/>
    </row>
    <row r="23" spans="1:23" ht="17" x14ac:dyDescent="0.2">
      <c r="B23" s="868" t="s">
        <v>53</v>
      </c>
      <c r="C23" s="864">
        <f ca="1">IF('P&amp;L'!D51=0,0,'P&amp;L'!D50)</f>
        <v>0</v>
      </c>
      <c r="D23" s="864">
        <f ca="1">IF('P&amp;L'!F51=0,0,'P&amp;L'!F50)</f>
        <v>0</v>
      </c>
      <c r="E23" s="864">
        <f ca="1">IF('P&amp;L'!H51=0,0,'P&amp;L'!H50)</f>
        <v>0</v>
      </c>
      <c r="F23" s="864">
        <f ca="1">IF('P&amp;L'!J51=0,0,'P&amp;L'!J50)</f>
        <v>0</v>
      </c>
      <c r="G23" s="864">
        <f ca="1">IF('P&amp;L'!L51=0,0,'P&amp;L'!L50)</f>
        <v>0</v>
      </c>
      <c r="H23" s="864">
        <f>IF('P&amp;L'!N51=0,0,'P&amp;L'!N50)</f>
        <v>0</v>
      </c>
      <c r="I23" s="864">
        <f>IF('P&amp;L'!P51=0,0,'P&amp;L'!P50)</f>
        <v>0</v>
      </c>
      <c r="J23" s="864">
        <f>IF('P&amp;L'!R51=0,0,'P&amp;L'!R50)</f>
        <v>0</v>
      </c>
      <c r="K23" s="864">
        <f>IF('P&amp;L'!T51=0,0,'P&amp;L'!T50)</f>
        <v>0</v>
      </c>
      <c r="L23" s="864">
        <f>IF('P&amp;L'!V51=0,0,'P&amp;L'!V50)</f>
        <v>0</v>
      </c>
      <c r="M23" s="706">
        <f t="shared" ref="M23:M27" ca="1" si="7">SUM(C23:L23)</f>
        <v>0</v>
      </c>
      <c r="N23" s="293"/>
    </row>
    <row r="24" spans="1:23" ht="17" x14ac:dyDescent="0.2">
      <c r="B24" s="868" t="s">
        <v>440</v>
      </c>
      <c r="C24" s="864">
        <f>Summary!D19</f>
        <v>0</v>
      </c>
      <c r="D24" s="864"/>
      <c r="E24" s="864"/>
      <c r="F24" s="864"/>
      <c r="G24" s="864"/>
      <c r="H24" s="66"/>
      <c r="I24" s="864"/>
      <c r="J24" s="864"/>
      <c r="K24" s="864"/>
      <c r="L24" s="864"/>
      <c r="M24" s="706">
        <f t="shared" si="7"/>
        <v>0</v>
      </c>
      <c r="N24" s="293"/>
    </row>
    <row r="25" spans="1:23" x14ac:dyDescent="0.2">
      <c r="A25" s="10"/>
      <c r="B25" s="1068" t="s">
        <v>576</v>
      </c>
      <c r="C25" s="859">
        <f ca="1">IF(C$4&lt;=year_sale,'P&amp;L'!D45,0)</f>
        <v>0</v>
      </c>
      <c r="D25" s="859">
        <f ca="1">IF(D$4&lt;=year_sale,'P&amp;L'!F45,0)</f>
        <v>0</v>
      </c>
      <c r="E25" s="859">
        <f ca="1">IF(E$4&lt;=year_sale,'P&amp;L'!H45,0)</f>
        <v>0</v>
      </c>
      <c r="F25" s="859">
        <f ca="1">IF(F$4&lt;=year_sale,'P&amp;L'!J45,0)</f>
        <v>0</v>
      </c>
      <c r="G25" s="859">
        <f ca="1">IF(G$4&lt;=year_sale,'P&amp;L'!L45,0)</f>
        <v>0</v>
      </c>
      <c r="H25" s="859">
        <f>IF(H$4&lt;=year_sale,'P&amp;L'!N45,0)</f>
        <v>0</v>
      </c>
      <c r="I25" s="859">
        <f>IF(I$4&lt;=year_sale,'P&amp;L'!P45,0)</f>
        <v>0</v>
      </c>
      <c r="J25" s="859">
        <f>IF(J$4&lt;=year_sale,'P&amp;L'!R45,0)</f>
        <v>0</v>
      </c>
      <c r="K25" s="859">
        <f>IF(K$4&lt;=year_sale,'P&amp;L'!T45,0)</f>
        <v>0</v>
      </c>
      <c r="L25" s="859">
        <f>IF(L$4&lt;=year_sale,'P&amp;L'!V45,0)</f>
        <v>0</v>
      </c>
      <c r="M25" s="857">
        <f ca="1">SUM(C25:L25)</f>
        <v>0</v>
      </c>
      <c r="N25" s="1067"/>
      <c r="O25" s="10"/>
      <c r="P25" s="980"/>
      <c r="Q25" s="10"/>
      <c r="R25" s="980"/>
      <c r="S25" s="830"/>
      <c r="U25" s="830"/>
      <c r="V25" s="830"/>
      <c r="W25" s="830"/>
    </row>
    <row r="26" spans="1:23" ht="17" x14ac:dyDescent="0.2">
      <c r="B26" s="868" t="s">
        <v>276</v>
      </c>
      <c r="C26" s="66">
        <f>IF(C4=year_refi,'Exit Strategy'!$D$20,IF(C4=year_sale,'Exit Strategy'!$H$16,0))</f>
        <v>0</v>
      </c>
      <c r="D26" s="66">
        <f>IF(D4=year_refi,'Exit Strategy'!$D$20,IF(D4=year_sale,'Exit Strategy'!$H$16,0))</f>
        <v>0</v>
      </c>
      <c r="E26" s="66">
        <f>IF(E4=year_refi,'Exit Strategy'!$D$20,IF(E4=year_sale,'Exit Strategy'!$H$16,0))</f>
        <v>0</v>
      </c>
      <c r="F26" s="66">
        <f>IF(F4=year_refi,'Exit Strategy'!$D$20,IF(F4=year_sale,'Exit Strategy'!$H$16,0))</f>
        <v>0</v>
      </c>
      <c r="G26" s="66">
        <f ca="1">IF(G4=year_refi,'Exit Strategy'!$D$20,IF(G4=year_sale,'Exit Strategy'!$H$16,0))</f>
        <v>0</v>
      </c>
      <c r="H26" s="66">
        <f>IF(H4=year_refi,'Exit Strategy'!$D$20,IF(H4=year_sale,'Exit Strategy'!$H$16,0))</f>
        <v>0</v>
      </c>
      <c r="I26" s="66">
        <f>IF(I4=year_refi,'Exit Strategy'!$D$20,IF(I4=year_sale,'Exit Strategy'!$H$16,0))</f>
        <v>0</v>
      </c>
      <c r="J26" s="66">
        <f>IF(J4=year_refi,'Exit Strategy'!$D$20,IF(J4=year_sale,'Exit Strategy'!$H$16,0))</f>
        <v>0</v>
      </c>
      <c r="K26" s="66">
        <f>IF(K4=year_refi,'Exit Strategy'!$D$20,IF(K4=year_sale,'Exit Strategy'!$H$16,0))</f>
        <v>0</v>
      </c>
      <c r="L26" s="66">
        <f>IF(L4=year_refi,'Exit Strategy'!$D$20,IF(L4=year_sale,'Exit Strategy'!$H$16,0))</f>
        <v>0</v>
      </c>
      <c r="M26" s="706">
        <f t="shared" ca="1" si="7"/>
        <v>0</v>
      </c>
      <c r="N26" s="78"/>
      <c r="P26" s="636"/>
    </row>
    <row r="27" spans="1:23" x14ac:dyDescent="0.2">
      <c r="B27" s="58" t="s">
        <v>587</v>
      </c>
      <c r="C27" s="66">
        <f>IF(C4=year_refi,'Exit Strategy'!$D$28,IF(C4=year_sale,'Exit Strategy'!$H$24,0))</f>
        <v>0</v>
      </c>
      <c r="D27" s="66">
        <f>IF(D4=year_refi,'Exit Strategy'!$D$28,IF(D4=year_sale,'Exit Strategy'!$H$24,0))</f>
        <v>0</v>
      </c>
      <c r="E27" s="66">
        <f>IF(E4=year_refi,'Exit Strategy'!$D$28,IF(E4=year_sale,'Exit Strategy'!$H$24,0))</f>
        <v>0</v>
      </c>
      <c r="F27" s="66">
        <f>IF(F4=year_refi,'Exit Strategy'!$D$28,IF(F4=year_sale,'Exit Strategy'!$H$24,0))</f>
        <v>0</v>
      </c>
      <c r="G27" s="66">
        <f ca="1">IF(G4=year_refi,'Exit Strategy'!$D$28,IF(G4=year_sale,'Exit Strategy'!$H$24,0))</f>
        <v>0</v>
      </c>
      <c r="H27" s="66">
        <f>IF(H4=year_refi,'Exit Strategy'!$D$28,IF(H4=year_sale,'Exit Strategy'!$H$24,0))</f>
        <v>0</v>
      </c>
      <c r="I27" s="66">
        <f>IF(I4=year_refi,'Exit Strategy'!$D$28,IF(I4=year_sale,'Exit Strategy'!$H$24,0))</f>
        <v>0</v>
      </c>
      <c r="J27" s="66">
        <f>IF(J4=year_refi,'Exit Strategy'!$D$28,IF(J4=year_sale,'Exit Strategy'!$H$24,0))</f>
        <v>0</v>
      </c>
      <c r="K27" s="66">
        <f>IF(K4=year_refi,'Exit Strategy'!$D$28,IF(K4=year_sale,'Exit Strategy'!$H$24,0))</f>
        <v>0</v>
      </c>
      <c r="L27" s="66">
        <f>IF(L4=year_refi,'Exit Strategy'!$D$28,IF(L4=year_sale,'Exit Strategy'!$H$24,0))</f>
        <v>0</v>
      </c>
      <c r="M27" s="706">
        <f t="shared" ca="1" si="7"/>
        <v>0</v>
      </c>
      <c r="N27" s="78"/>
    </row>
    <row r="28" spans="1:23" ht="17" collapsed="1" thickBot="1" x14ac:dyDescent="0.25">
      <c r="B28" s="871" t="s">
        <v>277</v>
      </c>
      <c r="C28" s="872">
        <f ca="1">SUM(C23:C27)</f>
        <v>0</v>
      </c>
      <c r="D28" s="872">
        <f t="shared" ref="D28:M28" ca="1" si="8">SUM(D23:D27)</f>
        <v>0</v>
      </c>
      <c r="E28" s="872">
        <f t="shared" ca="1" si="8"/>
        <v>0</v>
      </c>
      <c r="F28" s="872">
        <f t="shared" ca="1" si="8"/>
        <v>0</v>
      </c>
      <c r="G28" s="872">
        <f t="shared" ca="1" si="8"/>
        <v>0</v>
      </c>
      <c r="H28" s="872">
        <f t="shared" si="8"/>
        <v>0</v>
      </c>
      <c r="I28" s="872">
        <f t="shared" si="8"/>
        <v>0</v>
      </c>
      <c r="J28" s="872">
        <f t="shared" si="8"/>
        <v>0</v>
      </c>
      <c r="K28" s="872">
        <f t="shared" si="8"/>
        <v>0</v>
      </c>
      <c r="L28" s="872">
        <f t="shared" si="8"/>
        <v>0</v>
      </c>
      <c r="M28" s="873">
        <f t="shared" ca="1" si="8"/>
        <v>0</v>
      </c>
      <c r="N28" s="1163"/>
    </row>
    <row r="29" spans="1:23" hidden="1" outlineLevel="1" x14ac:dyDescent="0.2">
      <c r="B29" s="869" t="str">
        <f>B110</f>
        <v>Partner 1</v>
      </c>
      <c r="C29" s="865">
        <f ca="1">SUM(C30:C34)</f>
        <v>0</v>
      </c>
      <c r="D29" s="865">
        <f t="shared" ref="D29:M29" ca="1" si="9">SUM(D30:D34)</f>
        <v>0</v>
      </c>
      <c r="E29" s="865">
        <f t="shared" ca="1" si="9"/>
        <v>0</v>
      </c>
      <c r="F29" s="865">
        <f t="shared" ca="1" si="9"/>
        <v>0</v>
      </c>
      <c r="G29" s="865">
        <f t="shared" ca="1" si="9"/>
        <v>0</v>
      </c>
      <c r="H29" s="865">
        <f t="shared" si="9"/>
        <v>0</v>
      </c>
      <c r="I29" s="865">
        <f t="shared" si="9"/>
        <v>0</v>
      </c>
      <c r="J29" s="865">
        <f t="shared" si="9"/>
        <v>0</v>
      </c>
      <c r="K29" s="865">
        <f t="shared" si="9"/>
        <v>0</v>
      </c>
      <c r="L29" s="865">
        <f t="shared" si="9"/>
        <v>0</v>
      </c>
      <c r="M29" s="1079">
        <f t="shared" ca="1" si="9"/>
        <v>0</v>
      </c>
      <c r="N29" s="367"/>
    </row>
    <row r="30" spans="1:23" ht="17" hidden="1" outlineLevel="1" x14ac:dyDescent="0.2">
      <c r="B30" s="868" t="str">
        <f>B23</f>
        <v>Distributions from Cash Flow</v>
      </c>
      <c r="C30" s="864">
        <f ca="1">C$23*$E$171</f>
        <v>0</v>
      </c>
      <c r="D30" s="864">
        <f t="shared" ref="D30:M30" ca="1" si="10">D$23*$E$171</f>
        <v>0</v>
      </c>
      <c r="E30" s="864">
        <f t="shared" ca="1" si="10"/>
        <v>0</v>
      </c>
      <c r="F30" s="864">
        <f t="shared" ca="1" si="10"/>
        <v>0</v>
      </c>
      <c r="G30" s="864">
        <f t="shared" ca="1" si="10"/>
        <v>0</v>
      </c>
      <c r="H30" s="864">
        <f t="shared" si="10"/>
        <v>0</v>
      </c>
      <c r="I30" s="864">
        <f t="shared" si="10"/>
        <v>0</v>
      </c>
      <c r="J30" s="864">
        <f t="shared" si="10"/>
        <v>0</v>
      </c>
      <c r="K30" s="864">
        <f t="shared" si="10"/>
        <v>0</v>
      </c>
      <c r="L30" s="864">
        <f t="shared" si="10"/>
        <v>0</v>
      </c>
      <c r="M30" s="1080">
        <f t="shared" ca="1" si="10"/>
        <v>0</v>
      </c>
      <c r="N30" s="368"/>
    </row>
    <row r="31" spans="1:23" ht="17" hidden="1" outlineLevel="1" x14ac:dyDescent="0.2">
      <c r="B31" s="868" t="str">
        <f>B24</f>
        <v>Acquisitions Fee</v>
      </c>
      <c r="C31" s="864">
        <f>C$24*$E$171</f>
        <v>0</v>
      </c>
      <c r="D31" s="864">
        <f t="shared" ref="D31:M31" si="11">D$24*$E$171</f>
        <v>0</v>
      </c>
      <c r="E31" s="864">
        <f t="shared" si="11"/>
        <v>0</v>
      </c>
      <c r="F31" s="864">
        <f t="shared" si="11"/>
        <v>0</v>
      </c>
      <c r="G31" s="864">
        <f t="shared" si="11"/>
        <v>0</v>
      </c>
      <c r="H31" s="864">
        <f t="shared" si="11"/>
        <v>0</v>
      </c>
      <c r="I31" s="864">
        <f t="shared" si="11"/>
        <v>0</v>
      </c>
      <c r="J31" s="864">
        <f t="shared" si="11"/>
        <v>0</v>
      </c>
      <c r="K31" s="864">
        <f t="shared" si="11"/>
        <v>0</v>
      </c>
      <c r="L31" s="864">
        <f t="shared" si="11"/>
        <v>0</v>
      </c>
      <c r="M31" s="1080">
        <f t="shared" si="11"/>
        <v>0</v>
      </c>
      <c r="N31" s="368"/>
    </row>
    <row r="32" spans="1:23" ht="17" hidden="1" outlineLevel="1" x14ac:dyDescent="0.2">
      <c r="B32" s="868" t="s">
        <v>576</v>
      </c>
      <c r="C32" s="864">
        <f ca="1">C$25*$D$150</f>
        <v>0</v>
      </c>
      <c r="D32" s="864">
        <f t="shared" ref="D32:M32" ca="1" si="12">D$25*$D$150</f>
        <v>0</v>
      </c>
      <c r="E32" s="864">
        <f t="shared" ca="1" si="12"/>
        <v>0</v>
      </c>
      <c r="F32" s="864">
        <f t="shared" ca="1" si="12"/>
        <v>0</v>
      </c>
      <c r="G32" s="864">
        <f t="shared" ca="1" si="12"/>
        <v>0</v>
      </c>
      <c r="H32" s="864">
        <f t="shared" si="12"/>
        <v>0</v>
      </c>
      <c r="I32" s="864">
        <f t="shared" si="12"/>
        <v>0</v>
      </c>
      <c r="J32" s="864">
        <f t="shared" si="12"/>
        <v>0</v>
      </c>
      <c r="K32" s="864">
        <f t="shared" si="12"/>
        <v>0</v>
      </c>
      <c r="L32" s="864">
        <f t="shared" si="12"/>
        <v>0</v>
      </c>
      <c r="M32" s="1080">
        <f t="shared" ca="1" si="12"/>
        <v>0</v>
      </c>
      <c r="N32" s="368"/>
    </row>
    <row r="33" spans="2:14" ht="17" hidden="1" outlineLevel="1" x14ac:dyDescent="0.2">
      <c r="B33" s="868" t="str">
        <f>B26</f>
        <v>Capital Transaction Fee</v>
      </c>
      <c r="C33" s="864">
        <f>C$26*$E$171</f>
        <v>0</v>
      </c>
      <c r="D33" s="864">
        <f t="shared" ref="D33:M33" si="13">D$26*$E$171</f>
        <v>0</v>
      </c>
      <c r="E33" s="864">
        <f t="shared" si="13"/>
        <v>0</v>
      </c>
      <c r="F33" s="864">
        <f t="shared" si="13"/>
        <v>0</v>
      </c>
      <c r="G33" s="864">
        <f t="shared" ca="1" si="13"/>
        <v>0</v>
      </c>
      <c r="H33" s="864">
        <f t="shared" si="13"/>
        <v>0</v>
      </c>
      <c r="I33" s="864">
        <f t="shared" si="13"/>
        <v>0</v>
      </c>
      <c r="J33" s="864">
        <f t="shared" si="13"/>
        <v>0</v>
      </c>
      <c r="K33" s="864">
        <f t="shared" si="13"/>
        <v>0</v>
      </c>
      <c r="L33" s="864">
        <f t="shared" si="13"/>
        <v>0</v>
      </c>
      <c r="M33" s="1080">
        <f t="shared" ca="1" si="13"/>
        <v>0</v>
      </c>
      <c r="N33" s="368"/>
    </row>
    <row r="34" spans="2:14" ht="17" hidden="1" outlineLevel="1" x14ac:dyDescent="0.2">
      <c r="B34" s="868" t="str">
        <f>B27</f>
        <v>Net Proceeds from Refinance or Sale</v>
      </c>
      <c r="C34" s="864">
        <f>C$27*$E$171</f>
        <v>0</v>
      </c>
      <c r="D34" s="864">
        <f t="shared" ref="D34:M34" si="14">D$27*$E$171</f>
        <v>0</v>
      </c>
      <c r="E34" s="864">
        <f t="shared" si="14"/>
        <v>0</v>
      </c>
      <c r="F34" s="864">
        <f t="shared" si="14"/>
        <v>0</v>
      </c>
      <c r="G34" s="864">
        <f t="shared" ca="1" si="14"/>
        <v>0</v>
      </c>
      <c r="H34" s="864">
        <f t="shared" si="14"/>
        <v>0</v>
      </c>
      <c r="I34" s="864">
        <f t="shared" si="14"/>
        <v>0</v>
      </c>
      <c r="J34" s="864">
        <f t="shared" si="14"/>
        <v>0</v>
      </c>
      <c r="K34" s="864">
        <f t="shared" si="14"/>
        <v>0</v>
      </c>
      <c r="L34" s="864">
        <f t="shared" si="14"/>
        <v>0</v>
      </c>
      <c r="M34" s="1080">
        <f t="shared" ca="1" si="14"/>
        <v>0</v>
      </c>
      <c r="N34" s="368"/>
    </row>
    <row r="35" spans="2:14" hidden="1" outlineLevel="1" x14ac:dyDescent="0.2">
      <c r="B35" s="869" t="str">
        <f>B111</f>
        <v>Partner 2</v>
      </c>
      <c r="C35" s="865">
        <f ca="1">SUM(C36:C40)</f>
        <v>0</v>
      </c>
      <c r="D35" s="865">
        <f t="shared" ref="D35:M35" ca="1" si="15">SUM(D36:D40)</f>
        <v>0</v>
      </c>
      <c r="E35" s="865">
        <f t="shared" ca="1" si="15"/>
        <v>0</v>
      </c>
      <c r="F35" s="865">
        <f t="shared" ca="1" si="15"/>
        <v>0</v>
      </c>
      <c r="G35" s="865">
        <f t="shared" ca="1" si="15"/>
        <v>0</v>
      </c>
      <c r="H35" s="865">
        <f t="shared" si="15"/>
        <v>0</v>
      </c>
      <c r="I35" s="865">
        <f t="shared" si="15"/>
        <v>0</v>
      </c>
      <c r="J35" s="865">
        <f t="shared" si="15"/>
        <v>0</v>
      </c>
      <c r="K35" s="865">
        <f t="shared" si="15"/>
        <v>0</v>
      </c>
      <c r="L35" s="865">
        <f t="shared" si="15"/>
        <v>0</v>
      </c>
      <c r="M35" s="1081">
        <f t="shared" ca="1" si="15"/>
        <v>0</v>
      </c>
      <c r="N35" s="369"/>
    </row>
    <row r="36" spans="2:14" ht="17" hidden="1" outlineLevel="1" x14ac:dyDescent="0.2">
      <c r="B36" s="868" t="str">
        <f>B30</f>
        <v>Distributions from Cash Flow</v>
      </c>
      <c r="C36" s="864">
        <f ca="1">C$23*$E$172</f>
        <v>0</v>
      </c>
      <c r="D36" s="864">
        <f t="shared" ref="D36:M36" ca="1" si="16">D$23*$E$172</f>
        <v>0</v>
      </c>
      <c r="E36" s="864">
        <f t="shared" ca="1" si="16"/>
        <v>0</v>
      </c>
      <c r="F36" s="864">
        <f t="shared" ca="1" si="16"/>
        <v>0</v>
      </c>
      <c r="G36" s="864">
        <f t="shared" ca="1" si="16"/>
        <v>0</v>
      </c>
      <c r="H36" s="864">
        <f t="shared" si="16"/>
        <v>0</v>
      </c>
      <c r="I36" s="864">
        <f t="shared" si="16"/>
        <v>0</v>
      </c>
      <c r="J36" s="864">
        <f t="shared" si="16"/>
        <v>0</v>
      </c>
      <c r="K36" s="864">
        <f t="shared" si="16"/>
        <v>0</v>
      </c>
      <c r="L36" s="864">
        <f t="shared" si="16"/>
        <v>0</v>
      </c>
      <c r="M36" s="1080">
        <f t="shared" ca="1" si="16"/>
        <v>0</v>
      </c>
      <c r="N36" s="368"/>
    </row>
    <row r="37" spans="2:14" ht="17" hidden="1" outlineLevel="1" x14ac:dyDescent="0.2">
      <c r="B37" s="868" t="str">
        <f>B31</f>
        <v>Acquisitions Fee</v>
      </c>
      <c r="C37" s="864">
        <f>C$24*$E$172</f>
        <v>0</v>
      </c>
      <c r="D37" s="864">
        <f t="shared" ref="D37:M37" si="17">D$24*$E$172</f>
        <v>0</v>
      </c>
      <c r="E37" s="864">
        <f t="shared" si="17"/>
        <v>0</v>
      </c>
      <c r="F37" s="864">
        <f t="shared" si="17"/>
        <v>0</v>
      </c>
      <c r="G37" s="864">
        <f t="shared" si="17"/>
        <v>0</v>
      </c>
      <c r="H37" s="864">
        <f t="shared" si="17"/>
        <v>0</v>
      </c>
      <c r="I37" s="864">
        <f t="shared" si="17"/>
        <v>0</v>
      </c>
      <c r="J37" s="864">
        <f t="shared" si="17"/>
        <v>0</v>
      </c>
      <c r="K37" s="864">
        <f t="shared" si="17"/>
        <v>0</v>
      </c>
      <c r="L37" s="864">
        <f t="shared" si="17"/>
        <v>0</v>
      </c>
      <c r="M37" s="1080">
        <f t="shared" si="17"/>
        <v>0</v>
      </c>
      <c r="N37" s="368"/>
    </row>
    <row r="38" spans="2:14" ht="17" hidden="1" outlineLevel="1" x14ac:dyDescent="0.2">
      <c r="B38" s="868" t="s">
        <v>576</v>
      </c>
      <c r="C38" s="864">
        <f ca="1">C$25*$D$151</f>
        <v>0</v>
      </c>
      <c r="D38" s="864">
        <f t="shared" ref="D38:M38" ca="1" si="18">D$25*$D$151</f>
        <v>0</v>
      </c>
      <c r="E38" s="864">
        <f t="shared" ca="1" si="18"/>
        <v>0</v>
      </c>
      <c r="F38" s="864">
        <f t="shared" ca="1" si="18"/>
        <v>0</v>
      </c>
      <c r="G38" s="864">
        <f t="shared" ca="1" si="18"/>
        <v>0</v>
      </c>
      <c r="H38" s="864">
        <f t="shared" si="18"/>
        <v>0</v>
      </c>
      <c r="I38" s="864">
        <f t="shared" si="18"/>
        <v>0</v>
      </c>
      <c r="J38" s="864">
        <f t="shared" si="18"/>
        <v>0</v>
      </c>
      <c r="K38" s="864">
        <f t="shared" si="18"/>
        <v>0</v>
      </c>
      <c r="L38" s="864">
        <f t="shared" si="18"/>
        <v>0</v>
      </c>
      <c r="M38" s="1080">
        <f t="shared" ca="1" si="18"/>
        <v>0</v>
      </c>
      <c r="N38" s="368"/>
    </row>
    <row r="39" spans="2:14" ht="17" hidden="1" outlineLevel="1" x14ac:dyDescent="0.2">
      <c r="B39" s="868" t="s">
        <v>276</v>
      </c>
      <c r="C39" s="864">
        <f>C$26*$E$172</f>
        <v>0</v>
      </c>
      <c r="D39" s="864">
        <f t="shared" ref="D39:M39" si="19">D$26*$E$172</f>
        <v>0</v>
      </c>
      <c r="E39" s="864">
        <f t="shared" si="19"/>
        <v>0</v>
      </c>
      <c r="F39" s="864">
        <f t="shared" si="19"/>
        <v>0</v>
      </c>
      <c r="G39" s="864">
        <f t="shared" ca="1" si="19"/>
        <v>0</v>
      </c>
      <c r="H39" s="864">
        <f t="shared" si="19"/>
        <v>0</v>
      </c>
      <c r="I39" s="864">
        <f t="shared" si="19"/>
        <v>0</v>
      </c>
      <c r="J39" s="864">
        <f t="shared" si="19"/>
        <v>0</v>
      </c>
      <c r="K39" s="864">
        <f t="shared" si="19"/>
        <v>0</v>
      </c>
      <c r="L39" s="864">
        <f t="shared" si="19"/>
        <v>0</v>
      </c>
      <c r="M39" s="1080">
        <f t="shared" ca="1" si="19"/>
        <v>0</v>
      </c>
      <c r="N39" s="368"/>
    </row>
    <row r="40" spans="2:14" hidden="1" outlineLevel="1" x14ac:dyDescent="0.2">
      <c r="B40" s="58" t="s">
        <v>159</v>
      </c>
      <c r="C40" s="864">
        <f>C$27*$E$172</f>
        <v>0</v>
      </c>
      <c r="D40" s="864">
        <f t="shared" ref="D40:M40" si="20">D$27*$E$172</f>
        <v>0</v>
      </c>
      <c r="E40" s="864">
        <f t="shared" si="20"/>
        <v>0</v>
      </c>
      <c r="F40" s="864">
        <f t="shared" si="20"/>
        <v>0</v>
      </c>
      <c r="G40" s="864">
        <f t="shared" ca="1" si="20"/>
        <v>0</v>
      </c>
      <c r="H40" s="864">
        <f t="shared" si="20"/>
        <v>0</v>
      </c>
      <c r="I40" s="864">
        <f t="shared" si="20"/>
        <v>0</v>
      </c>
      <c r="J40" s="864">
        <f t="shared" si="20"/>
        <v>0</v>
      </c>
      <c r="K40" s="864">
        <f t="shared" si="20"/>
        <v>0</v>
      </c>
      <c r="L40" s="864">
        <f t="shared" si="20"/>
        <v>0</v>
      </c>
      <c r="M40" s="1080">
        <f t="shared" ca="1" si="20"/>
        <v>0</v>
      </c>
      <c r="N40" s="368"/>
    </row>
    <row r="41" spans="2:14" hidden="1" outlineLevel="1" x14ac:dyDescent="0.2">
      <c r="B41" s="869" t="str">
        <f>B112</f>
        <v>Partner 3</v>
      </c>
      <c r="C41" s="865">
        <f ca="1">SUM(C42:C46)</f>
        <v>0</v>
      </c>
      <c r="D41" s="865">
        <f t="shared" ref="D41:M41" ca="1" si="21">SUM(D42:D46)</f>
        <v>0</v>
      </c>
      <c r="E41" s="865">
        <f t="shared" ca="1" si="21"/>
        <v>0</v>
      </c>
      <c r="F41" s="865">
        <f t="shared" ca="1" si="21"/>
        <v>0</v>
      </c>
      <c r="G41" s="865">
        <f t="shared" ca="1" si="21"/>
        <v>0</v>
      </c>
      <c r="H41" s="865">
        <f t="shared" si="21"/>
        <v>0</v>
      </c>
      <c r="I41" s="865">
        <f t="shared" si="21"/>
        <v>0</v>
      </c>
      <c r="J41" s="865">
        <f t="shared" si="21"/>
        <v>0</v>
      </c>
      <c r="K41" s="865">
        <f t="shared" si="21"/>
        <v>0</v>
      </c>
      <c r="L41" s="865">
        <f t="shared" si="21"/>
        <v>0</v>
      </c>
      <c r="M41" s="1081">
        <f t="shared" ca="1" si="21"/>
        <v>0</v>
      </c>
      <c r="N41" s="369"/>
    </row>
    <row r="42" spans="2:14" ht="17" hidden="1" outlineLevel="1" x14ac:dyDescent="0.2">
      <c r="B42" s="868" t="str">
        <f>B36</f>
        <v>Distributions from Cash Flow</v>
      </c>
      <c r="C42" s="864">
        <f ca="1">C$23*$E$173</f>
        <v>0</v>
      </c>
      <c r="D42" s="864">
        <f t="shared" ref="D42:M42" ca="1" si="22">D$23*$E$173</f>
        <v>0</v>
      </c>
      <c r="E42" s="864">
        <f t="shared" ca="1" si="22"/>
        <v>0</v>
      </c>
      <c r="F42" s="864">
        <f t="shared" ca="1" si="22"/>
        <v>0</v>
      </c>
      <c r="G42" s="864">
        <f t="shared" ca="1" si="22"/>
        <v>0</v>
      </c>
      <c r="H42" s="864">
        <f t="shared" si="22"/>
        <v>0</v>
      </c>
      <c r="I42" s="864">
        <f t="shared" si="22"/>
        <v>0</v>
      </c>
      <c r="J42" s="864">
        <f t="shared" si="22"/>
        <v>0</v>
      </c>
      <c r="K42" s="864">
        <f t="shared" si="22"/>
        <v>0</v>
      </c>
      <c r="L42" s="864">
        <f t="shared" si="22"/>
        <v>0</v>
      </c>
      <c r="M42" s="1080">
        <f t="shared" ca="1" si="22"/>
        <v>0</v>
      </c>
      <c r="N42" s="368"/>
    </row>
    <row r="43" spans="2:14" ht="17" hidden="1" outlineLevel="1" x14ac:dyDescent="0.2">
      <c r="B43" s="868" t="str">
        <f>B37</f>
        <v>Acquisitions Fee</v>
      </c>
      <c r="C43" s="864">
        <f>C$24*$E$173</f>
        <v>0</v>
      </c>
      <c r="D43" s="864">
        <f t="shared" ref="D43:M43" si="23">D$24*$E$173</f>
        <v>0</v>
      </c>
      <c r="E43" s="864">
        <f t="shared" si="23"/>
        <v>0</v>
      </c>
      <c r="F43" s="864">
        <f t="shared" si="23"/>
        <v>0</v>
      </c>
      <c r="G43" s="864">
        <f t="shared" si="23"/>
        <v>0</v>
      </c>
      <c r="H43" s="864">
        <f t="shared" si="23"/>
        <v>0</v>
      </c>
      <c r="I43" s="864">
        <f t="shared" si="23"/>
        <v>0</v>
      </c>
      <c r="J43" s="864">
        <f t="shared" si="23"/>
        <v>0</v>
      </c>
      <c r="K43" s="864">
        <f t="shared" si="23"/>
        <v>0</v>
      </c>
      <c r="L43" s="864">
        <f t="shared" si="23"/>
        <v>0</v>
      </c>
      <c r="M43" s="1080">
        <f t="shared" si="23"/>
        <v>0</v>
      </c>
      <c r="N43" s="368"/>
    </row>
    <row r="44" spans="2:14" ht="17" hidden="1" outlineLevel="1" x14ac:dyDescent="0.2">
      <c r="B44" s="868" t="s">
        <v>576</v>
      </c>
      <c r="C44" s="864">
        <f ca="1">C$25*$D$152</f>
        <v>0</v>
      </c>
      <c r="D44" s="864">
        <f t="shared" ref="D44:M44" ca="1" si="24">D$25*$D$152</f>
        <v>0</v>
      </c>
      <c r="E44" s="864">
        <f t="shared" ca="1" si="24"/>
        <v>0</v>
      </c>
      <c r="F44" s="864">
        <f t="shared" ca="1" si="24"/>
        <v>0</v>
      </c>
      <c r="G44" s="864">
        <f t="shared" ca="1" si="24"/>
        <v>0</v>
      </c>
      <c r="H44" s="864">
        <f t="shared" si="24"/>
        <v>0</v>
      </c>
      <c r="I44" s="864">
        <f t="shared" si="24"/>
        <v>0</v>
      </c>
      <c r="J44" s="864">
        <f t="shared" si="24"/>
        <v>0</v>
      </c>
      <c r="K44" s="864">
        <f t="shared" si="24"/>
        <v>0</v>
      </c>
      <c r="L44" s="864">
        <f t="shared" si="24"/>
        <v>0</v>
      </c>
      <c r="M44" s="1080">
        <f t="shared" ca="1" si="24"/>
        <v>0</v>
      </c>
      <c r="N44" s="368"/>
    </row>
    <row r="45" spans="2:14" ht="17" hidden="1" outlineLevel="1" x14ac:dyDescent="0.2">
      <c r="B45" s="868" t="s">
        <v>276</v>
      </c>
      <c r="C45" s="864">
        <f>C$26*$E$173</f>
        <v>0</v>
      </c>
      <c r="D45" s="864">
        <f t="shared" ref="D45:M45" si="25">D$26*$E$173</f>
        <v>0</v>
      </c>
      <c r="E45" s="864">
        <f t="shared" si="25"/>
        <v>0</v>
      </c>
      <c r="F45" s="864">
        <f t="shared" si="25"/>
        <v>0</v>
      </c>
      <c r="G45" s="864">
        <f t="shared" ca="1" si="25"/>
        <v>0</v>
      </c>
      <c r="H45" s="864">
        <f t="shared" si="25"/>
        <v>0</v>
      </c>
      <c r="I45" s="864">
        <f t="shared" si="25"/>
        <v>0</v>
      </c>
      <c r="J45" s="864">
        <f t="shared" si="25"/>
        <v>0</v>
      </c>
      <c r="K45" s="864">
        <f t="shared" si="25"/>
        <v>0</v>
      </c>
      <c r="L45" s="864">
        <f t="shared" si="25"/>
        <v>0</v>
      </c>
      <c r="M45" s="1080">
        <f t="shared" ca="1" si="25"/>
        <v>0</v>
      </c>
      <c r="N45" s="368"/>
    </row>
    <row r="46" spans="2:14" hidden="1" outlineLevel="1" x14ac:dyDescent="0.2">
      <c r="B46" s="58" t="s">
        <v>159</v>
      </c>
      <c r="C46" s="864">
        <f>C$27*$E$173</f>
        <v>0</v>
      </c>
      <c r="D46" s="864">
        <f t="shared" ref="D46:M46" si="26">D$27*$E$173</f>
        <v>0</v>
      </c>
      <c r="E46" s="864">
        <f t="shared" si="26"/>
        <v>0</v>
      </c>
      <c r="F46" s="864">
        <f t="shared" si="26"/>
        <v>0</v>
      </c>
      <c r="G46" s="864">
        <f t="shared" ca="1" si="26"/>
        <v>0</v>
      </c>
      <c r="H46" s="864">
        <f t="shared" si="26"/>
        <v>0</v>
      </c>
      <c r="I46" s="864">
        <f t="shared" si="26"/>
        <v>0</v>
      </c>
      <c r="J46" s="864">
        <f t="shared" si="26"/>
        <v>0</v>
      </c>
      <c r="K46" s="864">
        <f t="shared" si="26"/>
        <v>0</v>
      </c>
      <c r="L46" s="864">
        <f t="shared" si="26"/>
        <v>0</v>
      </c>
      <c r="M46" s="1080">
        <f t="shared" ca="1" si="26"/>
        <v>0</v>
      </c>
      <c r="N46" s="368"/>
    </row>
    <row r="47" spans="2:14" hidden="1" outlineLevel="1" x14ac:dyDescent="0.2">
      <c r="B47" s="869" t="str">
        <f>B113</f>
        <v>Partner 4</v>
      </c>
      <c r="C47" s="865">
        <f ca="1">SUM(C48:C52)</f>
        <v>0</v>
      </c>
      <c r="D47" s="865">
        <f t="shared" ref="D47:M47" ca="1" si="27">SUM(D48:D52)</f>
        <v>0</v>
      </c>
      <c r="E47" s="865">
        <f t="shared" ca="1" si="27"/>
        <v>0</v>
      </c>
      <c r="F47" s="865">
        <f t="shared" ca="1" si="27"/>
        <v>0</v>
      </c>
      <c r="G47" s="865">
        <f t="shared" ca="1" si="27"/>
        <v>0</v>
      </c>
      <c r="H47" s="865">
        <f t="shared" si="27"/>
        <v>0</v>
      </c>
      <c r="I47" s="865">
        <f t="shared" si="27"/>
        <v>0</v>
      </c>
      <c r="J47" s="865">
        <f t="shared" si="27"/>
        <v>0</v>
      </c>
      <c r="K47" s="865">
        <f t="shared" si="27"/>
        <v>0</v>
      </c>
      <c r="L47" s="865">
        <f t="shared" si="27"/>
        <v>0</v>
      </c>
      <c r="M47" s="1081">
        <f t="shared" ca="1" si="27"/>
        <v>0</v>
      </c>
      <c r="N47" s="369"/>
    </row>
    <row r="48" spans="2:14" ht="17" hidden="1" outlineLevel="1" x14ac:dyDescent="0.2">
      <c r="B48" s="868" t="str">
        <f>B42</f>
        <v>Distributions from Cash Flow</v>
      </c>
      <c r="C48" s="864">
        <f ca="1">C$23*$E$174</f>
        <v>0</v>
      </c>
      <c r="D48" s="864">
        <f t="shared" ref="D48:M48" ca="1" si="28">D$23*$E$174</f>
        <v>0</v>
      </c>
      <c r="E48" s="864">
        <f t="shared" ca="1" si="28"/>
        <v>0</v>
      </c>
      <c r="F48" s="864">
        <f t="shared" ca="1" si="28"/>
        <v>0</v>
      </c>
      <c r="G48" s="864">
        <f t="shared" ca="1" si="28"/>
        <v>0</v>
      </c>
      <c r="H48" s="864">
        <f t="shared" si="28"/>
        <v>0</v>
      </c>
      <c r="I48" s="864">
        <f t="shared" si="28"/>
        <v>0</v>
      </c>
      <c r="J48" s="864">
        <f t="shared" si="28"/>
        <v>0</v>
      </c>
      <c r="K48" s="864">
        <f t="shared" si="28"/>
        <v>0</v>
      </c>
      <c r="L48" s="864">
        <f t="shared" si="28"/>
        <v>0</v>
      </c>
      <c r="M48" s="1080">
        <f t="shared" ca="1" si="28"/>
        <v>0</v>
      </c>
      <c r="N48" s="368"/>
    </row>
    <row r="49" spans="2:14" ht="17" hidden="1" outlineLevel="1" x14ac:dyDescent="0.2">
      <c r="B49" s="868" t="str">
        <f>B43</f>
        <v>Acquisitions Fee</v>
      </c>
      <c r="C49" s="864">
        <f>C$24*$E$174</f>
        <v>0</v>
      </c>
      <c r="D49" s="864">
        <f t="shared" ref="D49:M49" si="29">D$24*$E$174</f>
        <v>0</v>
      </c>
      <c r="E49" s="864">
        <f t="shared" si="29"/>
        <v>0</v>
      </c>
      <c r="F49" s="864">
        <f t="shared" si="29"/>
        <v>0</v>
      </c>
      <c r="G49" s="864">
        <f t="shared" si="29"/>
        <v>0</v>
      </c>
      <c r="H49" s="864">
        <f t="shared" si="29"/>
        <v>0</v>
      </c>
      <c r="I49" s="864">
        <f t="shared" si="29"/>
        <v>0</v>
      </c>
      <c r="J49" s="864">
        <f t="shared" si="29"/>
        <v>0</v>
      </c>
      <c r="K49" s="864">
        <f t="shared" si="29"/>
        <v>0</v>
      </c>
      <c r="L49" s="864">
        <f t="shared" si="29"/>
        <v>0</v>
      </c>
      <c r="M49" s="1080">
        <f t="shared" si="29"/>
        <v>0</v>
      </c>
      <c r="N49" s="368"/>
    </row>
    <row r="50" spans="2:14" ht="17" hidden="1" outlineLevel="1" x14ac:dyDescent="0.2">
      <c r="B50" s="868" t="s">
        <v>576</v>
      </c>
      <c r="C50" s="864">
        <f ca="1">C$25*$D$153</f>
        <v>0</v>
      </c>
      <c r="D50" s="864">
        <f t="shared" ref="D50:M50" ca="1" si="30">D$25*$D$153</f>
        <v>0</v>
      </c>
      <c r="E50" s="864">
        <f t="shared" ca="1" si="30"/>
        <v>0</v>
      </c>
      <c r="F50" s="864">
        <f t="shared" ca="1" si="30"/>
        <v>0</v>
      </c>
      <c r="G50" s="864">
        <f t="shared" ca="1" si="30"/>
        <v>0</v>
      </c>
      <c r="H50" s="864">
        <f t="shared" si="30"/>
        <v>0</v>
      </c>
      <c r="I50" s="864">
        <f t="shared" si="30"/>
        <v>0</v>
      </c>
      <c r="J50" s="864">
        <f t="shared" si="30"/>
        <v>0</v>
      </c>
      <c r="K50" s="864">
        <f t="shared" si="30"/>
        <v>0</v>
      </c>
      <c r="L50" s="864">
        <f t="shared" si="30"/>
        <v>0</v>
      </c>
      <c r="M50" s="1080">
        <f t="shared" ca="1" si="30"/>
        <v>0</v>
      </c>
      <c r="N50" s="368"/>
    </row>
    <row r="51" spans="2:14" ht="17" hidden="1" outlineLevel="1" x14ac:dyDescent="0.2">
      <c r="B51" s="868" t="s">
        <v>276</v>
      </c>
      <c r="C51" s="864">
        <f>C$26*$E$174</f>
        <v>0</v>
      </c>
      <c r="D51" s="864">
        <f t="shared" ref="D51:M51" si="31">D$26*$E$174</f>
        <v>0</v>
      </c>
      <c r="E51" s="864">
        <f t="shared" si="31"/>
        <v>0</v>
      </c>
      <c r="F51" s="864">
        <f t="shared" si="31"/>
        <v>0</v>
      </c>
      <c r="G51" s="864">
        <f t="shared" ca="1" si="31"/>
        <v>0</v>
      </c>
      <c r="H51" s="864">
        <f t="shared" si="31"/>
        <v>0</v>
      </c>
      <c r="I51" s="864">
        <f t="shared" si="31"/>
        <v>0</v>
      </c>
      <c r="J51" s="864">
        <f t="shared" si="31"/>
        <v>0</v>
      </c>
      <c r="K51" s="864">
        <f t="shared" si="31"/>
        <v>0</v>
      </c>
      <c r="L51" s="864">
        <f t="shared" si="31"/>
        <v>0</v>
      </c>
      <c r="M51" s="1080">
        <f t="shared" ca="1" si="31"/>
        <v>0</v>
      </c>
      <c r="N51" s="368"/>
    </row>
    <row r="52" spans="2:14" hidden="1" outlineLevel="1" x14ac:dyDescent="0.2">
      <c r="B52" s="58" t="s">
        <v>159</v>
      </c>
      <c r="C52" s="864">
        <f>C$27*$E$174</f>
        <v>0</v>
      </c>
      <c r="D52" s="864">
        <f t="shared" ref="D52:M52" si="32">D$27*$E$174</f>
        <v>0</v>
      </c>
      <c r="E52" s="864">
        <f t="shared" si="32"/>
        <v>0</v>
      </c>
      <c r="F52" s="864">
        <f t="shared" si="32"/>
        <v>0</v>
      </c>
      <c r="G52" s="864">
        <f t="shared" ca="1" si="32"/>
        <v>0</v>
      </c>
      <c r="H52" s="864">
        <f t="shared" si="32"/>
        <v>0</v>
      </c>
      <c r="I52" s="864">
        <f t="shared" si="32"/>
        <v>0</v>
      </c>
      <c r="J52" s="864">
        <f t="shared" si="32"/>
        <v>0</v>
      </c>
      <c r="K52" s="864">
        <f t="shared" si="32"/>
        <v>0</v>
      </c>
      <c r="L52" s="864">
        <f t="shared" si="32"/>
        <v>0</v>
      </c>
      <c r="M52" s="1080">
        <f t="shared" ca="1" si="32"/>
        <v>0</v>
      </c>
      <c r="N52" s="368"/>
    </row>
    <row r="53" spans="2:14" hidden="1" outlineLevel="1" x14ac:dyDescent="0.2">
      <c r="B53" s="869" t="str">
        <f>B114</f>
        <v>Partner 5</v>
      </c>
      <c r="C53" s="865">
        <f ca="1">SUM(C54:C58)</f>
        <v>0</v>
      </c>
      <c r="D53" s="865">
        <f t="shared" ref="D53:M53" ca="1" si="33">SUM(D54:D58)</f>
        <v>0</v>
      </c>
      <c r="E53" s="865">
        <f t="shared" ca="1" si="33"/>
        <v>0</v>
      </c>
      <c r="F53" s="865">
        <f t="shared" ca="1" si="33"/>
        <v>0</v>
      </c>
      <c r="G53" s="865">
        <f t="shared" ca="1" si="33"/>
        <v>0</v>
      </c>
      <c r="H53" s="865">
        <f t="shared" si="33"/>
        <v>0</v>
      </c>
      <c r="I53" s="865">
        <f t="shared" si="33"/>
        <v>0</v>
      </c>
      <c r="J53" s="865">
        <f t="shared" si="33"/>
        <v>0</v>
      </c>
      <c r="K53" s="865">
        <f t="shared" si="33"/>
        <v>0</v>
      </c>
      <c r="L53" s="865">
        <f t="shared" si="33"/>
        <v>0</v>
      </c>
      <c r="M53" s="1081">
        <f t="shared" ca="1" si="33"/>
        <v>0</v>
      </c>
      <c r="N53" s="369"/>
    </row>
    <row r="54" spans="2:14" ht="17" hidden="1" outlineLevel="1" x14ac:dyDescent="0.2">
      <c r="B54" s="868" t="str">
        <f>B48</f>
        <v>Distributions from Cash Flow</v>
      </c>
      <c r="C54" s="864">
        <f ca="1">C$23*$E$175</f>
        <v>0</v>
      </c>
      <c r="D54" s="864">
        <f t="shared" ref="D54:M54" ca="1" si="34">D$23*$E$175</f>
        <v>0</v>
      </c>
      <c r="E54" s="864">
        <f t="shared" ca="1" si="34"/>
        <v>0</v>
      </c>
      <c r="F54" s="864">
        <f t="shared" ca="1" si="34"/>
        <v>0</v>
      </c>
      <c r="G54" s="864">
        <f t="shared" ca="1" si="34"/>
        <v>0</v>
      </c>
      <c r="H54" s="864">
        <f t="shared" si="34"/>
        <v>0</v>
      </c>
      <c r="I54" s="864">
        <f t="shared" si="34"/>
        <v>0</v>
      </c>
      <c r="J54" s="864">
        <f t="shared" si="34"/>
        <v>0</v>
      </c>
      <c r="K54" s="864">
        <f t="shared" si="34"/>
        <v>0</v>
      </c>
      <c r="L54" s="864">
        <f t="shared" si="34"/>
        <v>0</v>
      </c>
      <c r="M54" s="1080">
        <f t="shared" ca="1" si="34"/>
        <v>0</v>
      </c>
      <c r="N54" s="368"/>
    </row>
    <row r="55" spans="2:14" ht="17" hidden="1" outlineLevel="1" x14ac:dyDescent="0.2">
      <c r="B55" s="868" t="str">
        <f>B49</f>
        <v>Acquisitions Fee</v>
      </c>
      <c r="C55" s="864">
        <f>C$24*$E$175</f>
        <v>0</v>
      </c>
      <c r="D55" s="864">
        <f t="shared" ref="D55:M55" si="35">D$24*$E$175</f>
        <v>0</v>
      </c>
      <c r="E55" s="864">
        <f t="shared" si="35"/>
        <v>0</v>
      </c>
      <c r="F55" s="864">
        <f t="shared" si="35"/>
        <v>0</v>
      </c>
      <c r="G55" s="864">
        <f t="shared" si="35"/>
        <v>0</v>
      </c>
      <c r="H55" s="864">
        <f t="shared" si="35"/>
        <v>0</v>
      </c>
      <c r="I55" s="864">
        <f t="shared" si="35"/>
        <v>0</v>
      </c>
      <c r="J55" s="864">
        <f t="shared" si="35"/>
        <v>0</v>
      </c>
      <c r="K55" s="864">
        <f t="shared" si="35"/>
        <v>0</v>
      </c>
      <c r="L55" s="864">
        <f t="shared" si="35"/>
        <v>0</v>
      </c>
      <c r="M55" s="1080">
        <f t="shared" si="35"/>
        <v>0</v>
      </c>
      <c r="N55" s="368"/>
    </row>
    <row r="56" spans="2:14" ht="17" hidden="1" outlineLevel="1" x14ac:dyDescent="0.2">
      <c r="B56" s="868" t="s">
        <v>576</v>
      </c>
      <c r="C56" s="864">
        <f ca="1">C$25*$D$154</f>
        <v>0</v>
      </c>
      <c r="D56" s="864">
        <f t="shared" ref="D56:M56" ca="1" si="36">D$25*$D$154</f>
        <v>0</v>
      </c>
      <c r="E56" s="864">
        <f t="shared" ca="1" si="36"/>
        <v>0</v>
      </c>
      <c r="F56" s="864">
        <f t="shared" ca="1" si="36"/>
        <v>0</v>
      </c>
      <c r="G56" s="864">
        <f t="shared" ca="1" si="36"/>
        <v>0</v>
      </c>
      <c r="H56" s="864">
        <f t="shared" si="36"/>
        <v>0</v>
      </c>
      <c r="I56" s="864">
        <f t="shared" si="36"/>
        <v>0</v>
      </c>
      <c r="J56" s="864">
        <f t="shared" si="36"/>
        <v>0</v>
      </c>
      <c r="K56" s="864">
        <f t="shared" si="36"/>
        <v>0</v>
      </c>
      <c r="L56" s="864">
        <f t="shared" si="36"/>
        <v>0</v>
      </c>
      <c r="M56" s="1080">
        <f t="shared" ca="1" si="36"/>
        <v>0</v>
      </c>
      <c r="N56" s="368"/>
    </row>
    <row r="57" spans="2:14" ht="17" hidden="1" outlineLevel="1" x14ac:dyDescent="0.2">
      <c r="B57" s="868" t="s">
        <v>276</v>
      </c>
      <c r="C57" s="864">
        <f>C$26*$E$175</f>
        <v>0</v>
      </c>
      <c r="D57" s="864">
        <f t="shared" ref="D57:M57" si="37">D$26*$E$175</f>
        <v>0</v>
      </c>
      <c r="E57" s="864">
        <f t="shared" si="37"/>
        <v>0</v>
      </c>
      <c r="F57" s="864">
        <f t="shared" si="37"/>
        <v>0</v>
      </c>
      <c r="G57" s="864">
        <f t="shared" ca="1" si="37"/>
        <v>0</v>
      </c>
      <c r="H57" s="864">
        <f t="shared" si="37"/>
        <v>0</v>
      </c>
      <c r="I57" s="864">
        <f t="shared" si="37"/>
        <v>0</v>
      </c>
      <c r="J57" s="864">
        <f t="shared" si="37"/>
        <v>0</v>
      </c>
      <c r="K57" s="864">
        <f t="shared" si="37"/>
        <v>0</v>
      </c>
      <c r="L57" s="864">
        <f t="shared" si="37"/>
        <v>0</v>
      </c>
      <c r="M57" s="1080">
        <f t="shared" ca="1" si="37"/>
        <v>0</v>
      </c>
      <c r="N57" s="368"/>
    </row>
    <row r="58" spans="2:14" hidden="1" outlineLevel="1" x14ac:dyDescent="0.2">
      <c r="B58" s="58" t="s">
        <v>159</v>
      </c>
      <c r="C58" s="864">
        <f>C$27*$E$175</f>
        <v>0</v>
      </c>
      <c r="D58" s="864">
        <f t="shared" ref="D58:M58" si="38">D$27*$E$175</f>
        <v>0</v>
      </c>
      <c r="E58" s="864">
        <f t="shared" si="38"/>
        <v>0</v>
      </c>
      <c r="F58" s="864">
        <f t="shared" si="38"/>
        <v>0</v>
      </c>
      <c r="G58" s="864">
        <f t="shared" ca="1" si="38"/>
        <v>0</v>
      </c>
      <c r="H58" s="864">
        <f t="shared" si="38"/>
        <v>0</v>
      </c>
      <c r="I58" s="864">
        <f t="shared" si="38"/>
        <v>0</v>
      </c>
      <c r="J58" s="864">
        <f t="shared" si="38"/>
        <v>0</v>
      </c>
      <c r="K58" s="864">
        <f t="shared" si="38"/>
        <v>0</v>
      </c>
      <c r="L58" s="864">
        <f t="shared" si="38"/>
        <v>0</v>
      </c>
      <c r="M58" s="1080">
        <f t="shared" ca="1" si="38"/>
        <v>0</v>
      </c>
      <c r="N58" s="368"/>
    </row>
    <row r="59" spans="2:14" hidden="1" outlineLevel="1" x14ac:dyDescent="0.2">
      <c r="B59" s="869" t="str">
        <f>B115</f>
        <v>Partner 6</v>
      </c>
      <c r="C59" s="865">
        <f ca="1">SUM(C60:C64)</f>
        <v>0</v>
      </c>
      <c r="D59" s="865">
        <f t="shared" ref="D59:M59" ca="1" si="39">SUM(D60:D64)</f>
        <v>0</v>
      </c>
      <c r="E59" s="865">
        <f t="shared" ca="1" si="39"/>
        <v>0</v>
      </c>
      <c r="F59" s="865">
        <f t="shared" ca="1" si="39"/>
        <v>0</v>
      </c>
      <c r="G59" s="865">
        <f t="shared" ca="1" si="39"/>
        <v>0</v>
      </c>
      <c r="H59" s="865">
        <f t="shared" si="39"/>
        <v>0</v>
      </c>
      <c r="I59" s="865">
        <f t="shared" si="39"/>
        <v>0</v>
      </c>
      <c r="J59" s="865">
        <f t="shared" si="39"/>
        <v>0</v>
      </c>
      <c r="K59" s="865">
        <f t="shared" si="39"/>
        <v>0</v>
      </c>
      <c r="L59" s="865">
        <f t="shared" si="39"/>
        <v>0</v>
      </c>
      <c r="M59" s="1081">
        <f t="shared" ca="1" si="39"/>
        <v>0</v>
      </c>
      <c r="N59" s="369"/>
    </row>
    <row r="60" spans="2:14" ht="17" hidden="1" outlineLevel="1" x14ac:dyDescent="0.2">
      <c r="B60" s="868" t="str">
        <f>B54</f>
        <v>Distributions from Cash Flow</v>
      </c>
      <c r="C60" s="864">
        <f ca="1">C$23*$E$176</f>
        <v>0</v>
      </c>
      <c r="D60" s="864">
        <f t="shared" ref="D60:M60" ca="1" si="40">D$23*$E$176</f>
        <v>0</v>
      </c>
      <c r="E60" s="864">
        <f t="shared" ca="1" si="40"/>
        <v>0</v>
      </c>
      <c r="F60" s="864">
        <f t="shared" ca="1" si="40"/>
        <v>0</v>
      </c>
      <c r="G60" s="864">
        <f t="shared" ca="1" si="40"/>
        <v>0</v>
      </c>
      <c r="H60" s="864">
        <f t="shared" si="40"/>
        <v>0</v>
      </c>
      <c r="I60" s="864">
        <f t="shared" si="40"/>
        <v>0</v>
      </c>
      <c r="J60" s="864">
        <f t="shared" si="40"/>
        <v>0</v>
      </c>
      <c r="K60" s="864">
        <f t="shared" si="40"/>
        <v>0</v>
      </c>
      <c r="L60" s="864">
        <f t="shared" si="40"/>
        <v>0</v>
      </c>
      <c r="M60" s="1080">
        <f t="shared" ca="1" si="40"/>
        <v>0</v>
      </c>
      <c r="N60" s="368"/>
    </row>
    <row r="61" spans="2:14" ht="17" hidden="1" outlineLevel="1" x14ac:dyDescent="0.2">
      <c r="B61" s="868" t="str">
        <f>B55</f>
        <v>Acquisitions Fee</v>
      </c>
      <c r="C61" s="864">
        <f>C$24*$E$176</f>
        <v>0</v>
      </c>
      <c r="D61" s="864">
        <f t="shared" ref="D61:M61" si="41">D$24*$E$176</f>
        <v>0</v>
      </c>
      <c r="E61" s="864">
        <f t="shared" si="41"/>
        <v>0</v>
      </c>
      <c r="F61" s="864">
        <f t="shared" si="41"/>
        <v>0</v>
      </c>
      <c r="G61" s="864">
        <f t="shared" si="41"/>
        <v>0</v>
      </c>
      <c r="H61" s="864">
        <f t="shared" si="41"/>
        <v>0</v>
      </c>
      <c r="I61" s="864">
        <f t="shared" si="41"/>
        <v>0</v>
      </c>
      <c r="J61" s="864">
        <f t="shared" si="41"/>
        <v>0</v>
      </c>
      <c r="K61" s="864">
        <f t="shared" si="41"/>
        <v>0</v>
      </c>
      <c r="L61" s="864">
        <f t="shared" si="41"/>
        <v>0</v>
      </c>
      <c r="M61" s="1080">
        <f t="shared" si="41"/>
        <v>0</v>
      </c>
      <c r="N61" s="368"/>
    </row>
    <row r="62" spans="2:14" ht="17" hidden="1" outlineLevel="1" x14ac:dyDescent="0.2">
      <c r="B62" s="868" t="s">
        <v>576</v>
      </c>
      <c r="C62" s="864">
        <f ca="1">C$25*$D$155</f>
        <v>0</v>
      </c>
      <c r="D62" s="864">
        <f t="shared" ref="D62:M62" ca="1" si="42">D$25*$D$155</f>
        <v>0</v>
      </c>
      <c r="E62" s="864">
        <f t="shared" ca="1" si="42"/>
        <v>0</v>
      </c>
      <c r="F62" s="864">
        <f t="shared" ca="1" si="42"/>
        <v>0</v>
      </c>
      <c r="G62" s="864">
        <f t="shared" ca="1" si="42"/>
        <v>0</v>
      </c>
      <c r="H62" s="864">
        <f t="shared" si="42"/>
        <v>0</v>
      </c>
      <c r="I62" s="864">
        <f t="shared" si="42"/>
        <v>0</v>
      </c>
      <c r="J62" s="864">
        <f t="shared" si="42"/>
        <v>0</v>
      </c>
      <c r="K62" s="864">
        <f t="shared" si="42"/>
        <v>0</v>
      </c>
      <c r="L62" s="864">
        <f t="shared" si="42"/>
        <v>0</v>
      </c>
      <c r="M62" s="1080">
        <f t="shared" ca="1" si="42"/>
        <v>0</v>
      </c>
      <c r="N62" s="368"/>
    </row>
    <row r="63" spans="2:14" ht="17" hidden="1" outlineLevel="1" x14ac:dyDescent="0.2">
      <c r="B63" s="868" t="s">
        <v>276</v>
      </c>
      <c r="C63" s="864">
        <f>C$26*$E$176</f>
        <v>0</v>
      </c>
      <c r="D63" s="864">
        <f t="shared" ref="D63:M63" si="43">D$26*$E$176</f>
        <v>0</v>
      </c>
      <c r="E63" s="864">
        <f t="shared" si="43"/>
        <v>0</v>
      </c>
      <c r="F63" s="864">
        <f t="shared" si="43"/>
        <v>0</v>
      </c>
      <c r="G63" s="864">
        <f t="shared" ca="1" si="43"/>
        <v>0</v>
      </c>
      <c r="H63" s="864">
        <f t="shared" si="43"/>
        <v>0</v>
      </c>
      <c r="I63" s="864">
        <f t="shared" si="43"/>
        <v>0</v>
      </c>
      <c r="J63" s="864">
        <f t="shared" si="43"/>
        <v>0</v>
      </c>
      <c r="K63" s="864">
        <f t="shared" si="43"/>
        <v>0</v>
      </c>
      <c r="L63" s="864">
        <f t="shared" si="43"/>
        <v>0</v>
      </c>
      <c r="M63" s="1080">
        <f t="shared" ca="1" si="43"/>
        <v>0</v>
      </c>
      <c r="N63" s="368"/>
    </row>
    <row r="64" spans="2:14" hidden="1" outlineLevel="1" x14ac:dyDescent="0.2">
      <c r="B64" s="58" t="s">
        <v>159</v>
      </c>
      <c r="C64" s="864">
        <f>C$27*$E$176</f>
        <v>0</v>
      </c>
      <c r="D64" s="864">
        <f t="shared" ref="D64:M64" si="44">D$27*$E$176</f>
        <v>0</v>
      </c>
      <c r="E64" s="864">
        <f t="shared" si="44"/>
        <v>0</v>
      </c>
      <c r="F64" s="864">
        <f t="shared" si="44"/>
        <v>0</v>
      </c>
      <c r="G64" s="864">
        <f t="shared" ca="1" si="44"/>
        <v>0</v>
      </c>
      <c r="H64" s="864">
        <f t="shared" si="44"/>
        <v>0</v>
      </c>
      <c r="I64" s="864">
        <f t="shared" si="44"/>
        <v>0</v>
      </c>
      <c r="J64" s="864">
        <f t="shared" si="44"/>
        <v>0</v>
      </c>
      <c r="K64" s="864">
        <f t="shared" si="44"/>
        <v>0</v>
      </c>
      <c r="L64" s="864">
        <f t="shared" si="44"/>
        <v>0</v>
      </c>
      <c r="M64" s="1080">
        <f t="shared" ca="1" si="44"/>
        <v>0</v>
      </c>
      <c r="N64" s="368"/>
    </row>
    <row r="65" spans="1:18" hidden="1" outlineLevel="1" x14ac:dyDescent="0.2">
      <c r="B65" s="869" t="str">
        <f>B116</f>
        <v>Partner 7</v>
      </c>
      <c r="C65" s="865">
        <f ca="1">SUM(C66:C70)</f>
        <v>0</v>
      </c>
      <c r="D65" s="865">
        <f t="shared" ref="D65:M65" ca="1" si="45">SUM(D66:D70)</f>
        <v>0</v>
      </c>
      <c r="E65" s="865">
        <f t="shared" ca="1" si="45"/>
        <v>0</v>
      </c>
      <c r="F65" s="865">
        <f t="shared" ca="1" si="45"/>
        <v>0</v>
      </c>
      <c r="G65" s="865">
        <f t="shared" ca="1" si="45"/>
        <v>0</v>
      </c>
      <c r="H65" s="865">
        <f t="shared" si="45"/>
        <v>0</v>
      </c>
      <c r="I65" s="865">
        <f t="shared" si="45"/>
        <v>0</v>
      </c>
      <c r="J65" s="865">
        <f t="shared" si="45"/>
        <v>0</v>
      </c>
      <c r="K65" s="865">
        <f t="shared" si="45"/>
        <v>0</v>
      </c>
      <c r="L65" s="865">
        <f t="shared" si="45"/>
        <v>0</v>
      </c>
      <c r="M65" s="1081">
        <f t="shared" ca="1" si="45"/>
        <v>0</v>
      </c>
      <c r="N65" s="369"/>
    </row>
    <row r="66" spans="1:18" ht="17" hidden="1" outlineLevel="1" x14ac:dyDescent="0.2">
      <c r="B66" s="868" t="str">
        <f>B60</f>
        <v>Distributions from Cash Flow</v>
      </c>
      <c r="C66" s="864">
        <f ca="1">C$23*$E$177</f>
        <v>0</v>
      </c>
      <c r="D66" s="864">
        <f t="shared" ref="D66:M66" ca="1" si="46">D$23*$E$177</f>
        <v>0</v>
      </c>
      <c r="E66" s="864">
        <f t="shared" ca="1" si="46"/>
        <v>0</v>
      </c>
      <c r="F66" s="864">
        <f t="shared" ca="1" si="46"/>
        <v>0</v>
      </c>
      <c r="G66" s="864">
        <f t="shared" ca="1" si="46"/>
        <v>0</v>
      </c>
      <c r="H66" s="864">
        <f t="shared" si="46"/>
        <v>0</v>
      </c>
      <c r="I66" s="864">
        <f t="shared" si="46"/>
        <v>0</v>
      </c>
      <c r="J66" s="864">
        <f t="shared" si="46"/>
        <v>0</v>
      </c>
      <c r="K66" s="864">
        <f t="shared" si="46"/>
        <v>0</v>
      </c>
      <c r="L66" s="864">
        <f t="shared" si="46"/>
        <v>0</v>
      </c>
      <c r="M66" s="1080">
        <f t="shared" ca="1" si="46"/>
        <v>0</v>
      </c>
      <c r="N66" s="368"/>
    </row>
    <row r="67" spans="1:18" ht="17" hidden="1" outlineLevel="1" x14ac:dyDescent="0.2">
      <c r="B67" s="868" t="str">
        <f>B61</f>
        <v>Acquisitions Fee</v>
      </c>
      <c r="C67" s="864">
        <f>C$24*$E$177</f>
        <v>0</v>
      </c>
      <c r="D67" s="864">
        <f t="shared" ref="D67:M67" si="47">D$24*$E$177</f>
        <v>0</v>
      </c>
      <c r="E67" s="864">
        <f t="shared" si="47"/>
        <v>0</v>
      </c>
      <c r="F67" s="864">
        <f t="shared" si="47"/>
        <v>0</v>
      </c>
      <c r="G67" s="864">
        <f t="shared" si="47"/>
        <v>0</v>
      </c>
      <c r="H67" s="864">
        <f t="shared" si="47"/>
        <v>0</v>
      </c>
      <c r="I67" s="864">
        <f t="shared" si="47"/>
        <v>0</v>
      </c>
      <c r="J67" s="864">
        <f t="shared" si="47"/>
        <v>0</v>
      </c>
      <c r="K67" s="864">
        <f t="shared" si="47"/>
        <v>0</v>
      </c>
      <c r="L67" s="864">
        <f t="shared" si="47"/>
        <v>0</v>
      </c>
      <c r="M67" s="1080">
        <f t="shared" si="47"/>
        <v>0</v>
      </c>
      <c r="N67" s="368"/>
    </row>
    <row r="68" spans="1:18" ht="17" hidden="1" outlineLevel="1" x14ac:dyDescent="0.2">
      <c r="B68" s="868" t="s">
        <v>576</v>
      </c>
      <c r="C68" s="864">
        <f ca="1">C$25*$D$156</f>
        <v>0</v>
      </c>
      <c r="D68" s="864">
        <f t="shared" ref="D68:M68" ca="1" si="48">D$25*$D$156</f>
        <v>0</v>
      </c>
      <c r="E68" s="864">
        <f t="shared" ca="1" si="48"/>
        <v>0</v>
      </c>
      <c r="F68" s="864">
        <f t="shared" ca="1" si="48"/>
        <v>0</v>
      </c>
      <c r="G68" s="864">
        <f t="shared" ca="1" si="48"/>
        <v>0</v>
      </c>
      <c r="H68" s="864">
        <f t="shared" si="48"/>
        <v>0</v>
      </c>
      <c r="I68" s="864">
        <f t="shared" si="48"/>
        <v>0</v>
      </c>
      <c r="J68" s="864">
        <f t="shared" si="48"/>
        <v>0</v>
      </c>
      <c r="K68" s="864">
        <f t="shared" si="48"/>
        <v>0</v>
      </c>
      <c r="L68" s="864">
        <f t="shared" si="48"/>
        <v>0</v>
      </c>
      <c r="M68" s="1080">
        <f t="shared" ca="1" si="48"/>
        <v>0</v>
      </c>
      <c r="N68" s="368"/>
    </row>
    <row r="69" spans="1:18" ht="17" hidden="1" outlineLevel="1" x14ac:dyDescent="0.2">
      <c r="B69" s="868" t="s">
        <v>276</v>
      </c>
      <c r="C69" s="864">
        <f>C$26*$E$177</f>
        <v>0</v>
      </c>
      <c r="D69" s="864">
        <f t="shared" ref="D69:M69" si="49">D$26*$E$177</f>
        <v>0</v>
      </c>
      <c r="E69" s="864">
        <f t="shared" si="49"/>
        <v>0</v>
      </c>
      <c r="F69" s="864">
        <f t="shared" si="49"/>
        <v>0</v>
      </c>
      <c r="G69" s="864">
        <f t="shared" ca="1" si="49"/>
        <v>0</v>
      </c>
      <c r="H69" s="864">
        <f t="shared" si="49"/>
        <v>0</v>
      </c>
      <c r="I69" s="864">
        <f t="shared" si="49"/>
        <v>0</v>
      </c>
      <c r="J69" s="864">
        <f t="shared" si="49"/>
        <v>0</v>
      </c>
      <c r="K69" s="864">
        <f t="shared" si="49"/>
        <v>0</v>
      </c>
      <c r="L69" s="864">
        <f t="shared" si="49"/>
        <v>0</v>
      </c>
      <c r="M69" s="1080">
        <f t="shared" ca="1" si="49"/>
        <v>0</v>
      </c>
      <c r="N69" s="368"/>
    </row>
    <row r="70" spans="1:18" hidden="1" outlineLevel="1" x14ac:dyDescent="0.2">
      <c r="B70" s="58" t="s">
        <v>159</v>
      </c>
      <c r="C70" s="864">
        <f>C$27*$E$177</f>
        <v>0</v>
      </c>
      <c r="D70" s="864">
        <f t="shared" ref="D70:M70" si="50">D$27*$E$177</f>
        <v>0</v>
      </c>
      <c r="E70" s="864">
        <f t="shared" si="50"/>
        <v>0</v>
      </c>
      <c r="F70" s="864">
        <f t="shared" si="50"/>
        <v>0</v>
      </c>
      <c r="G70" s="864">
        <f t="shared" ca="1" si="50"/>
        <v>0</v>
      </c>
      <c r="H70" s="864">
        <f t="shared" si="50"/>
        <v>0</v>
      </c>
      <c r="I70" s="864">
        <f t="shared" si="50"/>
        <v>0</v>
      </c>
      <c r="J70" s="864">
        <f t="shared" si="50"/>
        <v>0</v>
      </c>
      <c r="K70" s="864">
        <f t="shared" si="50"/>
        <v>0</v>
      </c>
      <c r="L70" s="864">
        <f t="shared" si="50"/>
        <v>0</v>
      </c>
      <c r="M70" s="1080">
        <f t="shared" ca="1" si="50"/>
        <v>0</v>
      </c>
      <c r="N70" s="368"/>
    </row>
    <row r="71" spans="1:18" hidden="1" outlineLevel="1" x14ac:dyDescent="0.2">
      <c r="B71" s="869" t="str">
        <f>B117</f>
        <v>Partner 8</v>
      </c>
      <c r="C71" s="865">
        <f ca="1">SUM(C72:C76)</f>
        <v>0</v>
      </c>
      <c r="D71" s="865">
        <f t="shared" ref="D71:M71" ca="1" si="51">SUM(D72:D76)</f>
        <v>0</v>
      </c>
      <c r="E71" s="865">
        <f t="shared" ca="1" si="51"/>
        <v>0</v>
      </c>
      <c r="F71" s="865">
        <f t="shared" ca="1" si="51"/>
        <v>0</v>
      </c>
      <c r="G71" s="865">
        <f t="shared" ca="1" si="51"/>
        <v>0</v>
      </c>
      <c r="H71" s="865">
        <f t="shared" si="51"/>
        <v>0</v>
      </c>
      <c r="I71" s="865">
        <f t="shared" si="51"/>
        <v>0</v>
      </c>
      <c r="J71" s="865">
        <f t="shared" si="51"/>
        <v>0</v>
      </c>
      <c r="K71" s="865">
        <f t="shared" si="51"/>
        <v>0</v>
      </c>
      <c r="L71" s="865">
        <f t="shared" si="51"/>
        <v>0</v>
      </c>
      <c r="M71" s="1081">
        <f t="shared" ca="1" si="51"/>
        <v>0</v>
      </c>
      <c r="N71" s="369"/>
    </row>
    <row r="72" spans="1:18" ht="17" hidden="1" outlineLevel="1" x14ac:dyDescent="0.2">
      <c r="B72" s="868" t="str">
        <f>B66</f>
        <v>Distributions from Cash Flow</v>
      </c>
      <c r="C72" s="864">
        <f ca="1">C$23*$E$178</f>
        <v>0</v>
      </c>
      <c r="D72" s="864">
        <f t="shared" ref="D72:M72" ca="1" si="52">D$23*$E$178</f>
        <v>0</v>
      </c>
      <c r="E72" s="864">
        <f t="shared" ca="1" si="52"/>
        <v>0</v>
      </c>
      <c r="F72" s="864">
        <f t="shared" ca="1" si="52"/>
        <v>0</v>
      </c>
      <c r="G72" s="864">
        <f t="shared" ca="1" si="52"/>
        <v>0</v>
      </c>
      <c r="H72" s="864">
        <f t="shared" si="52"/>
        <v>0</v>
      </c>
      <c r="I72" s="864">
        <f t="shared" si="52"/>
        <v>0</v>
      </c>
      <c r="J72" s="864">
        <f t="shared" si="52"/>
        <v>0</v>
      </c>
      <c r="K72" s="864">
        <f t="shared" si="52"/>
        <v>0</v>
      </c>
      <c r="L72" s="864">
        <f t="shared" si="52"/>
        <v>0</v>
      </c>
      <c r="M72" s="1080">
        <f t="shared" ca="1" si="52"/>
        <v>0</v>
      </c>
      <c r="N72" s="368"/>
    </row>
    <row r="73" spans="1:18" ht="17" hidden="1" outlineLevel="1" x14ac:dyDescent="0.2">
      <c r="B73" s="868" t="str">
        <f>B67</f>
        <v>Acquisitions Fee</v>
      </c>
      <c r="C73" s="864">
        <f>C$24*$E$178</f>
        <v>0</v>
      </c>
      <c r="D73" s="864">
        <f t="shared" ref="D73:M73" si="53">D$24*$E$178</f>
        <v>0</v>
      </c>
      <c r="E73" s="864">
        <f t="shared" si="53"/>
        <v>0</v>
      </c>
      <c r="F73" s="864">
        <f t="shared" si="53"/>
        <v>0</v>
      </c>
      <c r="G73" s="864">
        <f t="shared" si="53"/>
        <v>0</v>
      </c>
      <c r="H73" s="864">
        <f t="shared" si="53"/>
        <v>0</v>
      </c>
      <c r="I73" s="864">
        <f t="shared" si="53"/>
        <v>0</v>
      </c>
      <c r="J73" s="864">
        <f t="shared" si="53"/>
        <v>0</v>
      </c>
      <c r="K73" s="864">
        <f t="shared" si="53"/>
        <v>0</v>
      </c>
      <c r="L73" s="864">
        <f t="shared" si="53"/>
        <v>0</v>
      </c>
      <c r="M73" s="1080">
        <f t="shared" si="53"/>
        <v>0</v>
      </c>
      <c r="N73" s="368"/>
    </row>
    <row r="74" spans="1:18" ht="17" hidden="1" outlineLevel="1" x14ac:dyDescent="0.2">
      <c r="B74" s="868" t="s">
        <v>576</v>
      </c>
      <c r="C74" s="864">
        <f ca="1">C$25*$D$157</f>
        <v>0</v>
      </c>
      <c r="D74" s="864">
        <f t="shared" ref="D74:M74" ca="1" si="54">D$25*$D$157</f>
        <v>0</v>
      </c>
      <c r="E74" s="864">
        <f t="shared" ca="1" si="54"/>
        <v>0</v>
      </c>
      <c r="F74" s="864">
        <f t="shared" ca="1" si="54"/>
        <v>0</v>
      </c>
      <c r="G74" s="864">
        <f t="shared" ca="1" si="54"/>
        <v>0</v>
      </c>
      <c r="H74" s="864">
        <f t="shared" si="54"/>
        <v>0</v>
      </c>
      <c r="I74" s="864">
        <f t="shared" si="54"/>
        <v>0</v>
      </c>
      <c r="J74" s="864">
        <f t="shared" si="54"/>
        <v>0</v>
      </c>
      <c r="K74" s="864">
        <f t="shared" si="54"/>
        <v>0</v>
      </c>
      <c r="L74" s="864">
        <f t="shared" si="54"/>
        <v>0</v>
      </c>
      <c r="M74" s="1080">
        <f t="shared" ca="1" si="54"/>
        <v>0</v>
      </c>
      <c r="N74" s="368"/>
    </row>
    <row r="75" spans="1:18" ht="17" hidden="1" outlineLevel="1" x14ac:dyDescent="0.2">
      <c r="B75" s="868" t="s">
        <v>276</v>
      </c>
      <c r="C75" s="864">
        <f>C$26*$E$178</f>
        <v>0</v>
      </c>
      <c r="D75" s="864">
        <f t="shared" ref="D75:M75" si="55">D$26*$E$178</f>
        <v>0</v>
      </c>
      <c r="E75" s="864">
        <f t="shared" si="55"/>
        <v>0</v>
      </c>
      <c r="F75" s="864">
        <f t="shared" si="55"/>
        <v>0</v>
      </c>
      <c r="G75" s="864">
        <f t="shared" ca="1" si="55"/>
        <v>0</v>
      </c>
      <c r="H75" s="864">
        <f t="shared" si="55"/>
        <v>0</v>
      </c>
      <c r="I75" s="864">
        <f t="shared" si="55"/>
        <v>0</v>
      </c>
      <c r="J75" s="864">
        <f t="shared" si="55"/>
        <v>0</v>
      </c>
      <c r="K75" s="864">
        <f t="shared" si="55"/>
        <v>0</v>
      </c>
      <c r="L75" s="864">
        <f t="shared" si="55"/>
        <v>0</v>
      </c>
      <c r="M75" s="1080">
        <f t="shared" ca="1" si="55"/>
        <v>0</v>
      </c>
      <c r="N75" s="368"/>
    </row>
    <row r="76" spans="1:18" ht="17" hidden="1" outlineLevel="1" thickBot="1" x14ac:dyDescent="0.25">
      <c r="B76" s="86" t="s">
        <v>159</v>
      </c>
      <c r="C76" s="870">
        <f>C$27*$E$178</f>
        <v>0</v>
      </c>
      <c r="D76" s="870">
        <f t="shared" ref="D76:M76" si="56">D$27*$E$178</f>
        <v>0</v>
      </c>
      <c r="E76" s="870">
        <f t="shared" si="56"/>
        <v>0</v>
      </c>
      <c r="F76" s="870">
        <f t="shared" si="56"/>
        <v>0</v>
      </c>
      <c r="G76" s="870">
        <f t="shared" ca="1" si="56"/>
        <v>0</v>
      </c>
      <c r="H76" s="870">
        <f t="shared" si="56"/>
        <v>0</v>
      </c>
      <c r="I76" s="870">
        <f t="shared" si="56"/>
        <v>0</v>
      </c>
      <c r="J76" s="870">
        <f t="shared" si="56"/>
        <v>0</v>
      </c>
      <c r="K76" s="870">
        <f t="shared" si="56"/>
        <v>0</v>
      </c>
      <c r="L76" s="870">
        <f t="shared" si="56"/>
        <v>0</v>
      </c>
      <c r="M76" s="1082">
        <f t="shared" ca="1" si="56"/>
        <v>0</v>
      </c>
      <c r="N76" s="368"/>
    </row>
    <row r="77" spans="1:18" ht="17" thickBot="1" x14ac:dyDescent="0.25"/>
    <row r="78" spans="1:18" x14ac:dyDescent="0.2">
      <c r="B78" s="775" t="s">
        <v>77</v>
      </c>
      <c r="C78" s="315">
        <v>1</v>
      </c>
      <c r="D78" s="315">
        <f>C78+1</f>
        <v>2</v>
      </c>
      <c r="E78" s="315">
        <f t="shared" ref="E78:L78" si="57">D78+1</f>
        <v>3</v>
      </c>
      <c r="F78" s="315">
        <f t="shared" si="57"/>
        <v>4</v>
      </c>
      <c r="G78" s="315">
        <f t="shared" si="57"/>
        <v>5</v>
      </c>
      <c r="H78" s="315">
        <f t="shared" si="57"/>
        <v>6</v>
      </c>
      <c r="I78" s="315">
        <f t="shared" si="57"/>
        <v>7</v>
      </c>
      <c r="J78" s="315">
        <f t="shared" si="57"/>
        <v>8</v>
      </c>
      <c r="K78" s="315">
        <f t="shared" si="57"/>
        <v>9</v>
      </c>
      <c r="L78" s="315">
        <f t="shared" si="57"/>
        <v>10</v>
      </c>
      <c r="M78" s="315" t="s">
        <v>74</v>
      </c>
      <c r="N78" s="319" t="s">
        <v>73</v>
      </c>
    </row>
    <row r="79" spans="1:18" x14ac:dyDescent="0.2">
      <c r="A79" s="10"/>
      <c r="B79" s="579" t="s">
        <v>590</v>
      </c>
      <c r="C79" s="859">
        <f t="shared" ref="C79:L79" ca="1" si="58">C6+C23</f>
        <v>0</v>
      </c>
      <c r="D79" s="859">
        <f t="shared" ca="1" si="58"/>
        <v>0</v>
      </c>
      <c r="E79" s="859">
        <f t="shared" ca="1" si="58"/>
        <v>0</v>
      </c>
      <c r="F79" s="859">
        <f t="shared" ca="1" si="58"/>
        <v>0</v>
      </c>
      <c r="G79" s="859">
        <f t="shared" ca="1" si="58"/>
        <v>0</v>
      </c>
      <c r="H79" s="859">
        <f t="shared" si="58"/>
        <v>0</v>
      </c>
      <c r="I79" s="859">
        <f t="shared" si="58"/>
        <v>0</v>
      </c>
      <c r="J79" s="859">
        <f t="shared" si="58"/>
        <v>0</v>
      </c>
      <c r="K79" s="859">
        <f t="shared" si="58"/>
        <v>0</v>
      </c>
      <c r="L79" s="859">
        <f t="shared" si="58"/>
        <v>0</v>
      </c>
      <c r="M79" s="857">
        <f ca="1">SUM(C79:L79)</f>
        <v>0</v>
      </c>
      <c r="N79" s="879"/>
      <c r="O79" s="10"/>
      <c r="P79" s="10"/>
      <c r="Q79" s="10"/>
      <c r="R79" s="10"/>
    </row>
    <row r="80" spans="1:18" x14ac:dyDescent="0.2">
      <c r="A80" s="10"/>
      <c r="B80" s="579" t="s">
        <v>657</v>
      </c>
      <c r="C80" s="880" t="str">
        <f t="shared" ref="C80:L80" si="59">IF(C$4&lt;=year_sale,IF(C$5=0,"∞",C79/C$5),0)</f>
        <v>∞</v>
      </c>
      <c r="D80" s="880" t="str">
        <f t="shared" si="59"/>
        <v>∞</v>
      </c>
      <c r="E80" s="880" t="str">
        <f t="shared" si="59"/>
        <v>∞</v>
      </c>
      <c r="F80" s="880" t="str">
        <f t="shared" si="59"/>
        <v>∞</v>
      </c>
      <c r="G80" s="880" t="str">
        <f t="shared" si="59"/>
        <v>∞</v>
      </c>
      <c r="H80" s="880">
        <f t="shared" si="59"/>
        <v>0</v>
      </c>
      <c r="I80" s="880">
        <f t="shared" si="59"/>
        <v>0</v>
      </c>
      <c r="J80" s="880">
        <f t="shared" si="59"/>
        <v>0</v>
      </c>
      <c r="K80" s="880">
        <f t="shared" si="59"/>
        <v>0</v>
      </c>
      <c r="L80" s="880">
        <f t="shared" si="59"/>
        <v>0</v>
      </c>
      <c r="M80" s="451"/>
      <c r="N80" s="881"/>
      <c r="O80" s="10"/>
      <c r="P80" s="981"/>
      <c r="Q80" s="10"/>
      <c r="R80" s="10"/>
    </row>
    <row r="81" spans="1:25" x14ac:dyDescent="0.2">
      <c r="A81" s="10"/>
      <c r="B81" s="862" t="s">
        <v>658</v>
      </c>
      <c r="C81" s="1005" t="str">
        <f>IF(C$4&lt;=year_sale,IF(C80="∞","∞",AVERAGE($C$80:C80)),0)</f>
        <v>∞</v>
      </c>
      <c r="D81" s="1005" t="str">
        <f>IF(D$4&lt;=year_sale,IF(D80="∞","∞",AVERAGE($C$80:D80)),0)</f>
        <v>∞</v>
      </c>
      <c r="E81" s="1005" t="str">
        <f>IF(E$4&lt;=year_sale,IF(E80="∞","∞",AVERAGE($C$80:E80)),0)</f>
        <v>∞</v>
      </c>
      <c r="F81" s="1005" t="str">
        <f>IF(F$4&lt;=year_sale,IF(F80="∞","∞",AVERAGE($C$80:F80)),0)</f>
        <v>∞</v>
      </c>
      <c r="G81" s="1005" t="str">
        <f>IF(G$4&lt;=year_sale,IF(G80="∞","∞",AVERAGE($C$80:G80)),0)</f>
        <v>∞</v>
      </c>
      <c r="H81" s="1005">
        <f>IF(H$4&lt;=year_sale,IF(H80="∞","∞",AVERAGE($C$80:H80)),0)</f>
        <v>0</v>
      </c>
      <c r="I81" s="1005">
        <f>IF(I$4&lt;=year_sale,IF(I80="∞","∞",AVERAGE($C$80:I80)),0)</f>
        <v>0</v>
      </c>
      <c r="J81" s="1005">
        <f>IF(J$4&lt;=year_sale,IF(J80="∞","∞",AVERAGE($C$80:J80)),0)</f>
        <v>0</v>
      </c>
      <c r="K81" s="1005">
        <f>IF(K$4&lt;=year_sale,IF(K80="∞","∞",AVERAGE($C$80:K80)),0)</f>
        <v>0</v>
      </c>
      <c r="L81" s="1005">
        <f>IF(L$4&lt;=year_sale,IF(L80="∞","∞",AVERAGE($C$80:L80)),0)</f>
        <v>0</v>
      </c>
      <c r="M81" s="451"/>
      <c r="N81" s="881"/>
      <c r="O81" s="10"/>
      <c r="P81" s="981"/>
      <c r="Q81" s="10"/>
      <c r="R81" s="10"/>
    </row>
    <row r="82" spans="1:25" x14ac:dyDescent="0.2">
      <c r="A82" s="10"/>
      <c r="B82" s="579" t="s">
        <v>587</v>
      </c>
      <c r="C82" s="857">
        <f t="shared" ref="C82:L82" si="60">SUM(C10,C27)</f>
        <v>0</v>
      </c>
      <c r="D82" s="857">
        <f t="shared" si="60"/>
        <v>0</v>
      </c>
      <c r="E82" s="857">
        <f t="shared" si="60"/>
        <v>0</v>
      </c>
      <c r="F82" s="857">
        <f t="shared" si="60"/>
        <v>0</v>
      </c>
      <c r="G82" s="857">
        <f t="shared" ca="1" si="60"/>
        <v>0</v>
      </c>
      <c r="H82" s="857">
        <f t="shared" si="60"/>
        <v>0</v>
      </c>
      <c r="I82" s="857">
        <f t="shared" si="60"/>
        <v>0</v>
      </c>
      <c r="J82" s="857">
        <f t="shared" si="60"/>
        <v>0</v>
      </c>
      <c r="K82" s="857">
        <f t="shared" si="60"/>
        <v>0</v>
      </c>
      <c r="L82" s="857">
        <f t="shared" si="60"/>
        <v>0</v>
      </c>
      <c r="M82" s="857">
        <f ca="1">SUM(C82:L82)</f>
        <v>0</v>
      </c>
      <c r="N82" s="881"/>
      <c r="O82" s="10"/>
      <c r="P82" s="982"/>
      <c r="Q82" s="10"/>
      <c r="R82" s="10"/>
    </row>
    <row r="83" spans="1:25" x14ac:dyDescent="0.2">
      <c r="A83" s="10"/>
      <c r="B83" s="862" t="s">
        <v>158</v>
      </c>
      <c r="C83" s="1005">
        <f ca="1">IFERROR(IF(C78&lt;=year_sale,(SUM($C$85:C85))/$C$5/C78,0),0)</f>
        <v>0</v>
      </c>
      <c r="D83" s="1005">
        <f ca="1">IFERROR(IF(D78&lt;=year_sale,(SUM($C$85:D85))/$C$5/D78,0),0)</f>
        <v>0</v>
      </c>
      <c r="E83" s="1005">
        <f ca="1">IFERROR(IF(E78&lt;=year_sale,(SUM($C$85:E85))/$C$5/E78,0),0)</f>
        <v>0</v>
      </c>
      <c r="F83" s="1005">
        <f ca="1">IFERROR(IF(F78&lt;=year_sale,(SUM($C$85:F85))/$C$5/F78,0),0)</f>
        <v>0</v>
      </c>
      <c r="G83" s="1005">
        <f ca="1">IFERROR(IF(G78&lt;=year_sale,(SUM($C$85:G85))/$C$5/G78,0),0)</f>
        <v>0</v>
      </c>
      <c r="H83" s="1005">
        <f>IFERROR(IF(H78&lt;=year_sale,(SUM($C$85:H85))/$C$5/H78,0),0)</f>
        <v>0</v>
      </c>
      <c r="I83" s="1005">
        <f>IFERROR(IF(I78&lt;=year_sale,(SUM($C$85:I85))/$C$5/I78,0),0)</f>
        <v>0</v>
      </c>
      <c r="J83" s="1005">
        <f>IFERROR(IF(J78&lt;=year_sale,(SUM($C$85:J85))/$C$5/J78,0),0)</f>
        <v>0</v>
      </c>
      <c r="K83" s="1005">
        <f>IFERROR(IF(K78&lt;=year_sale,(SUM($C$85:K85))/$C$5/K78,0),0)</f>
        <v>0</v>
      </c>
      <c r="L83" s="1005">
        <f>IFERROR(IF(L78&lt;=year_sale,(SUM($C$85:L85))/$C$5/L78,0),0)</f>
        <v>0</v>
      </c>
      <c r="M83" s="860"/>
      <c r="N83" s="881"/>
      <c r="O83" s="10"/>
      <c r="P83" s="982"/>
      <c r="Q83" s="10"/>
      <c r="R83" s="10"/>
    </row>
    <row r="84" spans="1:25" x14ac:dyDescent="0.2">
      <c r="A84" s="10"/>
      <c r="B84" s="579" t="s">
        <v>588</v>
      </c>
      <c r="C84" s="857">
        <f t="shared" ref="C84:L84" si="61">IFERROR(C13+C12,"")</f>
        <v>0</v>
      </c>
      <c r="D84" s="857">
        <f t="shared" si="61"/>
        <v>0</v>
      </c>
      <c r="E84" s="857">
        <f t="shared" si="61"/>
        <v>0</v>
      </c>
      <c r="F84" s="857">
        <f t="shared" si="61"/>
        <v>0</v>
      </c>
      <c r="G84" s="857">
        <f t="shared" ca="1" si="61"/>
        <v>0</v>
      </c>
      <c r="H84" s="857">
        <f t="shared" si="61"/>
        <v>0</v>
      </c>
      <c r="I84" s="857">
        <f t="shared" si="61"/>
        <v>0</v>
      </c>
      <c r="J84" s="857">
        <f t="shared" si="61"/>
        <v>0</v>
      </c>
      <c r="K84" s="857">
        <f t="shared" si="61"/>
        <v>0</v>
      </c>
      <c r="L84" s="857">
        <f t="shared" si="61"/>
        <v>0</v>
      </c>
      <c r="M84" s="94"/>
      <c r="N84" s="881"/>
      <c r="O84" s="10"/>
      <c r="P84" s="982"/>
      <c r="Q84" s="10"/>
      <c r="R84" s="10"/>
    </row>
    <row r="85" spans="1:25" x14ac:dyDescent="0.2">
      <c r="A85" s="10"/>
      <c r="B85" s="884" t="s">
        <v>274</v>
      </c>
      <c r="C85" s="885">
        <f ca="1">C79+C82</f>
        <v>0</v>
      </c>
      <c r="D85" s="885">
        <f t="shared" ref="D85:L85" ca="1" si="62">D79+D82</f>
        <v>0</v>
      </c>
      <c r="E85" s="885">
        <f t="shared" ca="1" si="62"/>
        <v>0</v>
      </c>
      <c r="F85" s="885">
        <f t="shared" ca="1" si="62"/>
        <v>0</v>
      </c>
      <c r="G85" s="885">
        <f t="shared" ca="1" si="62"/>
        <v>0</v>
      </c>
      <c r="H85" s="885">
        <f t="shared" si="62"/>
        <v>0</v>
      </c>
      <c r="I85" s="885">
        <f t="shared" si="62"/>
        <v>0</v>
      </c>
      <c r="J85" s="885">
        <f t="shared" si="62"/>
        <v>0</v>
      </c>
      <c r="K85" s="885">
        <f t="shared" si="62"/>
        <v>0</v>
      </c>
      <c r="L85" s="885">
        <f t="shared" si="62"/>
        <v>0</v>
      </c>
      <c r="M85" s="886">
        <f ca="1">SUM(C85:L85)</f>
        <v>0</v>
      </c>
      <c r="N85" s="1007">
        <f>IF(C5=0,0,M85/C5)</f>
        <v>0</v>
      </c>
      <c r="O85" s="10"/>
      <c r="P85" s="10"/>
      <c r="Q85" s="10"/>
      <c r="R85" s="10"/>
    </row>
    <row r="86" spans="1:25" ht="17" thickBot="1" x14ac:dyDescent="0.25">
      <c r="B86" s="1069" t="str">
        <f>B16</f>
        <v>Average Annual Return</v>
      </c>
      <c r="C86" s="1070"/>
      <c r="D86" s="1070"/>
      <c r="E86" s="1070"/>
      <c r="F86" s="1070"/>
      <c r="G86" s="1070"/>
      <c r="H86" s="1070"/>
      <c r="I86" s="1070"/>
      <c r="J86" s="1070"/>
      <c r="K86" s="1070"/>
      <c r="L86" s="1070"/>
      <c r="M86" s="1070"/>
      <c r="N86" s="1071">
        <f ca="1">OFFSET(C83,0,year_sale-1)</f>
        <v>0</v>
      </c>
    </row>
    <row r="87" spans="1:25" ht="17" thickBot="1" x14ac:dyDescent="0.25">
      <c r="B87" s="1069" t="s">
        <v>9</v>
      </c>
      <c r="C87" s="1070"/>
      <c r="D87" s="1070"/>
      <c r="E87" s="1070"/>
      <c r="F87" s="1070"/>
      <c r="G87" s="1070"/>
      <c r="H87" s="1070"/>
      <c r="I87" s="1070"/>
      <c r="J87" s="1070"/>
      <c r="K87" s="1070"/>
      <c r="L87" s="1070"/>
      <c r="M87" s="1070"/>
      <c r="N87" s="1071">
        <f>IRR!J115</f>
        <v>0</v>
      </c>
    </row>
    <row r="88" spans="1:25" ht="17" thickBot="1" x14ac:dyDescent="0.25">
      <c r="B88" s="1069" t="str">
        <f>B18</f>
        <v>Cash-on-Cash Return</v>
      </c>
      <c r="C88" s="1072"/>
      <c r="D88" s="1070"/>
      <c r="E88" s="1070"/>
      <c r="F88" s="1070"/>
      <c r="G88" s="1070"/>
      <c r="H88" s="1070"/>
      <c r="I88" s="1070"/>
      <c r="J88" s="1070"/>
      <c r="K88" s="1070"/>
      <c r="L88" s="1070"/>
      <c r="M88" s="1070"/>
      <c r="N88" s="1073">
        <f>IFERROR(AVERAGEIF(C4:L4,"&lt;=" &amp; year_sale,C80:L80),0)</f>
        <v>0</v>
      </c>
      <c r="O88" s="357"/>
    </row>
    <row r="89" spans="1:25" ht="17" thickBot="1" x14ac:dyDescent="0.25">
      <c r="B89" s="1055" t="s">
        <v>620</v>
      </c>
      <c r="C89" s="1056"/>
      <c r="D89" s="1057"/>
      <c r="E89" s="1057"/>
      <c r="F89" s="1057"/>
      <c r="G89" s="1057"/>
      <c r="H89" s="1057"/>
      <c r="I89" s="1057"/>
      <c r="J89" s="1057"/>
      <c r="K89" s="1057"/>
      <c r="L89" s="1057"/>
      <c r="M89" s="1057"/>
      <c r="N89" s="1074">
        <f>IF(C5=0,0,SUM(C84:L85)/C5)</f>
        <v>0</v>
      </c>
      <c r="O89" s="357"/>
    </row>
    <row r="90" spans="1:25" ht="17" thickBot="1" x14ac:dyDescent="0.25"/>
    <row r="91" spans="1:25" x14ac:dyDescent="0.2">
      <c r="B91" s="775" t="s">
        <v>196</v>
      </c>
      <c r="C91" s="315">
        <v>1</v>
      </c>
      <c r="D91" s="315">
        <f>C91+1</f>
        <v>2</v>
      </c>
      <c r="E91" s="315">
        <f t="shared" ref="E91:L91" si="63">D91+1</f>
        <v>3</v>
      </c>
      <c r="F91" s="315">
        <f t="shared" si="63"/>
        <v>4</v>
      </c>
      <c r="G91" s="315">
        <f t="shared" si="63"/>
        <v>5</v>
      </c>
      <c r="H91" s="315">
        <f t="shared" si="63"/>
        <v>6</v>
      </c>
      <c r="I91" s="315">
        <f t="shared" si="63"/>
        <v>7</v>
      </c>
      <c r="J91" s="315">
        <f t="shared" si="63"/>
        <v>8</v>
      </c>
      <c r="K91" s="315">
        <f t="shared" si="63"/>
        <v>9</v>
      </c>
      <c r="L91" s="315">
        <f t="shared" si="63"/>
        <v>10</v>
      </c>
      <c r="M91" s="315" t="s">
        <v>74</v>
      </c>
      <c r="N91" s="319" t="s">
        <v>73</v>
      </c>
    </row>
    <row r="92" spans="1:25" x14ac:dyDescent="0.2">
      <c r="B92" s="579" t="s">
        <v>167</v>
      </c>
      <c r="C92" s="878">
        <v>100000</v>
      </c>
      <c r="D92" s="857">
        <f t="shared" ref="D92:L92" si="64">IF(D91&lt;=year_sale,C100,0)</f>
        <v>100000</v>
      </c>
      <c r="E92" s="857">
        <f t="shared" si="64"/>
        <v>100000</v>
      </c>
      <c r="F92" s="857">
        <f t="shared" si="64"/>
        <v>100000</v>
      </c>
      <c r="G92" s="857">
        <f t="shared" si="64"/>
        <v>100000</v>
      </c>
      <c r="H92" s="857">
        <f t="shared" si="64"/>
        <v>0</v>
      </c>
      <c r="I92" s="857">
        <f t="shared" si="64"/>
        <v>0</v>
      </c>
      <c r="J92" s="857">
        <f t="shared" si="64"/>
        <v>0</v>
      </c>
      <c r="K92" s="857">
        <f t="shared" si="64"/>
        <v>0</v>
      </c>
      <c r="L92" s="857">
        <f t="shared" si="64"/>
        <v>0</v>
      </c>
      <c r="M92" s="857"/>
      <c r="N92" s="879"/>
    </row>
    <row r="93" spans="1:25" x14ac:dyDescent="0.2">
      <c r="B93" s="579" t="s">
        <v>195</v>
      </c>
      <c r="C93" s="880" t="str">
        <f t="shared" ref="C93:L93" si="65">IFERROR($C$92/$C$5,"")</f>
        <v/>
      </c>
      <c r="D93" s="880" t="str">
        <f t="shared" si="65"/>
        <v/>
      </c>
      <c r="E93" s="880" t="str">
        <f t="shared" si="65"/>
        <v/>
      </c>
      <c r="F93" s="880" t="str">
        <f t="shared" si="65"/>
        <v/>
      </c>
      <c r="G93" s="880" t="str">
        <f t="shared" si="65"/>
        <v/>
      </c>
      <c r="H93" s="880" t="str">
        <f t="shared" si="65"/>
        <v/>
      </c>
      <c r="I93" s="880" t="str">
        <f t="shared" si="65"/>
        <v/>
      </c>
      <c r="J93" s="880" t="str">
        <f t="shared" si="65"/>
        <v/>
      </c>
      <c r="K93" s="880" t="str">
        <f t="shared" si="65"/>
        <v/>
      </c>
      <c r="L93" s="880" t="str">
        <f t="shared" si="65"/>
        <v/>
      </c>
      <c r="M93" s="451"/>
      <c r="N93" s="881"/>
      <c r="P93" s="364"/>
    </row>
    <row r="94" spans="1:25" ht="17" x14ac:dyDescent="0.2">
      <c r="B94" s="579" t="s">
        <v>71</v>
      </c>
      <c r="C94" s="859" t="str">
        <f t="shared" ref="C94:L94" ca="1" si="66">IFERROR($C$93*C6,"")</f>
        <v/>
      </c>
      <c r="D94" s="859" t="str">
        <f t="shared" ca="1" si="66"/>
        <v/>
      </c>
      <c r="E94" s="859" t="str">
        <f t="shared" ca="1" si="66"/>
        <v/>
      </c>
      <c r="F94" s="859" t="str">
        <f t="shared" ca="1" si="66"/>
        <v/>
      </c>
      <c r="G94" s="859" t="str">
        <f t="shared" ca="1" si="66"/>
        <v/>
      </c>
      <c r="H94" s="859" t="str">
        <f t="shared" si="66"/>
        <v/>
      </c>
      <c r="I94" s="859" t="str">
        <f t="shared" si="66"/>
        <v/>
      </c>
      <c r="J94" s="859" t="str">
        <f t="shared" si="66"/>
        <v/>
      </c>
      <c r="K94" s="859" t="str">
        <f t="shared" si="66"/>
        <v/>
      </c>
      <c r="L94" s="859" t="str">
        <f t="shared" si="66"/>
        <v/>
      </c>
      <c r="M94" s="857">
        <f ca="1">SUM(C94:L94)</f>
        <v>0</v>
      </c>
      <c r="N94" s="879"/>
      <c r="Y94" s="56"/>
    </row>
    <row r="95" spans="1:25" x14ac:dyDescent="0.2">
      <c r="B95" s="579" t="s">
        <v>657</v>
      </c>
      <c r="C95" s="880" t="str">
        <f t="shared" ref="C95:L95" si="67">C7</f>
        <v>∞</v>
      </c>
      <c r="D95" s="880" t="str">
        <f t="shared" si="67"/>
        <v>∞</v>
      </c>
      <c r="E95" s="880" t="str">
        <f t="shared" si="67"/>
        <v>∞</v>
      </c>
      <c r="F95" s="880" t="str">
        <f t="shared" si="67"/>
        <v>∞</v>
      </c>
      <c r="G95" s="880" t="str">
        <f t="shared" si="67"/>
        <v>∞</v>
      </c>
      <c r="H95" s="880">
        <f t="shared" si="67"/>
        <v>0</v>
      </c>
      <c r="I95" s="880">
        <f t="shared" si="67"/>
        <v>0</v>
      </c>
      <c r="J95" s="880">
        <f t="shared" si="67"/>
        <v>0</v>
      </c>
      <c r="K95" s="880">
        <f t="shared" si="67"/>
        <v>0</v>
      </c>
      <c r="L95" s="880">
        <f t="shared" si="67"/>
        <v>0</v>
      </c>
      <c r="M95" s="451"/>
      <c r="N95" s="881"/>
      <c r="P95" s="364"/>
      <c r="Y95" s="56"/>
    </row>
    <row r="96" spans="1:25" x14ac:dyDescent="0.2">
      <c r="B96" s="862" t="s">
        <v>658</v>
      </c>
      <c r="C96" s="1005" t="str">
        <f t="shared" ref="C96:L96" si="68">C8</f>
        <v>∞</v>
      </c>
      <c r="D96" s="1005" t="str">
        <f t="shared" si="68"/>
        <v>∞</v>
      </c>
      <c r="E96" s="1005" t="str">
        <f t="shared" si="68"/>
        <v>∞</v>
      </c>
      <c r="F96" s="1005" t="str">
        <f t="shared" si="68"/>
        <v>∞</v>
      </c>
      <c r="G96" s="1005" t="str">
        <f t="shared" si="68"/>
        <v>∞</v>
      </c>
      <c r="H96" s="1005">
        <f t="shared" si="68"/>
        <v>0</v>
      </c>
      <c r="I96" s="1005">
        <f t="shared" si="68"/>
        <v>0</v>
      </c>
      <c r="J96" s="1005">
        <f t="shared" si="68"/>
        <v>0</v>
      </c>
      <c r="K96" s="1005">
        <f t="shared" si="68"/>
        <v>0</v>
      </c>
      <c r="L96" s="1005">
        <f t="shared" si="68"/>
        <v>0</v>
      </c>
      <c r="M96" s="451"/>
      <c r="N96" s="881"/>
      <c r="P96" s="364"/>
      <c r="Y96" s="56"/>
    </row>
    <row r="97" spans="2:20" x14ac:dyDescent="0.2">
      <c r="B97" s="579" t="s">
        <v>587</v>
      </c>
      <c r="C97" s="857">
        <f>IFERROR(IF(C91=year_refi,'Exit Strategy'!$D$27*C93,IF(C91=year_sale,'Exit Strategy'!$H$23*C93,0)),0)</f>
        <v>0</v>
      </c>
      <c r="D97" s="857">
        <f>IFERROR(IF(D91=year_refi,'Exit Strategy'!$D$27*D93,IF(D91=year_sale,'Exit Strategy'!$H$23*D93,0)),0)</f>
        <v>0</v>
      </c>
      <c r="E97" s="857">
        <f>IFERROR(IF(E91=year_refi,'Exit Strategy'!$D$27*E93,IF(E91=year_sale,'Exit Strategy'!$H$23*E93,0)),0)</f>
        <v>0</v>
      </c>
      <c r="F97" s="857">
        <f>IFERROR(IF(F91=year_refi,'Exit Strategy'!$D$27*F93,IF(F91=year_sale,'Exit Strategy'!$H$23*F93,0)),0)</f>
        <v>0</v>
      </c>
      <c r="G97" s="857">
        <f ca="1">IFERROR(IF(G91=year_refi,'Exit Strategy'!$D$27*G93,IF(G91=year_sale,'Exit Strategy'!$H$23*G93,0)),0)</f>
        <v>0</v>
      </c>
      <c r="H97" s="857">
        <f>IFERROR(IF(H91=year_refi,'Exit Strategy'!$D$27*H93,IF(H91=year_sale,'Exit Strategy'!$H$23*H93,0)),0)</f>
        <v>0</v>
      </c>
      <c r="I97" s="857">
        <f>IFERROR(IF(I91=year_refi,'Exit Strategy'!$D$27*I93,IF(I91=year_sale,'Exit Strategy'!$H$23*I93,0)),0)</f>
        <v>0</v>
      </c>
      <c r="J97" s="857">
        <f>IFERROR(IF(J91=year_refi,'Exit Strategy'!$D$27*J93,IF(J91=year_sale,'Exit Strategy'!$H$23*J93,0)),0)</f>
        <v>0</v>
      </c>
      <c r="K97" s="857">
        <f>IFERROR(IF(K91=year_refi,'Exit Strategy'!$D$27*K93,IF(K91=year_sale,'Exit Strategy'!$H$23*K93,0)),0)</f>
        <v>0</v>
      </c>
      <c r="L97" s="857">
        <f>IFERROR(IF(L91=year_refi,'Exit Strategy'!$D$27*L93,IF(L91=year_sale,'Exit Strategy'!$H$23*L93,0)),0)</f>
        <v>0</v>
      </c>
      <c r="M97" s="857">
        <f ca="1">SUM(C97:L97)</f>
        <v>0</v>
      </c>
      <c r="N97" s="881"/>
      <c r="P97" s="365"/>
    </row>
    <row r="98" spans="2:20" x14ac:dyDescent="0.2">
      <c r="B98" s="862" t="s">
        <v>158</v>
      </c>
      <c r="C98" s="1005">
        <f t="shared" ref="C98:L98" ca="1" si="69">C11</f>
        <v>0</v>
      </c>
      <c r="D98" s="1005">
        <f t="shared" ca="1" si="69"/>
        <v>0</v>
      </c>
      <c r="E98" s="1005">
        <f t="shared" ca="1" si="69"/>
        <v>0</v>
      </c>
      <c r="F98" s="1005">
        <f t="shared" ca="1" si="69"/>
        <v>0</v>
      </c>
      <c r="G98" s="1005">
        <f t="shared" ca="1" si="69"/>
        <v>0</v>
      </c>
      <c r="H98" s="1005">
        <f t="shared" si="69"/>
        <v>0</v>
      </c>
      <c r="I98" s="1005">
        <f t="shared" si="69"/>
        <v>0</v>
      </c>
      <c r="J98" s="1005">
        <f t="shared" si="69"/>
        <v>0</v>
      </c>
      <c r="K98" s="1005">
        <f t="shared" si="69"/>
        <v>0</v>
      </c>
      <c r="L98" s="1005">
        <f t="shared" si="69"/>
        <v>0</v>
      </c>
      <c r="M98" s="860"/>
      <c r="N98" s="881"/>
      <c r="P98" s="365"/>
    </row>
    <row r="99" spans="2:20" x14ac:dyDescent="0.2">
      <c r="B99" s="579" t="s">
        <v>59</v>
      </c>
      <c r="C99" s="857">
        <f t="shared" ref="C99:L99" si="70">IFERROR(C84*C93,0)</f>
        <v>0</v>
      </c>
      <c r="D99" s="857">
        <f t="shared" si="70"/>
        <v>0</v>
      </c>
      <c r="E99" s="857">
        <f t="shared" si="70"/>
        <v>0</v>
      </c>
      <c r="F99" s="857">
        <f t="shared" si="70"/>
        <v>0</v>
      </c>
      <c r="G99" s="857">
        <f t="shared" ca="1" si="70"/>
        <v>0</v>
      </c>
      <c r="H99" s="857">
        <f t="shared" si="70"/>
        <v>0</v>
      </c>
      <c r="I99" s="857">
        <f t="shared" si="70"/>
        <v>0</v>
      </c>
      <c r="J99" s="857">
        <f t="shared" si="70"/>
        <v>0</v>
      </c>
      <c r="K99" s="857">
        <f t="shared" si="70"/>
        <v>0</v>
      </c>
      <c r="L99" s="857">
        <f t="shared" si="70"/>
        <v>0</v>
      </c>
      <c r="M99" s="94"/>
      <c r="N99" s="881"/>
      <c r="P99" s="365"/>
    </row>
    <row r="100" spans="2:20" x14ac:dyDescent="0.2">
      <c r="B100" s="579" t="s">
        <v>168</v>
      </c>
      <c r="C100" s="857">
        <f>IFERROR(C92-C99,"")</f>
        <v>100000</v>
      </c>
      <c r="D100" s="857">
        <f t="shared" ref="D100:L100" si="71">IFERROR(D92-D99,"")</f>
        <v>100000</v>
      </c>
      <c r="E100" s="857">
        <f t="shared" si="71"/>
        <v>100000</v>
      </c>
      <c r="F100" s="857">
        <f t="shared" si="71"/>
        <v>100000</v>
      </c>
      <c r="G100" s="857">
        <f t="shared" ca="1" si="71"/>
        <v>100000</v>
      </c>
      <c r="H100" s="857">
        <f t="shared" si="71"/>
        <v>0</v>
      </c>
      <c r="I100" s="857">
        <f t="shared" si="71"/>
        <v>0</v>
      </c>
      <c r="J100" s="857">
        <f t="shared" si="71"/>
        <v>0</v>
      </c>
      <c r="K100" s="857">
        <f t="shared" si="71"/>
        <v>0</v>
      </c>
      <c r="L100" s="857">
        <f t="shared" si="71"/>
        <v>0</v>
      </c>
      <c r="M100" s="94"/>
      <c r="N100" s="881"/>
      <c r="P100" s="365"/>
    </row>
    <row r="101" spans="2:20" x14ac:dyDescent="0.2">
      <c r="B101" s="884" t="s">
        <v>72</v>
      </c>
      <c r="C101" s="885" t="str">
        <f ca="1">IFERROR(C94+C97,"")</f>
        <v/>
      </c>
      <c r="D101" s="885" t="str">
        <f t="shared" ref="D101:L101" ca="1" si="72">IFERROR(D94+D97,"")</f>
        <v/>
      </c>
      <c r="E101" s="885" t="str">
        <f t="shared" ca="1" si="72"/>
        <v/>
      </c>
      <c r="F101" s="885" t="str">
        <f t="shared" ca="1" si="72"/>
        <v/>
      </c>
      <c r="G101" s="885" t="str">
        <f t="shared" ca="1" si="72"/>
        <v/>
      </c>
      <c r="H101" s="885" t="str">
        <f t="shared" si="72"/>
        <v/>
      </c>
      <c r="I101" s="885" t="str">
        <f t="shared" si="72"/>
        <v/>
      </c>
      <c r="J101" s="885" t="str">
        <f t="shared" si="72"/>
        <v/>
      </c>
      <c r="K101" s="885" t="str">
        <f t="shared" si="72"/>
        <v/>
      </c>
      <c r="L101" s="885" t="str">
        <f t="shared" si="72"/>
        <v/>
      </c>
      <c r="M101" s="886">
        <f ca="1">SUM(C101:L101)</f>
        <v>0</v>
      </c>
      <c r="N101" s="1007">
        <f ca="1">IF(C92=0,0,M101/C92)</f>
        <v>0</v>
      </c>
    </row>
    <row r="102" spans="2:20" ht="17" thickBot="1" x14ac:dyDescent="0.25">
      <c r="B102" s="1069" t="str">
        <f>B86</f>
        <v>Average Annual Return</v>
      </c>
      <c r="C102" s="1070"/>
      <c r="D102" s="1070"/>
      <c r="E102" s="1070"/>
      <c r="F102" s="1070"/>
      <c r="G102" s="1070"/>
      <c r="H102" s="1070"/>
      <c r="I102" s="1070"/>
      <c r="J102" s="1070"/>
      <c r="K102" s="1070"/>
      <c r="L102" s="1070"/>
      <c r="M102" s="1070"/>
      <c r="N102" s="1071">
        <f ca="1">OFFSET(C98,0,year_sale-1)</f>
        <v>0</v>
      </c>
      <c r="P102" s="366"/>
    </row>
    <row r="103" spans="2:20" ht="17" thickBot="1" x14ac:dyDescent="0.25">
      <c r="B103" s="1069" t="s">
        <v>9</v>
      </c>
      <c r="C103" s="1070"/>
      <c r="D103" s="1070"/>
      <c r="E103" s="1070"/>
      <c r="F103" s="1070"/>
      <c r="G103" s="1070"/>
      <c r="H103" s="1070"/>
      <c r="I103" s="1070"/>
      <c r="J103" s="1070"/>
      <c r="K103" s="1070"/>
      <c r="L103" s="1070"/>
      <c r="M103" s="1070"/>
      <c r="N103" s="1071">
        <f>IRR!$J$58</f>
        <v>0</v>
      </c>
    </row>
    <row r="104" spans="2:20" ht="17" thickBot="1" x14ac:dyDescent="0.25">
      <c r="B104" s="1069" t="str">
        <f>B88</f>
        <v>Cash-on-Cash Return</v>
      </c>
      <c r="C104" s="1072"/>
      <c r="D104" s="1070"/>
      <c r="E104" s="1070"/>
      <c r="F104" s="1070"/>
      <c r="G104" s="1070"/>
      <c r="H104" s="1070"/>
      <c r="I104" s="1070"/>
      <c r="J104" s="1070"/>
      <c r="K104" s="1070"/>
      <c r="L104" s="1070"/>
      <c r="M104" s="1070"/>
      <c r="N104" s="1073">
        <f>N18</f>
        <v>0</v>
      </c>
      <c r="O104" s="357"/>
    </row>
    <row r="105" spans="2:20" ht="17" thickBot="1" x14ac:dyDescent="0.25">
      <c r="B105" s="1055" t="s">
        <v>620</v>
      </c>
      <c r="C105" s="1056"/>
      <c r="D105" s="1057"/>
      <c r="E105" s="1057"/>
      <c r="F105" s="1057"/>
      <c r="G105" s="1057"/>
      <c r="H105" s="1057"/>
      <c r="I105" s="1057"/>
      <c r="J105" s="1057"/>
      <c r="K105" s="1057"/>
      <c r="L105" s="1057"/>
      <c r="M105" s="1057"/>
      <c r="N105" s="1074">
        <f>N19</f>
        <v>0</v>
      </c>
      <c r="O105" s="357"/>
    </row>
    <row r="106" spans="2:20" ht="17" thickBot="1" x14ac:dyDescent="0.25">
      <c r="E106" s="365"/>
      <c r="F106" s="365"/>
      <c r="G106" s="365"/>
    </row>
    <row r="107" spans="2:20" ht="18" thickBot="1" x14ac:dyDescent="0.25">
      <c r="B107" s="856" t="s">
        <v>201</v>
      </c>
      <c r="F107" s="52"/>
    </row>
    <row r="108" spans="2:20" s="970" customFormat="1" ht="17" x14ac:dyDescent="0.2">
      <c r="B108" s="971" t="s">
        <v>471</v>
      </c>
      <c r="C108" s="972" t="s">
        <v>231</v>
      </c>
      <c r="D108" s="972" t="s">
        <v>198</v>
      </c>
      <c r="E108" s="972" t="s">
        <v>232</v>
      </c>
      <c r="F108" s="972" t="s">
        <v>197</v>
      </c>
      <c r="G108" s="973"/>
      <c r="H108" s="973"/>
      <c r="I108" s="973"/>
      <c r="J108" s="973"/>
      <c r="K108" s="973"/>
      <c r="L108" s="973"/>
      <c r="M108" s="973"/>
      <c r="N108" s="974"/>
      <c r="T108" s="1004"/>
    </row>
    <row r="109" spans="2:20" ht="17" x14ac:dyDescent="0.2">
      <c r="B109" s="894" t="s">
        <v>233</v>
      </c>
      <c r="C109" s="375">
        <v>0.2</v>
      </c>
      <c r="D109" s="895"/>
      <c r="E109" s="895"/>
      <c r="F109" s="896"/>
      <c r="G109" s="897"/>
      <c r="H109" s="897"/>
      <c r="I109" s="897"/>
      <c r="J109" s="897"/>
      <c r="K109" s="897"/>
      <c r="L109" s="897"/>
      <c r="M109" s="897"/>
      <c r="N109" s="898"/>
    </row>
    <row r="110" spans="2:20" ht="17" x14ac:dyDescent="0.2">
      <c r="B110" s="370" t="s">
        <v>397</v>
      </c>
      <c r="D110" s="371">
        <v>0.5</v>
      </c>
      <c r="E110" s="372">
        <f t="shared" ref="E110:E112" si="73">D110*$C$109</f>
        <v>0.1</v>
      </c>
      <c r="F110" s="129"/>
      <c r="G110" s="52"/>
      <c r="H110" s="52"/>
      <c r="I110" s="52"/>
      <c r="J110" s="52"/>
      <c r="N110" s="251"/>
    </row>
    <row r="111" spans="2:20" ht="17" x14ac:dyDescent="0.2">
      <c r="B111" s="370" t="s">
        <v>398</v>
      </c>
      <c r="D111" s="371">
        <v>0.5</v>
      </c>
      <c r="E111" s="372">
        <f t="shared" si="73"/>
        <v>0.1</v>
      </c>
      <c r="F111" s="129"/>
      <c r="G111" s="52"/>
      <c r="H111" s="52"/>
      <c r="I111" s="52"/>
      <c r="J111" s="52"/>
      <c r="N111" s="251"/>
    </row>
    <row r="112" spans="2:20" ht="17" x14ac:dyDescent="0.2">
      <c r="B112" s="370" t="s">
        <v>239</v>
      </c>
      <c r="D112" s="371">
        <v>0</v>
      </c>
      <c r="E112" s="372">
        <f t="shared" si="73"/>
        <v>0</v>
      </c>
      <c r="F112" s="129"/>
      <c r="G112" s="52"/>
      <c r="H112" s="52"/>
      <c r="I112" s="52"/>
      <c r="J112" s="52"/>
      <c r="N112" s="251"/>
    </row>
    <row r="113" spans="2:14" ht="17" collapsed="1" x14ac:dyDescent="0.2">
      <c r="B113" s="370" t="s">
        <v>240</v>
      </c>
      <c r="D113" s="371">
        <v>0</v>
      </c>
      <c r="E113" s="372">
        <f>D113*$C$109</f>
        <v>0</v>
      </c>
      <c r="F113" s="129"/>
      <c r="G113" s="52"/>
      <c r="H113" s="52"/>
      <c r="I113" s="52"/>
      <c r="J113" s="52"/>
      <c r="N113" s="251"/>
    </row>
    <row r="114" spans="2:14" ht="17" hidden="1" outlineLevel="1" x14ac:dyDescent="0.2">
      <c r="B114" s="370" t="s">
        <v>373</v>
      </c>
      <c r="D114" s="371">
        <v>0</v>
      </c>
      <c r="E114" s="372">
        <f t="shared" ref="E114:E117" si="74">D114*$C$109</f>
        <v>0</v>
      </c>
      <c r="F114" s="129"/>
      <c r="G114" s="52"/>
      <c r="H114" s="52"/>
      <c r="I114" s="52"/>
      <c r="J114" s="52"/>
      <c r="N114" s="251"/>
    </row>
    <row r="115" spans="2:14" ht="17" hidden="1" outlineLevel="1" x14ac:dyDescent="0.2">
      <c r="B115" s="370" t="s">
        <v>374</v>
      </c>
      <c r="D115" s="371">
        <v>0</v>
      </c>
      <c r="E115" s="372">
        <f t="shared" si="74"/>
        <v>0</v>
      </c>
      <c r="F115" s="129"/>
      <c r="G115" s="52"/>
      <c r="H115" s="52"/>
      <c r="I115" s="52"/>
      <c r="J115" s="52"/>
      <c r="N115" s="251"/>
    </row>
    <row r="116" spans="2:14" ht="17" hidden="1" outlineLevel="1" x14ac:dyDescent="0.2">
      <c r="B116" s="370" t="s">
        <v>375</v>
      </c>
      <c r="D116" s="371">
        <v>0</v>
      </c>
      <c r="E116" s="372">
        <f t="shared" si="74"/>
        <v>0</v>
      </c>
      <c r="F116" s="129"/>
      <c r="G116" s="52"/>
      <c r="H116" s="52"/>
      <c r="I116" s="52"/>
      <c r="J116" s="52"/>
      <c r="N116" s="251"/>
    </row>
    <row r="117" spans="2:14" ht="17" hidden="1" outlineLevel="1" x14ac:dyDescent="0.2">
      <c r="B117" s="370" t="s">
        <v>376</v>
      </c>
      <c r="D117" s="371">
        <v>0</v>
      </c>
      <c r="E117" s="372">
        <f t="shared" si="74"/>
        <v>0</v>
      </c>
      <c r="F117" s="129"/>
      <c r="G117" s="52"/>
      <c r="H117" s="52"/>
      <c r="I117" s="52"/>
      <c r="J117" s="52"/>
      <c r="N117" s="251"/>
    </row>
    <row r="118" spans="2:14" ht="17" x14ac:dyDescent="0.2">
      <c r="B118" s="373" t="s">
        <v>234</v>
      </c>
      <c r="D118" s="374">
        <f>SUM(D110:D117)</f>
        <v>1</v>
      </c>
      <c r="E118" s="372"/>
      <c r="F118" s="129"/>
      <c r="G118" s="52"/>
      <c r="H118" s="52"/>
      <c r="I118" s="52"/>
      <c r="J118" s="52"/>
      <c r="N118" s="251"/>
    </row>
    <row r="119" spans="2:14" ht="17" x14ac:dyDescent="0.2">
      <c r="B119" s="887" t="s">
        <v>235</v>
      </c>
      <c r="C119" s="375">
        <v>0.15</v>
      </c>
      <c r="D119" s="376"/>
      <c r="E119" s="377"/>
      <c r="F119" s="378"/>
      <c r="G119" s="379"/>
      <c r="H119" s="379"/>
      <c r="I119" s="379"/>
      <c r="J119" s="379"/>
      <c r="K119" s="379"/>
      <c r="L119" s="379"/>
      <c r="M119" s="379"/>
      <c r="N119" s="888"/>
    </row>
    <row r="120" spans="2:14" ht="17" x14ac:dyDescent="0.2">
      <c r="B120" s="380" t="str">
        <f>B110</f>
        <v>Partner 1</v>
      </c>
      <c r="D120" s="371">
        <v>0.5</v>
      </c>
      <c r="E120" s="372">
        <f t="shared" ref="E120:E122" si="75">D120*$C$119</f>
        <v>7.4999999999999997E-2</v>
      </c>
      <c r="F120" s="129"/>
      <c r="G120" s="52"/>
      <c r="H120" s="52"/>
      <c r="I120" s="52"/>
      <c r="J120" s="52"/>
      <c r="N120" s="251"/>
    </row>
    <row r="121" spans="2:14" ht="17" x14ac:dyDescent="0.2">
      <c r="B121" s="380" t="str">
        <f>B111</f>
        <v>Partner 2</v>
      </c>
      <c r="D121" s="371">
        <v>0.5</v>
      </c>
      <c r="E121" s="372">
        <f t="shared" si="75"/>
        <v>7.4999999999999997E-2</v>
      </c>
      <c r="F121" s="129"/>
      <c r="G121" s="52"/>
      <c r="H121" s="52"/>
      <c r="I121" s="52"/>
      <c r="J121" s="52"/>
      <c r="N121" s="251"/>
    </row>
    <row r="122" spans="2:14" ht="17" x14ac:dyDescent="0.2">
      <c r="B122" s="380" t="str">
        <f>B112</f>
        <v>Partner 3</v>
      </c>
      <c r="D122" s="371">
        <v>0</v>
      </c>
      <c r="E122" s="372">
        <f t="shared" si="75"/>
        <v>0</v>
      </c>
      <c r="F122" s="129"/>
      <c r="G122" s="52"/>
      <c r="H122" s="52"/>
      <c r="I122" s="52"/>
      <c r="J122" s="52"/>
      <c r="N122" s="251"/>
    </row>
    <row r="123" spans="2:14" ht="17" collapsed="1" x14ac:dyDescent="0.2">
      <c r="B123" s="380" t="str">
        <f>B113</f>
        <v>Partner 4</v>
      </c>
      <c r="D123" s="371">
        <v>0</v>
      </c>
      <c r="E123" s="372">
        <f>D123*$C$119</f>
        <v>0</v>
      </c>
      <c r="F123" s="129"/>
      <c r="G123" s="52"/>
      <c r="H123" s="52"/>
      <c r="I123" s="52"/>
      <c r="J123" s="52"/>
      <c r="N123" s="251"/>
    </row>
    <row r="124" spans="2:14" ht="17" hidden="1" outlineLevel="1" x14ac:dyDescent="0.2">
      <c r="B124" s="380" t="str">
        <f t="shared" ref="B124:B127" si="76">B114</f>
        <v>Partner 5</v>
      </c>
      <c r="D124" s="371">
        <v>0</v>
      </c>
      <c r="E124" s="372">
        <f t="shared" ref="E124:E127" si="77">D124*$C$119</f>
        <v>0</v>
      </c>
      <c r="F124" s="129"/>
      <c r="G124" s="52"/>
      <c r="H124" s="52"/>
      <c r="I124" s="52"/>
      <c r="J124" s="52"/>
      <c r="N124" s="251"/>
    </row>
    <row r="125" spans="2:14" ht="17" hidden="1" outlineLevel="1" x14ac:dyDescent="0.2">
      <c r="B125" s="380" t="str">
        <f t="shared" si="76"/>
        <v>Partner 6</v>
      </c>
      <c r="D125" s="371">
        <v>0</v>
      </c>
      <c r="E125" s="372">
        <f t="shared" si="77"/>
        <v>0</v>
      </c>
      <c r="F125" s="129"/>
      <c r="G125" s="52"/>
      <c r="H125" s="52"/>
      <c r="I125" s="52"/>
      <c r="J125" s="52"/>
      <c r="N125" s="251"/>
    </row>
    <row r="126" spans="2:14" ht="17" hidden="1" outlineLevel="1" x14ac:dyDescent="0.2">
      <c r="B126" s="380" t="str">
        <f t="shared" si="76"/>
        <v>Partner 7</v>
      </c>
      <c r="D126" s="371">
        <v>0</v>
      </c>
      <c r="E126" s="372">
        <f t="shared" si="77"/>
        <v>0</v>
      </c>
      <c r="F126" s="129"/>
      <c r="G126" s="52"/>
      <c r="H126" s="52"/>
      <c r="I126" s="52"/>
      <c r="J126" s="52"/>
      <c r="N126" s="251"/>
    </row>
    <row r="127" spans="2:14" ht="17" hidden="1" outlineLevel="1" x14ac:dyDescent="0.2">
      <c r="B127" s="380" t="str">
        <f t="shared" si="76"/>
        <v>Partner 8</v>
      </c>
      <c r="D127" s="371">
        <v>0</v>
      </c>
      <c r="E127" s="372">
        <f t="shared" si="77"/>
        <v>0</v>
      </c>
      <c r="F127" s="129"/>
      <c r="G127" s="52"/>
      <c r="H127" s="52"/>
      <c r="I127" s="52"/>
      <c r="J127" s="52"/>
      <c r="N127" s="251"/>
    </row>
    <row r="128" spans="2:14" ht="17" x14ac:dyDescent="0.2">
      <c r="B128" s="373" t="s">
        <v>234</v>
      </c>
      <c r="D128" s="374">
        <f>SUM(D120:D127)</f>
        <v>1</v>
      </c>
      <c r="E128" s="372"/>
      <c r="F128" s="129"/>
      <c r="G128" s="52"/>
      <c r="H128" s="52"/>
      <c r="I128" s="52"/>
      <c r="J128" s="52"/>
      <c r="N128" s="251"/>
    </row>
    <row r="129" spans="2:14" ht="17" x14ac:dyDescent="0.2">
      <c r="B129" s="887" t="s">
        <v>469</v>
      </c>
      <c r="C129" s="375">
        <v>0.3</v>
      </c>
      <c r="D129" s="376"/>
      <c r="E129" s="377"/>
      <c r="F129" s="381" t="s">
        <v>453</v>
      </c>
      <c r="G129" s="379"/>
      <c r="H129" s="379"/>
      <c r="I129" s="379"/>
      <c r="J129" s="379"/>
      <c r="K129" s="379"/>
      <c r="L129" s="379"/>
      <c r="M129" s="379"/>
      <c r="N129" s="888"/>
    </row>
    <row r="130" spans="2:14" ht="17" x14ac:dyDescent="0.2">
      <c r="B130" s="380" t="str">
        <f>B120</f>
        <v>Partner 1</v>
      </c>
      <c r="D130" s="382">
        <f>IF($F$138=0,0,F130/$F$138)</f>
        <v>0</v>
      </c>
      <c r="E130" s="372">
        <f t="shared" ref="E130:E132" si="78">D130*$C$129</f>
        <v>0</v>
      </c>
      <c r="F130" s="383">
        <f>F138-SUM(F131:F137)</f>
        <v>0</v>
      </c>
      <c r="G130" s="52"/>
      <c r="H130" s="52"/>
      <c r="I130" s="52"/>
      <c r="J130" s="52"/>
      <c r="N130" s="251"/>
    </row>
    <row r="131" spans="2:14" ht="17" x14ac:dyDescent="0.2">
      <c r="B131" s="380" t="str">
        <f>B121</f>
        <v>Partner 2</v>
      </c>
      <c r="D131" s="382">
        <f t="shared" ref="D131:D137" si="79">IF($F$138=0,0,F131/$F$138)</f>
        <v>0</v>
      </c>
      <c r="E131" s="372">
        <f t="shared" si="78"/>
        <v>0</v>
      </c>
      <c r="F131" s="384">
        <v>0</v>
      </c>
      <c r="G131" s="52"/>
      <c r="H131" s="52"/>
      <c r="I131" s="52"/>
      <c r="J131" s="52"/>
      <c r="N131" s="251"/>
    </row>
    <row r="132" spans="2:14" ht="17" x14ac:dyDescent="0.2">
      <c r="B132" s="380" t="str">
        <f>B122</f>
        <v>Partner 3</v>
      </c>
      <c r="D132" s="382">
        <f t="shared" si="79"/>
        <v>0</v>
      </c>
      <c r="E132" s="372">
        <f t="shared" si="78"/>
        <v>0</v>
      </c>
      <c r="F132" s="384">
        <v>0</v>
      </c>
      <c r="G132" s="52"/>
      <c r="H132" s="52"/>
      <c r="I132" s="52"/>
      <c r="J132" s="52"/>
      <c r="N132" s="251"/>
    </row>
    <row r="133" spans="2:14" ht="17" collapsed="1" x14ac:dyDescent="0.2">
      <c r="B133" s="380" t="str">
        <f>B123</f>
        <v>Partner 4</v>
      </c>
      <c r="D133" s="382">
        <f t="shared" si="79"/>
        <v>0</v>
      </c>
      <c r="E133" s="372">
        <f>D133*$C$129</f>
        <v>0</v>
      </c>
      <c r="F133" s="384">
        <v>0</v>
      </c>
      <c r="G133" s="52"/>
      <c r="H133" s="52"/>
      <c r="I133" s="52"/>
      <c r="J133" s="52"/>
      <c r="N133" s="251"/>
    </row>
    <row r="134" spans="2:14" ht="17" hidden="1" outlineLevel="1" x14ac:dyDescent="0.2">
      <c r="B134" s="380" t="str">
        <f t="shared" ref="B134:B137" si="80">B124</f>
        <v>Partner 5</v>
      </c>
      <c r="D134" s="382">
        <f t="shared" si="79"/>
        <v>0</v>
      </c>
      <c r="E134" s="372">
        <f t="shared" ref="E134:E137" si="81">D134*$C$129</f>
        <v>0</v>
      </c>
      <c r="F134" s="384">
        <v>0</v>
      </c>
      <c r="G134" s="52"/>
      <c r="H134" s="52"/>
      <c r="I134" s="52"/>
      <c r="J134" s="52"/>
      <c r="N134" s="251"/>
    </row>
    <row r="135" spans="2:14" ht="17" hidden="1" outlineLevel="1" x14ac:dyDescent="0.2">
      <c r="B135" s="380" t="str">
        <f t="shared" si="80"/>
        <v>Partner 6</v>
      </c>
      <c r="D135" s="382">
        <f t="shared" si="79"/>
        <v>0</v>
      </c>
      <c r="E135" s="372">
        <f t="shared" si="81"/>
        <v>0</v>
      </c>
      <c r="F135" s="384">
        <v>0</v>
      </c>
      <c r="G135" s="52"/>
      <c r="H135" s="52"/>
      <c r="I135" s="52"/>
      <c r="J135" s="52"/>
      <c r="N135" s="251"/>
    </row>
    <row r="136" spans="2:14" ht="17" hidden="1" outlineLevel="1" x14ac:dyDescent="0.2">
      <c r="B136" s="380" t="str">
        <f t="shared" si="80"/>
        <v>Partner 7</v>
      </c>
      <c r="D136" s="382">
        <f t="shared" si="79"/>
        <v>0</v>
      </c>
      <c r="E136" s="372">
        <f t="shared" si="81"/>
        <v>0</v>
      </c>
      <c r="F136" s="384">
        <v>0</v>
      </c>
      <c r="G136" s="52"/>
      <c r="H136" s="52"/>
      <c r="I136" s="52"/>
      <c r="J136" s="52"/>
      <c r="N136" s="251"/>
    </row>
    <row r="137" spans="2:14" ht="17" hidden="1" outlineLevel="1" x14ac:dyDescent="0.2">
      <c r="B137" s="380" t="str">
        <f t="shared" si="80"/>
        <v>Partner 8</v>
      </c>
      <c r="D137" s="382">
        <f t="shared" si="79"/>
        <v>0</v>
      </c>
      <c r="E137" s="372">
        <f t="shared" si="81"/>
        <v>0</v>
      </c>
      <c r="F137" s="384">
        <v>0</v>
      </c>
      <c r="G137" s="52"/>
      <c r="H137" s="52"/>
      <c r="I137" s="52"/>
      <c r="J137" s="52"/>
      <c r="N137" s="251"/>
    </row>
    <row r="138" spans="2:14" ht="17" x14ac:dyDescent="0.2">
      <c r="B138" s="373" t="s">
        <v>234</v>
      </c>
      <c r="D138" s="374">
        <f>SUM(D130:D137)</f>
        <v>0</v>
      </c>
      <c r="E138" s="372"/>
      <c r="F138" s="385">
        <f>Summary!D22</f>
        <v>0</v>
      </c>
      <c r="G138" s="52"/>
      <c r="H138" s="52"/>
      <c r="I138" s="52"/>
      <c r="J138" s="52"/>
      <c r="N138" s="251"/>
    </row>
    <row r="139" spans="2:14" ht="17" x14ac:dyDescent="0.2">
      <c r="B139" s="887" t="s">
        <v>470</v>
      </c>
      <c r="C139" s="375">
        <v>0.2</v>
      </c>
      <c r="D139" s="386"/>
      <c r="E139" s="377"/>
      <c r="F139" s="378"/>
      <c r="G139" s="379"/>
      <c r="H139" s="379"/>
      <c r="I139" s="379"/>
      <c r="J139" s="379"/>
      <c r="K139" s="379"/>
      <c r="L139" s="379"/>
      <c r="M139" s="379"/>
      <c r="N139" s="888"/>
    </row>
    <row r="140" spans="2:14" ht="17" x14ac:dyDescent="0.2">
      <c r="B140" s="380" t="str">
        <f>B120</f>
        <v>Partner 1</v>
      </c>
      <c r="D140" s="371">
        <v>0.5</v>
      </c>
      <c r="E140" s="372">
        <f>D140*$C$139</f>
        <v>0.1</v>
      </c>
      <c r="F140" s="129"/>
      <c r="G140" s="52"/>
      <c r="H140" s="52"/>
      <c r="I140" s="52"/>
      <c r="J140" s="52"/>
      <c r="N140" s="251"/>
    </row>
    <row r="141" spans="2:14" ht="17" x14ac:dyDescent="0.2">
      <c r="B141" s="380" t="str">
        <f>B121</f>
        <v>Partner 2</v>
      </c>
      <c r="D141" s="371">
        <v>0.5</v>
      </c>
      <c r="E141" s="372">
        <f t="shared" ref="E141:E147" si="82">D141*$C$139</f>
        <v>0.1</v>
      </c>
      <c r="F141" s="129"/>
      <c r="G141" s="52"/>
      <c r="H141" s="52"/>
      <c r="I141" s="1075" t="s">
        <v>624</v>
      </c>
      <c r="J141" s="1076"/>
      <c r="K141" s="1077"/>
      <c r="L141" s="1077">
        <f>Summary!D10</f>
        <v>0</v>
      </c>
      <c r="N141" s="251"/>
    </row>
    <row r="142" spans="2:14" ht="17" x14ac:dyDescent="0.2">
      <c r="B142" s="380" t="str">
        <f>B122</f>
        <v>Partner 3</v>
      </c>
      <c r="D142" s="371">
        <v>0</v>
      </c>
      <c r="E142" s="372">
        <f t="shared" si="82"/>
        <v>0</v>
      </c>
      <c r="F142" s="129"/>
      <c r="G142" s="52"/>
      <c r="H142" s="52"/>
      <c r="I142" s="1075" t="s">
        <v>623</v>
      </c>
      <c r="J142" s="1076"/>
      <c r="K142" s="1077"/>
      <c r="L142" s="1077">
        <f>L141*0.1</f>
        <v>0</v>
      </c>
      <c r="N142" s="251"/>
    </row>
    <row r="143" spans="2:14" ht="17" collapsed="1" x14ac:dyDescent="0.2">
      <c r="B143" s="380" t="str">
        <f>B123</f>
        <v>Partner 4</v>
      </c>
      <c r="D143" s="371">
        <v>0</v>
      </c>
      <c r="E143" s="372">
        <f t="shared" si="82"/>
        <v>0</v>
      </c>
      <c r="F143" s="129"/>
      <c r="G143" s="52"/>
      <c r="H143" s="52"/>
      <c r="I143" s="387"/>
      <c r="J143" s="52"/>
      <c r="N143" s="251"/>
    </row>
    <row r="144" spans="2:14" ht="17" hidden="1" outlineLevel="1" x14ac:dyDescent="0.2">
      <c r="B144" s="380" t="str">
        <f t="shared" ref="B144:B147" si="83">B124</f>
        <v>Partner 5</v>
      </c>
      <c r="D144" s="371">
        <v>0</v>
      </c>
      <c r="E144" s="372">
        <f t="shared" si="82"/>
        <v>0</v>
      </c>
      <c r="F144" s="129"/>
      <c r="G144" s="52"/>
      <c r="H144" s="52"/>
      <c r="I144" s="387"/>
      <c r="J144" s="52"/>
      <c r="N144" s="251"/>
    </row>
    <row r="145" spans="2:14" ht="17" hidden="1" outlineLevel="1" x14ac:dyDescent="0.2">
      <c r="B145" s="380" t="str">
        <f t="shared" si="83"/>
        <v>Partner 6</v>
      </c>
      <c r="D145" s="371">
        <v>0</v>
      </c>
      <c r="E145" s="372">
        <f t="shared" si="82"/>
        <v>0</v>
      </c>
      <c r="F145" s="129"/>
      <c r="G145" s="52"/>
      <c r="H145" s="52"/>
      <c r="I145" s="387"/>
      <c r="J145" s="52"/>
      <c r="N145" s="251"/>
    </row>
    <row r="146" spans="2:14" ht="17" hidden="1" outlineLevel="1" x14ac:dyDescent="0.2">
      <c r="B146" s="380" t="str">
        <f t="shared" si="83"/>
        <v>Partner 7</v>
      </c>
      <c r="D146" s="371">
        <v>0</v>
      </c>
      <c r="E146" s="372">
        <f t="shared" si="82"/>
        <v>0</v>
      </c>
      <c r="F146" s="129"/>
      <c r="G146" s="52"/>
      <c r="H146" s="52"/>
      <c r="I146" s="387"/>
      <c r="J146" s="52"/>
      <c r="N146" s="251"/>
    </row>
    <row r="147" spans="2:14" ht="17" hidden="1" outlineLevel="1" x14ac:dyDescent="0.2">
      <c r="B147" s="380" t="str">
        <f t="shared" si="83"/>
        <v>Partner 8</v>
      </c>
      <c r="D147" s="371">
        <v>0</v>
      </c>
      <c r="E147" s="372">
        <f t="shared" si="82"/>
        <v>0</v>
      </c>
      <c r="F147" s="129"/>
      <c r="G147" s="52"/>
      <c r="H147" s="52"/>
      <c r="I147" s="387"/>
      <c r="J147" s="52"/>
      <c r="N147" s="251"/>
    </row>
    <row r="148" spans="2:14" ht="17" x14ac:dyDescent="0.2">
      <c r="B148" s="373" t="s">
        <v>234</v>
      </c>
      <c r="D148" s="374">
        <f>SUM(D140:D147)</f>
        <v>1</v>
      </c>
      <c r="E148" s="372"/>
      <c r="F148" s="129"/>
      <c r="G148" s="52"/>
      <c r="H148" s="52"/>
      <c r="I148" s="52"/>
      <c r="J148" s="52"/>
      <c r="N148" s="251"/>
    </row>
    <row r="149" spans="2:14" ht="17" x14ac:dyDescent="0.2">
      <c r="B149" s="1078" t="s">
        <v>625</v>
      </c>
      <c r="C149" s="375">
        <v>0.15</v>
      </c>
      <c r="D149" s="386"/>
      <c r="E149" s="377"/>
      <c r="F149" s="378"/>
      <c r="G149" s="379"/>
      <c r="H149" s="379"/>
      <c r="I149" s="379"/>
      <c r="J149" s="379"/>
      <c r="K149" s="379"/>
      <c r="L149" s="379"/>
      <c r="M149" s="379"/>
      <c r="N149" s="888"/>
    </row>
    <row r="150" spans="2:14" ht="17" x14ac:dyDescent="0.2">
      <c r="B150" s="380" t="str">
        <f>B140</f>
        <v>Partner 1</v>
      </c>
      <c r="D150" s="371">
        <v>0.5</v>
      </c>
      <c r="E150" s="372">
        <f t="shared" ref="E150:E152" si="84">D150*$C$149</f>
        <v>7.4999999999999997E-2</v>
      </c>
      <c r="F150" s="129"/>
      <c r="G150" s="52"/>
      <c r="H150" s="52"/>
      <c r="I150" s="52"/>
      <c r="J150" s="52"/>
      <c r="N150" s="251"/>
    </row>
    <row r="151" spans="2:14" ht="17" x14ac:dyDescent="0.2">
      <c r="B151" s="380" t="str">
        <f>B141</f>
        <v>Partner 2</v>
      </c>
      <c r="D151" s="371">
        <v>0.5</v>
      </c>
      <c r="E151" s="372">
        <f t="shared" si="84"/>
        <v>7.4999999999999997E-2</v>
      </c>
      <c r="F151" s="129"/>
      <c r="G151" s="52"/>
      <c r="H151" s="52"/>
      <c r="I151" s="52"/>
      <c r="J151" s="52"/>
      <c r="N151" s="251"/>
    </row>
    <row r="152" spans="2:14" ht="17" x14ac:dyDescent="0.2">
      <c r="B152" s="380" t="str">
        <f>B142</f>
        <v>Partner 3</v>
      </c>
      <c r="D152" s="371">
        <v>0</v>
      </c>
      <c r="E152" s="372">
        <f t="shared" si="84"/>
        <v>0</v>
      </c>
      <c r="F152" s="129"/>
      <c r="G152" s="52"/>
      <c r="H152" s="52"/>
      <c r="I152" s="52"/>
      <c r="J152" s="52"/>
      <c r="N152" s="251"/>
    </row>
    <row r="153" spans="2:14" ht="17" x14ac:dyDescent="0.2">
      <c r="B153" s="380" t="str">
        <f>B143</f>
        <v>Partner 4</v>
      </c>
      <c r="D153" s="371">
        <v>0</v>
      </c>
      <c r="E153" s="372">
        <f>D153*$C$149</f>
        <v>0</v>
      </c>
      <c r="F153" s="129"/>
      <c r="G153" s="52"/>
      <c r="H153" s="52"/>
      <c r="I153" s="52"/>
      <c r="J153" s="52"/>
      <c r="N153" s="251"/>
    </row>
    <row r="154" spans="2:14" ht="17" outlineLevel="1" x14ac:dyDescent="0.2">
      <c r="B154" s="380" t="str">
        <f t="shared" ref="B154:B157" si="85">B144</f>
        <v>Partner 5</v>
      </c>
      <c r="D154" s="371">
        <v>0</v>
      </c>
      <c r="E154" s="372">
        <f t="shared" ref="E154:E157" si="86">D154*$C$149</f>
        <v>0</v>
      </c>
      <c r="F154" s="129"/>
      <c r="G154" s="52"/>
      <c r="H154" s="52"/>
      <c r="I154" s="52"/>
      <c r="J154" s="52"/>
      <c r="N154" s="251"/>
    </row>
    <row r="155" spans="2:14" ht="17" outlineLevel="1" x14ac:dyDescent="0.2">
      <c r="B155" s="380" t="str">
        <f t="shared" si="85"/>
        <v>Partner 6</v>
      </c>
      <c r="D155" s="371">
        <v>0</v>
      </c>
      <c r="E155" s="372">
        <f t="shared" si="86"/>
        <v>0</v>
      </c>
      <c r="F155" s="129"/>
      <c r="G155" s="52"/>
      <c r="H155" s="52"/>
      <c r="I155" s="52"/>
      <c r="J155" s="52"/>
      <c r="N155" s="251"/>
    </row>
    <row r="156" spans="2:14" ht="17" outlineLevel="1" x14ac:dyDescent="0.2">
      <c r="B156" s="380" t="str">
        <f t="shared" si="85"/>
        <v>Partner 7</v>
      </c>
      <c r="D156" s="371">
        <v>0</v>
      </c>
      <c r="E156" s="372">
        <f t="shared" si="86"/>
        <v>0</v>
      </c>
      <c r="F156" s="129"/>
      <c r="G156" s="52"/>
      <c r="H156" s="52"/>
      <c r="I156" s="52"/>
      <c r="J156" s="52"/>
      <c r="N156" s="251"/>
    </row>
    <row r="157" spans="2:14" ht="17" outlineLevel="1" x14ac:dyDescent="0.2">
      <c r="B157" s="380" t="str">
        <f t="shared" si="85"/>
        <v>Partner 8</v>
      </c>
      <c r="D157" s="371">
        <v>0</v>
      </c>
      <c r="E157" s="372">
        <f t="shared" si="86"/>
        <v>0</v>
      </c>
      <c r="F157" s="129"/>
      <c r="G157" s="52"/>
      <c r="H157" s="52"/>
      <c r="I157" s="52"/>
      <c r="J157" s="52"/>
      <c r="N157" s="251"/>
    </row>
    <row r="158" spans="2:14" ht="17" x14ac:dyDescent="0.2">
      <c r="B158" s="373" t="s">
        <v>234</v>
      </c>
      <c r="D158" s="374">
        <f>SUM(D150:D157)</f>
        <v>1</v>
      </c>
      <c r="E158" s="372"/>
      <c r="F158" s="129"/>
      <c r="G158" s="52"/>
      <c r="H158" s="52"/>
      <c r="I158" s="52"/>
      <c r="J158" s="52"/>
      <c r="N158" s="251"/>
    </row>
    <row r="159" spans="2:14" ht="17" x14ac:dyDescent="0.2">
      <c r="B159" s="889" t="s">
        <v>31</v>
      </c>
      <c r="C159" s="375">
        <v>0</v>
      </c>
      <c r="D159" s="386"/>
      <c r="E159" s="377"/>
      <c r="F159" s="378"/>
      <c r="G159" s="379"/>
      <c r="H159" s="379"/>
      <c r="I159" s="379"/>
      <c r="J159" s="379"/>
      <c r="K159" s="379"/>
      <c r="L159" s="379"/>
      <c r="M159" s="379"/>
      <c r="N159" s="888"/>
    </row>
    <row r="160" spans="2:14" ht="17" x14ac:dyDescent="0.2">
      <c r="B160" s="380" t="str">
        <f>B150</f>
        <v>Partner 1</v>
      </c>
      <c r="D160" s="371">
        <v>0</v>
      </c>
      <c r="E160" s="372">
        <f t="shared" ref="E160:E162" si="87">D160*$C$159</f>
        <v>0</v>
      </c>
      <c r="F160" s="129"/>
      <c r="G160" s="52"/>
      <c r="H160" s="52"/>
      <c r="I160" s="52"/>
      <c r="J160" s="52"/>
      <c r="N160" s="251"/>
    </row>
    <row r="161" spans="2:14" ht="17" x14ac:dyDescent="0.2">
      <c r="B161" s="380" t="str">
        <f>B151</f>
        <v>Partner 2</v>
      </c>
      <c r="D161" s="371">
        <v>0</v>
      </c>
      <c r="E161" s="372">
        <f t="shared" si="87"/>
        <v>0</v>
      </c>
      <c r="F161" s="129"/>
      <c r="G161" s="52"/>
      <c r="H161" s="52"/>
      <c r="I161" s="52"/>
      <c r="J161" s="52"/>
      <c r="N161" s="251"/>
    </row>
    <row r="162" spans="2:14" ht="17" x14ac:dyDescent="0.2">
      <c r="B162" s="380" t="str">
        <f>B152</f>
        <v>Partner 3</v>
      </c>
      <c r="D162" s="371">
        <v>0</v>
      </c>
      <c r="E162" s="372">
        <f t="shared" si="87"/>
        <v>0</v>
      </c>
      <c r="F162" s="129"/>
      <c r="G162" s="52"/>
      <c r="H162" s="52"/>
      <c r="I162" s="52"/>
      <c r="J162" s="52"/>
      <c r="N162" s="251"/>
    </row>
    <row r="163" spans="2:14" ht="17" collapsed="1" x14ac:dyDescent="0.2">
      <c r="B163" s="380" t="str">
        <f>B153</f>
        <v>Partner 4</v>
      </c>
      <c r="D163" s="371">
        <v>0</v>
      </c>
      <c r="E163" s="372">
        <f>D163*$C$159</f>
        <v>0</v>
      </c>
      <c r="F163" s="129"/>
      <c r="G163" s="52"/>
      <c r="H163" s="52"/>
      <c r="I163" s="52"/>
      <c r="J163" s="52"/>
      <c r="N163" s="251"/>
    </row>
    <row r="164" spans="2:14" ht="17" hidden="1" outlineLevel="1" x14ac:dyDescent="0.2">
      <c r="B164" s="380" t="str">
        <f t="shared" ref="B164:B167" si="88">B154</f>
        <v>Partner 5</v>
      </c>
      <c r="D164" s="371">
        <v>0</v>
      </c>
      <c r="E164" s="372">
        <f t="shared" ref="E164:E167" si="89">D164*$C$159</f>
        <v>0</v>
      </c>
      <c r="F164" s="129"/>
      <c r="G164" s="52"/>
      <c r="H164" s="52"/>
      <c r="I164" s="52"/>
      <c r="J164" s="52"/>
      <c r="N164" s="251"/>
    </row>
    <row r="165" spans="2:14" ht="17" hidden="1" outlineLevel="1" x14ac:dyDescent="0.2">
      <c r="B165" s="380" t="str">
        <f t="shared" si="88"/>
        <v>Partner 6</v>
      </c>
      <c r="D165" s="371">
        <v>0</v>
      </c>
      <c r="E165" s="372">
        <f t="shared" si="89"/>
        <v>0</v>
      </c>
      <c r="F165" s="129"/>
      <c r="G165" s="52"/>
      <c r="H165" s="52"/>
      <c r="I165" s="52"/>
      <c r="J165" s="52"/>
      <c r="N165" s="251"/>
    </row>
    <row r="166" spans="2:14" ht="17" hidden="1" outlineLevel="1" x14ac:dyDescent="0.2">
      <c r="B166" s="380" t="str">
        <f t="shared" si="88"/>
        <v>Partner 7</v>
      </c>
      <c r="D166" s="371">
        <v>0</v>
      </c>
      <c r="E166" s="372">
        <f t="shared" si="89"/>
        <v>0</v>
      </c>
      <c r="F166" s="129"/>
      <c r="G166" s="52"/>
      <c r="H166" s="52"/>
      <c r="I166" s="52"/>
      <c r="J166" s="52"/>
      <c r="N166" s="251"/>
    </row>
    <row r="167" spans="2:14" ht="17" hidden="1" outlineLevel="1" x14ac:dyDescent="0.2">
      <c r="B167" s="380" t="str">
        <f t="shared" si="88"/>
        <v>Partner 8</v>
      </c>
      <c r="D167" s="371">
        <v>0</v>
      </c>
      <c r="E167" s="372">
        <f t="shared" si="89"/>
        <v>0</v>
      </c>
      <c r="F167" s="129"/>
      <c r="G167" s="52"/>
      <c r="H167" s="52"/>
      <c r="I167" s="52"/>
      <c r="J167" s="52"/>
      <c r="N167" s="251"/>
    </row>
    <row r="168" spans="2:14" ht="17" x14ac:dyDescent="0.2">
      <c r="B168" s="373" t="s">
        <v>234</v>
      </c>
      <c r="D168" s="374">
        <f>SUM(D160:D167)</f>
        <v>0</v>
      </c>
      <c r="E168" s="372"/>
      <c r="F168" s="129"/>
      <c r="G168" s="52"/>
      <c r="H168" s="52"/>
      <c r="I168" s="52"/>
      <c r="J168" s="52"/>
      <c r="N168" s="251"/>
    </row>
    <row r="169" spans="2:14" ht="17" x14ac:dyDescent="0.2">
      <c r="B169" s="890" t="s">
        <v>236</v>
      </c>
      <c r="C169" s="388">
        <f>SUM(C109:C168)</f>
        <v>0.99999999999999989</v>
      </c>
      <c r="D169" s="389"/>
      <c r="E169" s="388">
        <f>SUM(E109:E168)</f>
        <v>0.7</v>
      </c>
      <c r="F169" s="390"/>
      <c r="G169" s="391"/>
      <c r="H169" s="391"/>
      <c r="I169" s="391"/>
      <c r="J169" s="391"/>
      <c r="K169" s="391"/>
      <c r="L169" s="391"/>
      <c r="M169" s="391"/>
      <c r="N169" s="891"/>
    </row>
    <row r="170" spans="2:14" ht="17" x14ac:dyDescent="0.2">
      <c r="B170" s="892"/>
      <c r="C170" s="392"/>
      <c r="D170" s="393"/>
      <c r="E170" s="394" t="s">
        <v>232</v>
      </c>
      <c r="F170" s="395" t="s">
        <v>237</v>
      </c>
      <c r="G170" s="396"/>
      <c r="H170" s="1083" t="s">
        <v>42</v>
      </c>
      <c r="I170" s="396"/>
      <c r="J170" s="396"/>
      <c r="K170" s="396"/>
      <c r="L170" s="396"/>
      <c r="M170" s="396"/>
      <c r="N170" s="893"/>
    </row>
    <row r="171" spans="2:14" ht="17" x14ac:dyDescent="0.2">
      <c r="B171" s="397" t="str">
        <f>B150</f>
        <v>Partner 1</v>
      </c>
      <c r="C171" s="398"/>
      <c r="D171" s="398"/>
      <c r="E171" s="399">
        <f>E110+E120+E130+E140+E150+E160</f>
        <v>0.35000000000000003</v>
      </c>
      <c r="F171" s="399">
        <f>E171*Summary!$D$42</f>
        <v>6.9999999999999993E-2</v>
      </c>
      <c r="G171" s="398"/>
      <c r="H171" s="1084">
        <f ca="1">M29</f>
        <v>0</v>
      </c>
      <c r="I171" s="398"/>
      <c r="J171" s="398"/>
      <c r="K171" s="398"/>
      <c r="L171" s="398"/>
      <c r="M171" s="398"/>
      <c r="N171" s="400"/>
    </row>
    <row r="172" spans="2:14" ht="17" x14ac:dyDescent="0.2">
      <c r="B172" s="397" t="str">
        <f>B151</f>
        <v>Partner 2</v>
      </c>
      <c r="C172" s="398"/>
      <c r="D172" s="398"/>
      <c r="E172" s="399">
        <f>E111+E121+E131+E141+E151+E161</f>
        <v>0.35000000000000003</v>
      </c>
      <c r="F172" s="399">
        <f>E172*Summary!$D$42</f>
        <v>6.9999999999999993E-2</v>
      </c>
      <c r="G172" s="398"/>
      <c r="H172" s="1084">
        <f ca="1">M35</f>
        <v>0</v>
      </c>
      <c r="I172" s="398"/>
      <c r="J172" s="398"/>
      <c r="K172" s="398"/>
      <c r="L172" s="398"/>
      <c r="M172" s="398"/>
      <c r="N172" s="400"/>
    </row>
    <row r="173" spans="2:14" ht="17" x14ac:dyDescent="0.2">
      <c r="B173" s="397" t="str">
        <f>B152</f>
        <v>Partner 3</v>
      </c>
      <c r="C173" s="398"/>
      <c r="D173" s="398"/>
      <c r="E173" s="399">
        <f>E112+E122+E132+E142+E152+E162</f>
        <v>0</v>
      </c>
      <c r="F173" s="399">
        <f>E173*Summary!$D$42</f>
        <v>0</v>
      </c>
      <c r="G173" s="398"/>
      <c r="H173" s="1084">
        <f ca="1">M41</f>
        <v>0</v>
      </c>
      <c r="I173" s="398"/>
      <c r="J173" s="398"/>
      <c r="K173" s="398"/>
      <c r="L173" s="398"/>
      <c r="M173" s="398"/>
      <c r="N173" s="400"/>
    </row>
    <row r="174" spans="2:14" ht="17" x14ac:dyDescent="0.2">
      <c r="B174" s="397" t="str">
        <f>B153</f>
        <v>Partner 4</v>
      </c>
      <c r="C174" s="398"/>
      <c r="D174" s="398"/>
      <c r="E174" s="399">
        <f>E113+E123+E133+E143+E153+E163</f>
        <v>0</v>
      </c>
      <c r="F174" s="399">
        <f>E174*Summary!$D$42</f>
        <v>0</v>
      </c>
      <c r="G174" s="398"/>
      <c r="H174" s="1084">
        <f ca="1">M47</f>
        <v>0</v>
      </c>
      <c r="I174" s="398"/>
      <c r="J174" s="398"/>
      <c r="K174" s="398"/>
      <c r="L174" s="398"/>
      <c r="M174" s="398"/>
      <c r="N174" s="400"/>
    </row>
    <row r="175" spans="2:14" ht="17" outlineLevel="1" x14ac:dyDescent="0.2">
      <c r="B175" s="397" t="str">
        <f t="shared" ref="B175:B177" si="90">B154</f>
        <v>Partner 5</v>
      </c>
      <c r="C175" s="398"/>
      <c r="D175" s="398"/>
      <c r="E175" s="399">
        <f t="shared" ref="E175:E178" si="91">E114+E124+E134+E144+E154+E164</f>
        <v>0</v>
      </c>
      <c r="F175" s="399">
        <f>E175*Summary!$D$42</f>
        <v>0</v>
      </c>
      <c r="G175" s="398"/>
      <c r="H175" s="1084">
        <f ca="1">M53</f>
        <v>0</v>
      </c>
      <c r="I175" s="398"/>
      <c r="J175" s="398"/>
      <c r="K175" s="398"/>
      <c r="L175" s="398"/>
      <c r="M175" s="398"/>
      <c r="N175" s="400"/>
    </row>
    <row r="176" spans="2:14" ht="17" outlineLevel="1" x14ac:dyDescent="0.2">
      <c r="B176" s="397" t="str">
        <f t="shared" si="90"/>
        <v>Partner 6</v>
      </c>
      <c r="C176" s="398"/>
      <c r="D176" s="398"/>
      <c r="E176" s="399">
        <f t="shared" si="91"/>
        <v>0</v>
      </c>
      <c r="F176" s="399">
        <f>E176*Summary!$D$42</f>
        <v>0</v>
      </c>
      <c r="G176" s="398"/>
      <c r="H176" s="1084">
        <f ca="1">M59</f>
        <v>0</v>
      </c>
      <c r="I176" s="398"/>
      <c r="J176" s="398"/>
      <c r="K176" s="398"/>
      <c r="L176" s="398"/>
      <c r="M176" s="398"/>
      <c r="N176" s="400"/>
    </row>
    <row r="177" spans="2:14" ht="17" outlineLevel="1" x14ac:dyDescent="0.2">
      <c r="B177" s="397" t="str">
        <f t="shared" si="90"/>
        <v>Partner 7</v>
      </c>
      <c r="C177" s="398"/>
      <c r="D177" s="398"/>
      <c r="E177" s="399">
        <f t="shared" si="91"/>
        <v>0</v>
      </c>
      <c r="F177" s="399">
        <f>E177*Summary!$D$42</f>
        <v>0</v>
      </c>
      <c r="G177" s="398"/>
      <c r="H177" s="1084">
        <f ca="1">M65</f>
        <v>0</v>
      </c>
      <c r="I177" s="398"/>
      <c r="J177" s="398"/>
      <c r="K177" s="398"/>
      <c r="L177" s="398"/>
      <c r="M177" s="398"/>
      <c r="N177" s="400"/>
    </row>
    <row r="178" spans="2:14" ht="18" outlineLevel="1" thickBot="1" x14ac:dyDescent="0.25">
      <c r="B178" s="397" t="str">
        <f>B157</f>
        <v>Partner 8</v>
      </c>
      <c r="C178" s="398"/>
      <c r="D178" s="398"/>
      <c r="E178" s="399">
        <f t="shared" si="91"/>
        <v>0</v>
      </c>
      <c r="F178" s="399">
        <f>E178*Summary!$D$42</f>
        <v>0</v>
      </c>
      <c r="G178" s="398"/>
      <c r="H178" s="1084">
        <f ca="1">M71</f>
        <v>0</v>
      </c>
      <c r="I178" s="398"/>
      <c r="J178" s="398"/>
      <c r="K178" s="398"/>
      <c r="L178" s="398"/>
      <c r="M178" s="398"/>
      <c r="N178" s="400"/>
    </row>
    <row r="179" spans="2:14" ht="17" thickBot="1" x14ac:dyDescent="0.25">
      <c r="B179" s="401"/>
      <c r="C179" s="297"/>
      <c r="D179" s="297"/>
      <c r="E179" s="402">
        <f>SUM(E171:E178)</f>
        <v>0.70000000000000007</v>
      </c>
      <c r="F179" s="402">
        <f>SUM(F171:F178)</f>
        <v>0.13999999999999999</v>
      </c>
      <c r="G179" s="297"/>
      <c r="H179" s="1085">
        <f ca="1">SUM(H171:H178)</f>
        <v>0</v>
      </c>
      <c r="I179" s="297"/>
      <c r="J179" s="297"/>
      <c r="K179" s="297"/>
      <c r="L179" s="297"/>
      <c r="M179" s="297"/>
      <c r="N179" s="298"/>
    </row>
    <row r="182" spans="2:14" x14ac:dyDescent="0.2">
      <c r="B182" s="52" t="str">
        <f ca="1">copyright</f>
        <v>Copyright © 2026 Michael Blank.</v>
      </c>
    </row>
    <row r="183" spans="2:14" x14ac:dyDescent="0.2">
      <c r="B183" s="52" t="s">
        <v>124</v>
      </c>
    </row>
  </sheetData>
  <customSheetViews>
    <customSheetView guid="{238A3432-2201-4481-B06C-00480E9813A7}" scale="110" showRuler="0" topLeftCell="A5">
      <selection activeCell="C29" sqref="C29"/>
      <pageMargins left="0.75" right="0.75" top="1" bottom="1" header="0.5" footer="0.5"/>
      <pageSetup orientation="portrait" horizontalDpi="0" verticalDpi="0" r:id="rId1"/>
      <headerFooter alignWithMargins="0"/>
    </customSheetView>
    <customSheetView guid="{A0B83632-25B5-FE44-8A66-2590D6BCDFDC}" scale="130" showGridLines="0" hiddenRows="1">
      <selection activeCell="L11" sqref="L11"/>
      <pageMargins left="0.28000000000000003" right="0.24" top="1" bottom="1" header="0.5" footer="0.5"/>
      <pageSetup orientation="landscape" horizontalDpi="1200" verticalDpi="1200" r:id="rId2"/>
      <headerFooter alignWithMargins="0"/>
    </customSheetView>
  </customSheetViews>
  <mergeCells count="1">
    <mergeCell ref="B1:N1"/>
  </mergeCells>
  <phoneticPr fontId="0" type="noConversion"/>
  <conditionalFormatting sqref="C3:L3">
    <cfRule type="cellIs" dxfId="12" priority="1" stopIfTrue="1" operator="equal">
      <formula>"REFINANCE!"</formula>
    </cfRule>
    <cfRule type="cellIs" dxfId="11" priority="2" stopIfTrue="1" operator="equal">
      <formula>"SALE!"</formula>
    </cfRule>
  </conditionalFormatting>
  <conditionalFormatting sqref="N16">
    <cfRule type="cellIs" dxfId="10" priority="130" stopIfTrue="1" operator="lessThan">
      <formula>var_AAR</formula>
    </cfRule>
    <cfRule type="cellIs" dxfId="9" priority="131" stopIfTrue="1" operator="greaterThanOrEqual">
      <formula>var_AAR</formula>
    </cfRule>
  </conditionalFormatting>
  <conditionalFormatting sqref="N16:N18">
    <cfRule type="cellIs" priority="76" stopIfTrue="1" operator="equal">
      <formula>0</formula>
    </cfRule>
  </conditionalFormatting>
  <conditionalFormatting sqref="N17">
    <cfRule type="cellIs" dxfId="8" priority="128" stopIfTrue="1" operator="greaterThanOrEqual">
      <formula>var_IRR</formula>
    </cfRule>
    <cfRule type="cellIs" dxfId="7" priority="129" stopIfTrue="1" operator="lessThan">
      <formula>var_IRR</formula>
    </cfRule>
  </conditionalFormatting>
  <conditionalFormatting sqref="N18">
    <cfRule type="cellIs" dxfId="6" priority="126" stopIfTrue="1" operator="greaterThanOrEqual">
      <formula>var_averageCoC</formula>
    </cfRule>
    <cfRule type="cellIs" dxfId="5" priority="127" stopIfTrue="1" operator="lessThan">
      <formula>var_averageCoC</formula>
    </cfRule>
  </conditionalFormatting>
  <pageMargins left="0.28000000000000003" right="0.24" top="1" bottom="1" header="0.5" footer="0.5"/>
  <pageSetup orientation="landscape" horizontalDpi="1200" verticalDpi="1200" r:id="rId3"/>
  <headerFooter alignWithMargins="0"/>
  <cellWatches>
    <cellWatch r="F10"/>
  </cellWatch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outlinePr summaryBelow="0" summaryRight="0"/>
  </sheetPr>
  <dimension ref="A1:AT129"/>
  <sheetViews>
    <sheetView showGridLines="0" zoomScaleNormal="100" workbookViewId="0">
      <selection activeCell="A2" sqref="A2"/>
    </sheetView>
  </sheetViews>
  <sheetFormatPr baseColWidth="10" defaultColWidth="9" defaultRowHeight="16" outlineLevelRow="1" outlineLevelCol="1" x14ac:dyDescent="0.2"/>
  <cols>
    <col min="1" max="1" width="5.7109375" style="403" customWidth="1"/>
    <col min="2" max="2" width="7" style="403" customWidth="1" collapsed="1"/>
    <col min="3" max="3" width="16.28515625" style="403" hidden="1" customWidth="1" outlineLevel="1"/>
    <col min="4" max="4" width="0.28515625" style="403" customWidth="1"/>
    <col min="5" max="5" width="16.28515625" style="403" customWidth="1"/>
    <col min="6" max="6" width="13.28515625" style="403" customWidth="1" collapsed="1"/>
    <col min="7" max="7" width="13.28515625" style="403" hidden="1" customWidth="1" outlineLevel="1"/>
    <col min="8" max="8" width="15.42578125" style="403" customWidth="1"/>
    <col min="9" max="9" width="15.42578125" style="660" customWidth="1"/>
    <col min="10" max="10" width="11.42578125" style="403" customWidth="1"/>
    <col min="11" max="11" width="10" style="403" customWidth="1"/>
    <col min="12" max="12" width="9" style="403"/>
    <col min="13" max="13" width="13.42578125" style="403" bestFit="1" customWidth="1"/>
    <col min="14" max="19" width="9" style="403"/>
    <col min="20" max="20" width="7.7109375" style="403" customWidth="1"/>
    <col min="21" max="21" width="9" style="403" customWidth="1"/>
    <col min="22" max="16384" width="9" style="403"/>
  </cols>
  <sheetData>
    <row r="1" spans="1:46" s="50" customFormat="1" ht="20" x14ac:dyDescent="0.2">
      <c r="A1" s="1179" t="s">
        <v>171</v>
      </c>
      <c r="B1" s="1179"/>
      <c r="C1" s="1179"/>
      <c r="D1" s="1179"/>
      <c r="E1" s="1179"/>
      <c r="F1" s="1179"/>
      <c r="G1" s="1179"/>
      <c r="H1" s="1179"/>
      <c r="I1" s="1179"/>
      <c r="J1" s="1179"/>
      <c r="K1" s="1179"/>
      <c r="L1" s="51"/>
      <c r="M1" s="51"/>
      <c r="N1" s="51"/>
      <c r="O1" s="51"/>
      <c r="P1" s="52"/>
      <c r="Q1" s="52"/>
      <c r="R1" s="52"/>
      <c r="S1" s="52"/>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row>
    <row r="2" spans="1:46" s="49" customFormat="1" x14ac:dyDescent="0.2">
      <c r="A2" s="3"/>
      <c r="B2" s="51"/>
      <c r="C2" s="51"/>
      <c r="D2" s="51"/>
      <c r="E2" s="51"/>
      <c r="F2" s="51"/>
      <c r="G2" s="51"/>
      <c r="H2" s="51"/>
      <c r="I2" s="123"/>
      <c r="J2" s="51"/>
      <c r="K2" s="51"/>
      <c r="L2" s="51"/>
      <c r="M2" s="51"/>
      <c r="N2" s="51"/>
      <c r="O2" s="51"/>
      <c r="P2" s="52"/>
      <c r="Q2" s="52"/>
      <c r="R2" s="52"/>
      <c r="S2" s="52"/>
    </row>
    <row r="3" spans="1:46" ht="17" thickBot="1" x14ac:dyDescent="0.25">
      <c r="A3" s="1158"/>
      <c r="C3" s="176"/>
      <c r="D3" s="176"/>
      <c r="E3" s="129"/>
      <c r="F3" s="129"/>
      <c r="G3" s="129"/>
      <c r="H3" s="129"/>
      <c r="I3" s="47"/>
      <c r="J3" s="129"/>
      <c r="K3" s="1158"/>
      <c r="L3" s="1158"/>
      <c r="M3" s="1158"/>
      <c r="N3" s="1158"/>
      <c r="O3" s="186"/>
      <c r="P3" s="186"/>
      <c r="Q3" s="186"/>
      <c r="R3" s="186"/>
      <c r="S3" s="186"/>
      <c r="T3" s="186"/>
    </row>
    <row r="4" spans="1:46" ht="24" customHeight="1" x14ac:dyDescent="0.2">
      <c r="A4" s="1158"/>
      <c r="B4" s="554" t="s">
        <v>67</v>
      </c>
      <c r="C4" s="545"/>
      <c r="D4" s="545"/>
      <c r="E4" s="545"/>
      <c r="F4" s="545"/>
      <c r="G4" s="545"/>
      <c r="H4" s="545"/>
      <c r="I4" s="545"/>
      <c r="J4" s="546"/>
      <c r="K4" s="1158"/>
      <c r="L4" s="1158"/>
      <c r="M4" s="1158"/>
      <c r="N4" s="1158"/>
      <c r="O4" s="186"/>
      <c r="P4" s="186"/>
      <c r="Q4" s="186"/>
      <c r="R4" s="186"/>
      <c r="S4" s="186"/>
      <c r="T4" s="186"/>
    </row>
    <row r="5" spans="1:46" s="93" customFormat="1" ht="50" customHeight="1" x14ac:dyDescent="0.2">
      <c r="B5" s="547" t="s">
        <v>10</v>
      </c>
      <c r="C5" s="548" t="s">
        <v>396</v>
      </c>
      <c r="D5" s="548" t="s">
        <v>353</v>
      </c>
      <c r="E5" s="548" t="s">
        <v>54</v>
      </c>
      <c r="F5" s="548" t="s">
        <v>65</v>
      </c>
      <c r="G5" s="548" t="s">
        <v>391</v>
      </c>
      <c r="H5" s="548" t="s">
        <v>157</v>
      </c>
      <c r="I5" s="548" t="s">
        <v>494</v>
      </c>
      <c r="J5" s="549" t="s">
        <v>42</v>
      </c>
      <c r="K5" s="1159"/>
      <c r="L5" s="1160"/>
      <c r="M5" s="1160"/>
      <c r="N5" s="1160"/>
      <c r="O5"/>
      <c r="P5"/>
      <c r="Q5"/>
      <c r="R5"/>
      <c r="S5"/>
      <c r="T5"/>
      <c r="U5"/>
      <c r="V5"/>
      <c r="W5"/>
    </row>
    <row r="6" spans="1:46" x14ac:dyDescent="0.2">
      <c r="B6" s="404">
        <v>0</v>
      </c>
      <c r="D6" s="405">
        <v>29220</v>
      </c>
      <c r="E6" s="406">
        <f>-Summary!D22</f>
        <v>0</v>
      </c>
      <c r="F6" s="406">
        <v>0</v>
      </c>
      <c r="G6" s="406">
        <f>E6</f>
        <v>0</v>
      </c>
      <c r="H6" s="658"/>
      <c r="I6" s="658"/>
      <c r="J6" s="407">
        <f>H6+F6+E6</f>
        <v>0</v>
      </c>
      <c r="K6" s="1158"/>
      <c r="L6"/>
      <c r="M6"/>
      <c r="N6"/>
      <c r="O6"/>
      <c r="P6"/>
      <c r="Q6"/>
      <c r="R6"/>
      <c r="S6"/>
      <c r="T6"/>
      <c r="U6"/>
      <c r="V6"/>
      <c r="W6"/>
    </row>
    <row r="7" spans="1:46" ht="17" collapsed="1" x14ac:dyDescent="0.2">
      <c r="B7" s="404">
        <v>1</v>
      </c>
      <c r="E7" s="406"/>
      <c r="F7" s="406">
        <f ca="1">IF(B7&lt;=year_sale,'P&amp;L'!D51,0)</f>
        <v>0</v>
      </c>
      <c r="G7" s="406"/>
      <c r="H7" s="658" t="str">
        <f>IF(B7=year_refi,'Exit Strategy'!$D$29,IF(B7=year_sale,'Exit Strategy'!$H$25,""))</f>
        <v/>
      </c>
      <c r="I7" s="658">
        <f>Returns!C12</f>
        <v>0</v>
      </c>
      <c r="J7" s="407">
        <f ca="1">IFERROR(SUM(E7:I7),0)</f>
        <v>0</v>
      </c>
      <c r="K7" s="1158"/>
      <c r="L7"/>
      <c r="M7"/>
      <c r="N7"/>
      <c r="O7"/>
      <c r="P7"/>
      <c r="Q7"/>
      <c r="R7"/>
      <c r="S7"/>
      <c r="T7"/>
      <c r="U7"/>
      <c r="V7"/>
      <c r="W7"/>
    </row>
    <row r="8" spans="1:46" ht="17" hidden="1" customHeight="1" outlineLevel="1" x14ac:dyDescent="0.2">
      <c r="B8" s="404"/>
      <c r="C8" s="403" t="s">
        <v>392</v>
      </c>
      <c r="D8" s="405">
        <v>29311</v>
      </c>
      <c r="E8" s="406"/>
      <c r="F8"/>
      <c r="G8" s="406">
        <f ca="1">IFERROR(F7/4,0)</f>
        <v>0</v>
      </c>
      <c r="H8" s="658"/>
      <c r="I8" s="658"/>
      <c r="J8" s="407">
        <f t="shared" ref="J8:J57" ca="1" si="0">IFERROR(SUM(E8:I8),0)</f>
        <v>0</v>
      </c>
      <c r="K8" s="1158"/>
      <c r="L8"/>
      <c r="M8"/>
      <c r="N8"/>
      <c r="O8"/>
      <c r="P8"/>
      <c r="Q8"/>
      <c r="R8"/>
      <c r="S8"/>
      <c r="T8"/>
      <c r="U8"/>
      <c r="V8"/>
      <c r="W8"/>
    </row>
    <row r="9" spans="1:46" ht="17" hidden="1" customHeight="1" outlineLevel="1" x14ac:dyDescent="0.2">
      <c r="B9" s="404"/>
      <c r="C9" s="403" t="s">
        <v>393</v>
      </c>
      <c r="D9" s="405">
        <v>29402</v>
      </c>
      <c r="E9" s="406"/>
      <c r="F9"/>
      <c r="G9" s="406">
        <f ca="1">G8</f>
        <v>0</v>
      </c>
      <c r="H9" s="658"/>
      <c r="I9" s="658"/>
      <c r="J9" s="407">
        <f t="shared" ca="1" si="0"/>
        <v>0</v>
      </c>
      <c r="K9" s="1158"/>
      <c r="L9"/>
      <c r="M9"/>
      <c r="N9"/>
      <c r="O9"/>
      <c r="P9"/>
      <c r="Q9"/>
      <c r="R9"/>
      <c r="S9"/>
      <c r="T9"/>
      <c r="U9"/>
      <c r="V9"/>
      <c r="W9"/>
    </row>
    <row r="10" spans="1:46" ht="17" hidden="1" customHeight="1" outlineLevel="1" x14ac:dyDescent="0.2">
      <c r="B10" s="404"/>
      <c r="C10" s="403" t="s">
        <v>394</v>
      </c>
      <c r="D10" s="405">
        <v>29494</v>
      </c>
      <c r="E10" s="406"/>
      <c r="F10"/>
      <c r="G10" s="406">
        <f ca="1">G9</f>
        <v>0</v>
      </c>
      <c r="H10" s="658"/>
      <c r="I10" s="658"/>
      <c r="J10" s="407">
        <f t="shared" ca="1" si="0"/>
        <v>0</v>
      </c>
      <c r="K10" s="1158"/>
      <c r="L10"/>
      <c r="M10"/>
      <c r="N10"/>
      <c r="O10"/>
      <c r="P10"/>
      <c r="Q10"/>
      <c r="R10"/>
      <c r="S10"/>
      <c r="T10"/>
      <c r="U10"/>
      <c r="V10"/>
      <c r="W10"/>
    </row>
    <row r="11" spans="1:46" ht="17" hidden="1" customHeight="1" outlineLevel="1" x14ac:dyDescent="0.2">
      <c r="B11" s="404"/>
      <c r="C11" s="403" t="s">
        <v>395</v>
      </c>
      <c r="D11" s="405">
        <v>29586</v>
      </c>
      <c r="E11" s="406"/>
      <c r="F11"/>
      <c r="G11" s="406">
        <f ca="1">SUM(G10,H7,I7)</f>
        <v>0</v>
      </c>
      <c r="H11" s="658"/>
      <c r="I11" s="658"/>
      <c r="J11" s="407">
        <f t="shared" ca="1" si="0"/>
        <v>0</v>
      </c>
      <c r="K11" s="1158"/>
      <c r="L11"/>
      <c r="M11"/>
      <c r="N11"/>
      <c r="O11"/>
      <c r="P11"/>
      <c r="Q11"/>
      <c r="R11"/>
      <c r="S11"/>
      <c r="T11"/>
      <c r="U11"/>
      <c r="V11"/>
      <c r="W11"/>
    </row>
    <row r="12" spans="1:46" ht="17" collapsed="1" x14ac:dyDescent="0.2">
      <c r="B12" s="404">
        <v>2</v>
      </c>
      <c r="E12" s="406"/>
      <c r="F12" s="406">
        <f ca="1">IF(B12&lt;=year_sale,'P&amp;L'!F51,0)</f>
        <v>0</v>
      </c>
      <c r="G12" s="406"/>
      <c r="H12" s="658" t="str">
        <f>IF(B12=year_refi,'Exit Strategy'!$D$29,IF(B12=year_sale,'Exit Strategy'!$H$25,""))</f>
        <v/>
      </c>
      <c r="I12" s="658">
        <f>Returns!D12</f>
        <v>0</v>
      </c>
      <c r="J12" s="407">
        <f t="shared" ca="1" si="0"/>
        <v>0</v>
      </c>
      <c r="K12" s="1158"/>
      <c r="L12"/>
      <c r="M12"/>
      <c r="N12"/>
      <c r="O12"/>
      <c r="P12"/>
      <c r="Q12"/>
      <c r="R12"/>
      <c r="S12"/>
      <c r="T12"/>
      <c r="U12"/>
      <c r="V12"/>
      <c r="W12"/>
    </row>
    <row r="13" spans="1:46" ht="17" hidden="1" customHeight="1" outlineLevel="1" x14ac:dyDescent="0.2">
      <c r="B13" s="404"/>
      <c r="C13" s="403" t="s">
        <v>392</v>
      </c>
      <c r="D13" s="405">
        <v>29676</v>
      </c>
      <c r="E13" s="406"/>
      <c r="F13"/>
      <c r="G13" s="406">
        <f ca="1">IFERROR(F12/4,0)</f>
        <v>0</v>
      </c>
      <c r="H13" s="658"/>
      <c r="I13" s="658"/>
      <c r="J13" s="407">
        <f t="shared" ca="1" si="0"/>
        <v>0</v>
      </c>
      <c r="K13" s="1158"/>
      <c r="L13"/>
      <c r="M13"/>
      <c r="N13"/>
      <c r="O13"/>
      <c r="P13"/>
      <c r="Q13"/>
      <c r="R13"/>
      <c r="S13"/>
      <c r="T13"/>
      <c r="U13"/>
      <c r="V13"/>
      <c r="W13"/>
    </row>
    <row r="14" spans="1:46" ht="17" hidden="1" customHeight="1" outlineLevel="1" x14ac:dyDescent="0.2">
      <c r="B14" s="404"/>
      <c r="C14" s="403" t="s">
        <v>393</v>
      </c>
      <c r="D14" s="405">
        <v>29767</v>
      </c>
      <c r="E14" s="406"/>
      <c r="F14"/>
      <c r="G14" s="406">
        <f ca="1">G13</f>
        <v>0</v>
      </c>
      <c r="H14" s="658"/>
      <c r="I14" s="658"/>
      <c r="J14" s="407">
        <f t="shared" ca="1" si="0"/>
        <v>0</v>
      </c>
      <c r="K14" s="1158"/>
      <c r="L14"/>
      <c r="M14"/>
      <c r="N14"/>
      <c r="O14"/>
      <c r="P14"/>
      <c r="Q14"/>
      <c r="R14"/>
      <c r="S14"/>
      <c r="T14"/>
      <c r="U14"/>
      <c r="V14"/>
      <c r="W14"/>
    </row>
    <row r="15" spans="1:46" ht="17" hidden="1" customHeight="1" outlineLevel="1" x14ac:dyDescent="0.2">
      <c r="B15" s="404"/>
      <c r="C15" s="403" t="s">
        <v>394</v>
      </c>
      <c r="D15" s="405">
        <v>29859</v>
      </c>
      <c r="E15" s="406"/>
      <c r="F15"/>
      <c r="G15" s="406">
        <f ca="1">G14</f>
        <v>0</v>
      </c>
      <c r="H15" s="658"/>
      <c r="I15" s="658"/>
      <c r="J15" s="407">
        <f t="shared" ca="1" si="0"/>
        <v>0</v>
      </c>
      <c r="K15" s="1158"/>
      <c r="L15"/>
      <c r="M15"/>
      <c r="N15"/>
      <c r="O15"/>
      <c r="P15"/>
      <c r="Q15"/>
      <c r="R15"/>
      <c r="S15"/>
      <c r="T15"/>
      <c r="U15"/>
      <c r="V15"/>
      <c r="W15"/>
    </row>
    <row r="16" spans="1:46" ht="17" hidden="1" customHeight="1" outlineLevel="1" x14ac:dyDescent="0.2">
      <c r="B16" s="404"/>
      <c r="C16" s="403" t="s">
        <v>395</v>
      </c>
      <c r="D16" s="405">
        <v>29951</v>
      </c>
      <c r="E16" s="406"/>
      <c r="F16"/>
      <c r="G16" s="406">
        <f ca="1">SUM(G15,H12,I12)</f>
        <v>0</v>
      </c>
      <c r="H16" s="658"/>
      <c r="I16" s="658"/>
      <c r="J16" s="407">
        <f t="shared" ca="1" si="0"/>
        <v>0</v>
      </c>
      <c r="K16" s="1158"/>
      <c r="L16"/>
      <c r="M16"/>
      <c r="N16"/>
      <c r="O16"/>
      <c r="P16"/>
      <c r="Q16"/>
      <c r="R16"/>
      <c r="S16"/>
      <c r="T16"/>
      <c r="U16"/>
      <c r="V16"/>
      <c r="W16"/>
    </row>
    <row r="17" spans="2:23" ht="17" collapsed="1" x14ac:dyDescent="0.2">
      <c r="B17" s="404">
        <v>3</v>
      </c>
      <c r="E17" s="406"/>
      <c r="F17" s="406">
        <f ca="1">IF(B17&lt;=year_sale,'P&amp;L'!H51,0)</f>
        <v>0</v>
      </c>
      <c r="G17" s="406"/>
      <c r="H17" s="658" t="str">
        <f>IF(B17=year_refi,'Exit Strategy'!$D$29,IF(B17=year_sale,'Exit Strategy'!$H$25,""))</f>
        <v/>
      </c>
      <c r="I17" s="658">
        <f>Returns!E12</f>
        <v>0</v>
      </c>
      <c r="J17" s="407">
        <f t="shared" ca="1" si="0"/>
        <v>0</v>
      </c>
      <c r="K17" s="1158"/>
      <c r="L17"/>
      <c r="M17"/>
      <c r="N17"/>
      <c r="O17"/>
      <c r="P17"/>
      <c r="Q17"/>
      <c r="R17"/>
      <c r="S17"/>
      <c r="T17"/>
      <c r="U17"/>
      <c r="V17"/>
      <c r="W17"/>
    </row>
    <row r="18" spans="2:23" ht="17" hidden="1" outlineLevel="1" x14ac:dyDescent="0.2">
      <c r="B18" s="404"/>
      <c r="C18" s="403" t="s">
        <v>392</v>
      </c>
      <c r="D18" s="405">
        <v>30041</v>
      </c>
      <c r="E18" s="406"/>
      <c r="F18"/>
      <c r="G18" s="406">
        <f ca="1">IFERROR(F17/4,0)</f>
        <v>0</v>
      </c>
      <c r="H18" s="658"/>
      <c r="I18" s="658"/>
      <c r="J18" s="407">
        <f t="shared" ca="1" si="0"/>
        <v>0</v>
      </c>
      <c r="K18" s="1158"/>
      <c r="L18"/>
      <c r="M18"/>
      <c r="N18"/>
      <c r="O18"/>
      <c r="P18"/>
      <c r="Q18"/>
      <c r="R18"/>
      <c r="S18"/>
      <c r="T18"/>
      <c r="U18"/>
      <c r="V18"/>
      <c r="W18"/>
    </row>
    <row r="19" spans="2:23" ht="17" hidden="1" outlineLevel="1" x14ac:dyDescent="0.2">
      <c r="B19" s="404"/>
      <c r="C19" s="403" t="s">
        <v>393</v>
      </c>
      <c r="D19" s="405">
        <v>30132</v>
      </c>
      <c r="E19" s="406"/>
      <c r="F19"/>
      <c r="G19" s="406">
        <f ca="1">G18</f>
        <v>0</v>
      </c>
      <c r="H19" s="658"/>
      <c r="I19" s="658"/>
      <c r="J19" s="407">
        <f t="shared" ca="1" si="0"/>
        <v>0</v>
      </c>
      <c r="K19" s="1158"/>
      <c r="L19"/>
      <c r="M19"/>
      <c r="N19"/>
      <c r="O19"/>
      <c r="P19"/>
      <c r="Q19"/>
      <c r="R19"/>
      <c r="S19"/>
      <c r="T19"/>
      <c r="U19"/>
      <c r="V19"/>
      <c r="W19"/>
    </row>
    <row r="20" spans="2:23" ht="17" hidden="1" outlineLevel="1" x14ac:dyDescent="0.2">
      <c r="B20" s="404"/>
      <c r="C20" s="403" t="s">
        <v>394</v>
      </c>
      <c r="D20" s="405">
        <v>30224</v>
      </c>
      <c r="E20" s="406"/>
      <c r="F20"/>
      <c r="G20" s="406">
        <f ca="1">G19</f>
        <v>0</v>
      </c>
      <c r="H20" s="658"/>
      <c r="I20" s="658"/>
      <c r="J20" s="407">
        <f t="shared" ca="1" si="0"/>
        <v>0</v>
      </c>
      <c r="K20" s="1158"/>
      <c r="L20"/>
      <c r="M20"/>
      <c r="N20"/>
      <c r="O20"/>
      <c r="P20"/>
      <c r="Q20"/>
      <c r="R20"/>
      <c r="S20"/>
      <c r="T20"/>
      <c r="U20"/>
      <c r="V20"/>
      <c r="W20"/>
    </row>
    <row r="21" spans="2:23" ht="17" hidden="1" outlineLevel="1" x14ac:dyDescent="0.2">
      <c r="B21" s="404"/>
      <c r="C21" s="403" t="s">
        <v>395</v>
      </c>
      <c r="D21" s="405">
        <v>30316</v>
      </c>
      <c r="E21" s="406"/>
      <c r="F21"/>
      <c r="G21" s="406">
        <f ca="1">SUM(G20,H17,I17)</f>
        <v>0</v>
      </c>
      <c r="H21" s="658"/>
      <c r="I21" s="658"/>
      <c r="J21" s="407">
        <f t="shared" ca="1" si="0"/>
        <v>0</v>
      </c>
      <c r="K21" s="1158"/>
      <c r="L21"/>
      <c r="M21"/>
      <c r="N21"/>
      <c r="O21"/>
      <c r="P21"/>
      <c r="Q21"/>
      <c r="R21"/>
      <c r="S21"/>
      <c r="T21"/>
      <c r="U21"/>
      <c r="V21"/>
      <c r="W21"/>
    </row>
    <row r="22" spans="2:23" ht="17" collapsed="1" x14ac:dyDescent="0.2">
      <c r="B22" s="404">
        <v>4</v>
      </c>
      <c r="E22" s="406"/>
      <c r="F22" s="406">
        <f ca="1">IF(B22&lt;=year_sale,'P&amp;L'!J51,0)</f>
        <v>0</v>
      </c>
      <c r="G22" s="406"/>
      <c r="H22" s="658" t="str">
        <f>IF(B22=year_refi,'Exit Strategy'!$D$29,IF(B22=year_sale,'Exit Strategy'!$H$25,""))</f>
        <v/>
      </c>
      <c r="I22" s="658">
        <f>Returns!F12</f>
        <v>0</v>
      </c>
      <c r="J22" s="407">
        <f t="shared" ca="1" si="0"/>
        <v>0</v>
      </c>
      <c r="K22" s="1158"/>
      <c r="L22"/>
      <c r="M22"/>
      <c r="N22"/>
      <c r="O22"/>
      <c r="P22"/>
      <c r="Q22"/>
      <c r="R22"/>
      <c r="S22"/>
      <c r="T22"/>
      <c r="U22"/>
      <c r="V22"/>
      <c r="W22"/>
    </row>
    <row r="23" spans="2:23" ht="17" hidden="1" outlineLevel="1" x14ac:dyDescent="0.2">
      <c r="B23" s="404"/>
      <c r="C23" s="403" t="s">
        <v>392</v>
      </c>
      <c r="D23" s="405">
        <v>30406</v>
      </c>
      <c r="E23" s="406"/>
      <c r="F23"/>
      <c r="G23" s="406">
        <f ca="1">IFERROR(F22/4,0)</f>
        <v>0</v>
      </c>
      <c r="H23" s="658"/>
      <c r="I23" s="658"/>
      <c r="J23" s="407">
        <f t="shared" ca="1" si="0"/>
        <v>0</v>
      </c>
      <c r="K23" s="1158"/>
      <c r="L23"/>
      <c r="M23"/>
      <c r="N23"/>
      <c r="O23"/>
      <c r="P23"/>
      <c r="Q23"/>
      <c r="R23"/>
      <c r="S23"/>
      <c r="T23"/>
      <c r="U23"/>
      <c r="V23"/>
      <c r="W23"/>
    </row>
    <row r="24" spans="2:23" ht="17" hidden="1" outlineLevel="1" x14ac:dyDescent="0.2">
      <c r="B24" s="404"/>
      <c r="C24" s="403" t="s">
        <v>393</v>
      </c>
      <c r="D24" s="405">
        <v>30497</v>
      </c>
      <c r="E24" s="406"/>
      <c r="F24"/>
      <c r="G24" s="406">
        <f ca="1">G23</f>
        <v>0</v>
      </c>
      <c r="H24" s="658"/>
      <c r="I24" s="658"/>
      <c r="J24" s="407">
        <f t="shared" ca="1" si="0"/>
        <v>0</v>
      </c>
      <c r="K24" s="1158"/>
      <c r="L24"/>
      <c r="M24"/>
      <c r="N24"/>
      <c r="O24"/>
      <c r="P24"/>
      <c r="Q24"/>
      <c r="R24"/>
      <c r="S24"/>
      <c r="T24"/>
      <c r="U24"/>
      <c r="V24"/>
      <c r="W24"/>
    </row>
    <row r="25" spans="2:23" ht="17" hidden="1" outlineLevel="1" x14ac:dyDescent="0.2">
      <c r="B25" s="404"/>
      <c r="C25" s="403" t="s">
        <v>394</v>
      </c>
      <c r="D25" s="405">
        <v>30589</v>
      </c>
      <c r="E25" s="406"/>
      <c r="F25"/>
      <c r="G25" s="406">
        <f ca="1">G24</f>
        <v>0</v>
      </c>
      <c r="H25" s="658"/>
      <c r="I25" s="658"/>
      <c r="J25" s="407">
        <f t="shared" ca="1" si="0"/>
        <v>0</v>
      </c>
      <c r="K25" s="1158"/>
      <c r="L25"/>
      <c r="M25"/>
      <c r="N25"/>
      <c r="O25"/>
      <c r="P25"/>
      <c r="Q25"/>
      <c r="R25"/>
      <c r="S25"/>
      <c r="T25"/>
      <c r="U25"/>
      <c r="V25"/>
      <c r="W25"/>
    </row>
    <row r="26" spans="2:23" ht="17" hidden="1" outlineLevel="1" x14ac:dyDescent="0.2">
      <c r="B26" s="404"/>
      <c r="C26" s="403" t="s">
        <v>395</v>
      </c>
      <c r="D26" s="405">
        <v>30681</v>
      </c>
      <c r="E26" s="406"/>
      <c r="F26"/>
      <c r="G26" s="406">
        <f ca="1">SUM(G25,H22,I22)</f>
        <v>0</v>
      </c>
      <c r="H26" s="658"/>
      <c r="I26" s="658"/>
      <c r="J26" s="407">
        <f t="shared" ca="1" si="0"/>
        <v>0</v>
      </c>
      <c r="K26" s="1158"/>
      <c r="L26"/>
      <c r="M26"/>
      <c r="N26"/>
      <c r="O26"/>
      <c r="P26"/>
      <c r="Q26"/>
      <c r="R26"/>
      <c r="S26"/>
      <c r="T26"/>
      <c r="U26"/>
      <c r="V26"/>
      <c r="W26"/>
    </row>
    <row r="27" spans="2:23" collapsed="1" x14ac:dyDescent="0.2">
      <c r="B27" s="404">
        <v>5</v>
      </c>
      <c r="E27" s="406"/>
      <c r="F27" s="406">
        <f ca="1">IF(B27&lt;=year_sale,'P&amp;L'!L51,0)</f>
        <v>0</v>
      </c>
      <c r="G27" s="406"/>
      <c r="H27" s="658">
        <f ca="1">IF(B27=year_refi,'Exit Strategy'!$D$29,IF(B27=year_sale,'Exit Strategy'!$H$25,""))</f>
        <v>0</v>
      </c>
      <c r="I27" s="658">
        <f>Returns!G12</f>
        <v>0</v>
      </c>
      <c r="J27" s="407">
        <f t="shared" ca="1" si="0"/>
        <v>0</v>
      </c>
      <c r="K27" s="1158"/>
      <c r="L27"/>
      <c r="M27"/>
      <c r="N27"/>
      <c r="O27"/>
      <c r="P27"/>
      <c r="Q27"/>
      <c r="R27"/>
      <c r="S27"/>
      <c r="T27"/>
      <c r="U27"/>
      <c r="V27"/>
      <c r="W27"/>
    </row>
    <row r="28" spans="2:23" ht="17" hidden="1" outlineLevel="1" x14ac:dyDescent="0.2">
      <c r="B28" s="404"/>
      <c r="C28" s="403" t="s">
        <v>392</v>
      </c>
      <c r="D28" s="405">
        <v>30772</v>
      </c>
      <c r="E28" s="406"/>
      <c r="F28"/>
      <c r="G28" s="406">
        <f ca="1">IFERROR(F27/4,0)</f>
        <v>0</v>
      </c>
      <c r="H28" s="658"/>
      <c r="I28" s="658"/>
      <c r="J28" s="407">
        <f t="shared" ca="1" si="0"/>
        <v>0</v>
      </c>
      <c r="K28" s="1158"/>
      <c r="L28"/>
      <c r="M28"/>
      <c r="N28"/>
      <c r="O28"/>
      <c r="P28"/>
      <c r="Q28"/>
      <c r="R28"/>
      <c r="S28"/>
      <c r="T28"/>
      <c r="U28"/>
      <c r="V28"/>
      <c r="W28"/>
    </row>
    <row r="29" spans="2:23" ht="17" hidden="1" outlineLevel="1" x14ac:dyDescent="0.2">
      <c r="B29" s="404"/>
      <c r="C29" s="403" t="s">
        <v>393</v>
      </c>
      <c r="D29" s="405">
        <v>30863</v>
      </c>
      <c r="E29" s="406"/>
      <c r="F29"/>
      <c r="G29" s="406">
        <f ca="1">G28</f>
        <v>0</v>
      </c>
      <c r="H29" s="658"/>
      <c r="I29" s="658"/>
      <c r="J29" s="407">
        <f t="shared" ca="1" si="0"/>
        <v>0</v>
      </c>
      <c r="K29" s="1158"/>
      <c r="L29"/>
      <c r="M29"/>
      <c r="N29"/>
      <c r="O29"/>
      <c r="P29"/>
      <c r="Q29"/>
      <c r="R29"/>
      <c r="S29"/>
      <c r="T29"/>
      <c r="U29"/>
      <c r="V29"/>
      <c r="W29"/>
    </row>
    <row r="30" spans="2:23" ht="17" hidden="1" outlineLevel="1" x14ac:dyDescent="0.2">
      <c r="B30" s="404"/>
      <c r="C30" s="403" t="s">
        <v>394</v>
      </c>
      <c r="D30" s="405">
        <v>30955</v>
      </c>
      <c r="E30" s="406"/>
      <c r="F30"/>
      <c r="G30" s="406">
        <f ca="1">G29</f>
        <v>0</v>
      </c>
      <c r="H30" s="658"/>
      <c r="I30" s="658"/>
      <c r="J30" s="407">
        <f t="shared" ca="1" si="0"/>
        <v>0</v>
      </c>
      <c r="K30" s="1158"/>
      <c r="L30"/>
      <c r="M30"/>
      <c r="N30"/>
      <c r="O30"/>
      <c r="P30"/>
      <c r="Q30"/>
      <c r="R30"/>
      <c r="S30"/>
      <c r="T30"/>
      <c r="U30"/>
      <c r="V30"/>
      <c r="W30"/>
    </row>
    <row r="31" spans="2:23" ht="17" hidden="1" outlineLevel="1" x14ac:dyDescent="0.2">
      <c r="B31" s="404"/>
      <c r="C31" s="403" t="s">
        <v>395</v>
      </c>
      <c r="D31" s="405">
        <v>31047</v>
      </c>
      <c r="E31" s="406"/>
      <c r="F31"/>
      <c r="G31" s="406">
        <f ca="1">SUM(G30,H27,I27)</f>
        <v>0</v>
      </c>
      <c r="H31" s="658"/>
      <c r="I31" s="658"/>
      <c r="J31" s="407">
        <f t="shared" ca="1" si="0"/>
        <v>0</v>
      </c>
      <c r="K31" s="1158"/>
      <c r="L31"/>
      <c r="M31"/>
      <c r="N31"/>
      <c r="O31"/>
      <c r="P31"/>
      <c r="Q31"/>
      <c r="R31"/>
      <c r="S31"/>
      <c r="T31"/>
      <c r="U31"/>
      <c r="V31"/>
      <c r="W31"/>
    </row>
    <row r="32" spans="2:23" ht="17" collapsed="1" x14ac:dyDescent="0.2">
      <c r="B32" s="404">
        <f>B27+1</f>
        <v>6</v>
      </c>
      <c r="E32" s="406"/>
      <c r="F32" s="406">
        <f>IF(B32&lt;=year_sale,'P&amp;L'!N51,0)</f>
        <v>0</v>
      </c>
      <c r="G32" s="406"/>
      <c r="H32" s="658" t="str">
        <f>IF(B32=year_refi,'Exit Strategy'!$D$29,IF(B32=year_sale,'Exit Strategy'!$H$25,""))</f>
        <v/>
      </c>
      <c r="I32" s="658">
        <f>Returns!H12</f>
        <v>0</v>
      </c>
      <c r="J32" s="407">
        <f t="shared" si="0"/>
        <v>0</v>
      </c>
      <c r="K32" s="1158"/>
      <c r="L32"/>
      <c r="M32"/>
      <c r="N32"/>
      <c r="O32"/>
      <c r="P32"/>
      <c r="Q32"/>
      <c r="R32"/>
      <c r="S32"/>
      <c r="T32"/>
      <c r="U32"/>
      <c r="V32"/>
      <c r="W32"/>
    </row>
    <row r="33" spans="2:23" ht="17" hidden="1" outlineLevel="1" x14ac:dyDescent="0.2">
      <c r="B33" s="404"/>
      <c r="C33" s="403" t="s">
        <v>392</v>
      </c>
      <c r="D33" s="405">
        <v>31137</v>
      </c>
      <c r="E33" s="406"/>
      <c r="F33"/>
      <c r="G33" s="406">
        <f>IFERROR(F32/4,0)</f>
        <v>0</v>
      </c>
      <c r="H33" s="658"/>
      <c r="I33" s="658"/>
      <c r="J33" s="407">
        <f t="shared" si="0"/>
        <v>0</v>
      </c>
      <c r="K33" s="1158"/>
      <c r="L33"/>
      <c r="M33"/>
      <c r="N33"/>
      <c r="O33"/>
      <c r="P33"/>
      <c r="Q33"/>
      <c r="R33"/>
      <c r="S33"/>
      <c r="T33"/>
      <c r="U33"/>
      <c r="V33"/>
      <c r="W33"/>
    </row>
    <row r="34" spans="2:23" ht="17" hidden="1" outlineLevel="1" x14ac:dyDescent="0.2">
      <c r="B34" s="404"/>
      <c r="C34" s="403" t="s">
        <v>393</v>
      </c>
      <c r="D34" s="405">
        <v>31228</v>
      </c>
      <c r="E34" s="406"/>
      <c r="F34"/>
      <c r="G34" s="406">
        <f>G33</f>
        <v>0</v>
      </c>
      <c r="H34" s="658"/>
      <c r="I34" s="658"/>
      <c r="J34" s="407">
        <f t="shared" si="0"/>
        <v>0</v>
      </c>
      <c r="K34" s="1158"/>
      <c r="L34"/>
      <c r="M34"/>
      <c r="N34"/>
      <c r="O34"/>
      <c r="P34"/>
      <c r="Q34"/>
      <c r="R34"/>
      <c r="S34"/>
      <c r="T34"/>
      <c r="U34"/>
      <c r="V34"/>
      <c r="W34"/>
    </row>
    <row r="35" spans="2:23" ht="17" hidden="1" outlineLevel="1" x14ac:dyDescent="0.2">
      <c r="B35" s="404"/>
      <c r="C35" s="403" t="s">
        <v>394</v>
      </c>
      <c r="D35" s="405">
        <v>31320</v>
      </c>
      <c r="E35" s="406"/>
      <c r="F35"/>
      <c r="G35" s="406">
        <f>G34</f>
        <v>0</v>
      </c>
      <c r="H35" s="658"/>
      <c r="I35" s="658"/>
      <c r="J35" s="407">
        <f t="shared" si="0"/>
        <v>0</v>
      </c>
      <c r="K35" s="1158"/>
      <c r="L35"/>
      <c r="M35"/>
      <c r="N35"/>
      <c r="O35"/>
      <c r="P35"/>
      <c r="Q35"/>
      <c r="R35"/>
      <c r="S35"/>
      <c r="T35"/>
      <c r="U35"/>
      <c r="V35"/>
      <c r="W35"/>
    </row>
    <row r="36" spans="2:23" ht="17" hidden="1" outlineLevel="1" x14ac:dyDescent="0.2">
      <c r="B36" s="404"/>
      <c r="C36" s="403" t="s">
        <v>395</v>
      </c>
      <c r="D36" s="405">
        <v>31412</v>
      </c>
      <c r="E36" s="406"/>
      <c r="F36"/>
      <c r="G36" s="406">
        <f>SUM(G35,H32,I32)</f>
        <v>0</v>
      </c>
      <c r="H36" s="658"/>
      <c r="I36" s="658"/>
      <c r="J36" s="407">
        <f t="shared" si="0"/>
        <v>0</v>
      </c>
      <c r="K36" s="1158"/>
      <c r="L36"/>
      <c r="M36"/>
      <c r="N36"/>
      <c r="O36"/>
      <c r="P36"/>
      <c r="Q36"/>
      <c r="R36"/>
      <c r="S36"/>
      <c r="T36"/>
      <c r="U36"/>
      <c r="V36"/>
      <c r="W36"/>
    </row>
    <row r="37" spans="2:23" ht="17" collapsed="1" x14ac:dyDescent="0.2">
      <c r="B37" s="404">
        <f>B32+1</f>
        <v>7</v>
      </c>
      <c r="E37" s="406"/>
      <c r="F37" s="406">
        <f>IF(B37&lt;=year_sale,'P&amp;L'!P51,0)</f>
        <v>0</v>
      </c>
      <c r="G37" s="406"/>
      <c r="H37" s="658" t="str">
        <f>IF(B37=year_refi,'Exit Strategy'!$D$29,IF(B37=year_sale,'Exit Strategy'!$H$25,""))</f>
        <v/>
      </c>
      <c r="I37" s="658">
        <f>Returns!I12</f>
        <v>0</v>
      </c>
      <c r="J37" s="407">
        <f t="shared" si="0"/>
        <v>0</v>
      </c>
      <c r="K37" s="1158"/>
      <c r="L37"/>
      <c r="M37"/>
      <c r="N37"/>
      <c r="O37"/>
      <c r="P37"/>
      <c r="Q37"/>
      <c r="R37"/>
      <c r="S37"/>
      <c r="T37"/>
      <c r="U37"/>
      <c r="V37"/>
      <c r="W37"/>
    </row>
    <row r="38" spans="2:23" ht="17" hidden="1" outlineLevel="1" x14ac:dyDescent="0.2">
      <c r="B38" s="404"/>
      <c r="C38" s="403" t="s">
        <v>392</v>
      </c>
      <c r="D38" s="405">
        <v>31502</v>
      </c>
      <c r="E38" s="406"/>
      <c r="F38"/>
      <c r="G38" s="406">
        <f>IFERROR(F37/4,0)</f>
        <v>0</v>
      </c>
      <c r="H38" s="658"/>
      <c r="I38" s="658"/>
      <c r="J38" s="407">
        <f t="shared" si="0"/>
        <v>0</v>
      </c>
      <c r="K38" s="1158"/>
      <c r="L38"/>
      <c r="M38"/>
      <c r="N38"/>
      <c r="O38"/>
      <c r="P38"/>
      <c r="Q38"/>
      <c r="R38"/>
      <c r="S38"/>
      <c r="T38"/>
      <c r="U38"/>
      <c r="V38"/>
      <c r="W38"/>
    </row>
    <row r="39" spans="2:23" ht="17" hidden="1" outlineLevel="1" x14ac:dyDescent="0.2">
      <c r="B39" s="404"/>
      <c r="C39" s="403" t="s">
        <v>393</v>
      </c>
      <c r="D39" s="405">
        <v>31593</v>
      </c>
      <c r="E39" s="406"/>
      <c r="F39"/>
      <c r="G39" s="406">
        <f>G38</f>
        <v>0</v>
      </c>
      <c r="H39" s="658"/>
      <c r="I39" s="658"/>
      <c r="J39" s="407">
        <f t="shared" si="0"/>
        <v>0</v>
      </c>
      <c r="K39" s="1158"/>
      <c r="L39"/>
      <c r="M39"/>
      <c r="N39"/>
      <c r="O39"/>
      <c r="P39"/>
      <c r="Q39"/>
      <c r="R39"/>
      <c r="S39"/>
      <c r="T39"/>
      <c r="U39"/>
      <c r="V39"/>
      <c r="W39"/>
    </row>
    <row r="40" spans="2:23" ht="17" hidden="1" outlineLevel="1" x14ac:dyDescent="0.2">
      <c r="B40" s="404"/>
      <c r="C40" s="403" t="s">
        <v>394</v>
      </c>
      <c r="D40" s="405">
        <v>31685</v>
      </c>
      <c r="E40" s="406"/>
      <c r="F40"/>
      <c r="G40" s="406">
        <f>G39</f>
        <v>0</v>
      </c>
      <c r="H40" s="658"/>
      <c r="I40" s="658"/>
      <c r="J40" s="407">
        <f t="shared" si="0"/>
        <v>0</v>
      </c>
      <c r="K40" s="1158"/>
      <c r="L40"/>
      <c r="M40"/>
      <c r="N40"/>
      <c r="O40"/>
      <c r="P40"/>
      <c r="Q40"/>
      <c r="R40"/>
      <c r="S40"/>
      <c r="T40"/>
      <c r="U40"/>
      <c r="V40"/>
      <c r="W40"/>
    </row>
    <row r="41" spans="2:23" ht="17" hidden="1" outlineLevel="1" x14ac:dyDescent="0.2">
      <c r="B41" s="404"/>
      <c r="C41" s="403" t="s">
        <v>395</v>
      </c>
      <c r="D41" s="405">
        <v>31777</v>
      </c>
      <c r="E41" s="406"/>
      <c r="F41"/>
      <c r="G41" s="406">
        <f>SUM(G40,H37,I37)</f>
        <v>0</v>
      </c>
      <c r="H41" s="658"/>
      <c r="I41" s="658"/>
      <c r="J41" s="407">
        <f t="shared" si="0"/>
        <v>0</v>
      </c>
      <c r="K41" s="1158"/>
      <c r="L41"/>
      <c r="M41"/>
      <c r="N41"/>
      <c r="O41"/>
      <c r="P41"/>
      <c r="Q41"/>
      <c r="R41"/>
      <c r="S41"/>
      <c r="T41"/>
      <c r="U41"/>
      <c r="V41"/>
      <c r="W41"/>
    </row>
    <row r="42" spans="2:23" ht="17" collapsed="1" x14ac:dyDescent="0.2">
      <c r="B42" s="404">
        <f>B37+1</f>
        <v>8</v>
      </c>
      <c r="E42" s="406"/>
      <c r="F42" s="406">
        <f>IF(B42&lt;=year_sale,'P&amp;L'!R51,0)</f>
        <v>0</v>
      </c>
      <c r="G42" s="406"/>
      <c r="H42" s="658" t="str">
        <f>IF(B42=year_refi,'Exit Strategy'!$D$29,IF(B42=year_sale,'Exit Strategy'!$H$25,""))</f>
        <v/>
      </c>
      <c r="I42" s="658">
        <f>Returns!J12</f>
        <v>0</v>
      </c>
      <c r="J42" s="407">
        <f t="shared" si="0"/>
        <v>0</v>
      </c>
      <c r="K42" s="1158"/>
      <c r="L42"/>
      <c r="M42"/>
      <c r="N42"/>
      <c r="O42"/>
      <c r="P42"/>
      <c r="Q42"/>
      <c r="R42"/>
      <c r="S42"/>
      <c r="T42"/>
      <c r="U42"/>
      <c r="V42"/>
      <c r="W42"/>
    </row>
    <row r="43" spans="2:23" ht="17" hidden="1" outlineLevel="1" x14ac:dyDescent="0.2">
      <c r="B43" s="404"/>
      <c r="C43" s="403" t="s">
        <v>392</v>
      </c>
      <c r="D43" s="405">
        <v>31867</v>
      </c>
      <c r="E43" s="406"/>
      <c r="F43"/>
      <c r="G43" s="406">
        <f>IFERROR(F42/4,0)</f>
        <v>0</v>
      </c>
      <c r="H43" s="658"/>
      <c r="I43" s="658"/>
      <c r="J43" s="407">
        <f t="shared" si="0"/>
        <v>0</v>
      </c>
      <c r="K43" s="1158"/>
      <c r="L43"/>
      <c r="M43"/>
      <c r="N43"/>
      <c r="O43"/>
      <c r="P43"/>
      <c r="Q43"/>
      <c r="R43"/>
      <c r="S43"/>
      <c r="T43"/>
      <c r="U43"/>
      <c r="V43"/>
      <c r="W43"/>
    </row>
    <row r="44" spans="2:23" ht="17" hidden="1" outlineLevel="1" x14ac:dyDescent="0.2">
      <c r="B44" s="404"/>
      <c r="C44" s="403" t="s">
        <v>393</v>
      </c>
      <c r="D44" s="405">
        <v>31958</v>
      </c>
      <c r="E44" s="406"/>
      <c r="F44"/>
      <c r="G44" s="406">
        <f>G43</f>
        <v>0</v>
      </c>
      <c r="H44" s="658"/>
      <c r="I44" s="658"/>
      <c r="J44" s="407">
        <f t="shared" si="0"/>
        <v>0</v>
      </c>
      <c r="K44" s="1158"/>
      <c r="L44"/>
      <c r="M44"/>
      <c r="N44"/>
      <c r="O44"/>
      <c r="P44"/>
      <c r="Q44"/>
      <c r="R44"/>
      <c r="S44"/>
      <c r="T44"/>
      <c r="U44"/>
      <c r="V44"/>
      <c r="W44"/>
    </row>
    <row r="45" spans="2:23" ht="17" hidden="1" outlineLevel="1" x14ac:dyDescent="0.2">
      <c r="B45" s="404"/>
      <c r="C45" s="403" t="s">
        <v>394</v>
      </c>
      <c r="D45" s="405">
        <v>32050</v>
      </c>
      <c r="E45" s="406"/>
      <c r="F45"/>
      <c r="G45" s="406">
        <f>G44</f>
        <v>0</v>
      </c>
      <c r="H45" s="658"/>
      <c r="I45" s="658"/>
      <c r="J45" s="407">
        <f t="shared" si="0"/>
        <v>0</v>
      </c>
      <c r="K45" s="1158"/>
      <c r="L45"/>
      <c r="M45"/>
      <c r="N45"/>
      <c r="O45"/>
      <c r="P45"/>
      <c r="Q45"/>
      <c r="R45"/>
      <c r="S45"/>
      <c r="T45"/>
      <c r="U45"/>
      <c r="V45"/>
      <c r="W45"/>
    </row>
    <row r="46" spans="2:23" ht="17" hidden="1" outlineLevel="1" x14ac:dyDescent="0.2">
      <c r="B46" s="404"/>
      <c r="C46" s="403" t="s">
        <v>395</v>
      </c>
      <c r="D46" s="405">
        <v>32142</v>
      </c>
      <c r="E46" s="406"/>
      <c r="F46"/>
      <c r="G46" s="406">
        <f>SUM(G45,H42,I42)</f>
        <v>0</v>
      </c>
      <c r="H46" s="658"/>
      <c r="I46" s="658"/>
      <c r="J46" s="407">
        <f t="shared" si="0"/>
        <v>0</v>
      </c>
      <c r="K46" s="1158"/>
      <c r="L46"/>
      <c r="M46"/>
      <c r="N46"/>
      <c r="O46"/>
      <c r="P46"/>
      <c r="Q46"/>
      <c r="R46"/>
      <c r="S46"/>
      <c r="T46"/>
      <c r="U46"/>
      <c r="V46"/>
      <c r="W46"/>
    </row>
    <row r="47" spans="2:23" ht="17" collapsed="1" x14ac:dyDescent="0.2">
      <c r="B47" s="404">
        <f>B42+1</f>
        <v>9</v>
      </c>
      <c r="E47" s="406"/>
      <c r="F47" s="406">
        <f>IF(B47&lt;=year_sale,'P&amp;L'!T51,0)</f>
        <v>0</v>
      </c>
      <c r="G47" s="406"/>
      <c r="H47" s="658" t="str">
        <f>IF(B47=year_refi,'Exit Strategy'!$D$29,IF(B47=year_sale,'Exit Strategy'!$H$25,""))</f>
        <v/>
      </c>
      <c r="I47" s="658">
        <f>Returns!K12</f>
        <v>0</v>
      </c>
      <c r="J47" s="407">
        <f t="shared" si="0"/>
        <v>0</v>
      </c>
      <c r="K47" s="1158"/>
      <c r="L47"/>
      <c r="M47"/>
      <c r="N47"/>
      <c r="O47"/>
      <c r="P47"/>
      <c r="Q47"/>
      <c r="R47"/>
      <c r="S47"/>
      <c r="T47"/>
      <c r="U47"/>
      <c r="V47"/>
      <c r="W47"/>
    </row>
    <row r="48" spans="2:23" ht="17" hidden="1" outlineLevel="1" x14ac:dyDescent="0.2">
      <c r="B48" s="404"/>
      <c r="C48" s="403" t="s">
        <v>392</v>
      </c>
      <c r="D48" s="405">
        <v>32233</v>
      </c>
      <c r="E48" s="406"/>
      <c r="F48"/>
      <c r="G48" s="406">
        <f>IFERROR(F47/4,0)</f>
        <v>0</v>
      </c>
      <c r="H48" s="658"/>
      <c r="I48" s="658"/>
      <c r="J48" s="407">
        <f t="shared" si="0"/>
        <v>0</v>
      </c>
      <c r="K48" s="1158"/>
      <c r="L48"/>
      <c r="M48"/>
      <c r="N48"/>
      <c r="O48"/>
      <c r="P48"/>
      <c r="Q48"/>
      <c r="R48"/>
      <c r="S48"/>
      <c r="T48"/>
      <c r="U48"/>
      <c r="V48"/>
      <c r="W48"/>
    </row>
    <row r="49" spans="2:23" ht="17" hidden="1" outlineLevel="1" x14ac:dyDescent="0.2">
      <c r="B49" s="404"/>
      <c r="C49" s="403" t="s">
        <v>393</v>
      </c>
      <c r="D49" s="405">
        <v>32324</v>
      </c>
      <c r="E49" s="406"/>
      <c r="F49"/>
      <c r="G49" s="406">
        <f>G48</f>
        <v>0</v>
      </c>
      <c r="H49" s="658"/>
      <c r="I49" s="658"/>
      <c r="J49" s="407">
        <f t="shared" si="0"/>
        <v>0</v>
      </c>
      <c r="K49" s="1158"/>
      <c r="L49"/>
      <c r="M49"/>
      <c r="N49"/>
      <c r="O49"/>
      <c r="P49"/>
      <c r="Q49"/>
      <c r="R49"/>
      <c r="S49"/>
      <c r="T49"/>
      <c r="U49"/>
      <c r="V49"/>
      <c r="W49"/>
    </row>
    <row r="50" spans="2:23" ht="17" hidden="1" outlineLevel="1" x14ac:dyDescent="0.2">
      <c r="B50" s="404"/>
      <c r="C50" s="403" t="s">
        <v>394</v>
      </c>
      <c r="D50" s="405">
        <v>32416</v>
      </c>
      <c r="E50" s="406"/>
      <c r="F50"/>
      <c r="G50" s="406">
        <f>G49</f>
        <v>0</v>
      </c>
      <c r="H50" s="658"/>
      <c r="I50" s="658"/>
      <c r="J50" s="407">
        <f t="shared" si="0"/>
        <v>0</v>
      </c>
      <c r="K50" s="1158"/>
      <c r="L50"/>
      <c r="M50"/>
      <c r="N50"/>
      <c r="O50"/>
      <c r="P50"/>
      <c r="Q50"/>
      <c r="R50"/>
      <c r="S50"/>
      <c r="T50"/>
      <c r="U50"/>
      <c r="V50"/>
      <c r="W50"/>
    </row>
    <row r="51" spans="2:23" ht="17" hidden="1" outlineLevel="1" x14ac:dyDescent="0.2">
      <c r="B51" s="404"/>
      <c r="C51" s="403" t="s">
        <v>395</v>
      </c>
      <c r="D51" s="405">
        <v>32508</v>
      </c>
      <c r="E51" s="406"/>
      <c r="F51"/>
      <c r="G51" s="406">
        <f>SUM(G50,H47,I47)</f>
        <v>0</v>
      </c>
      <c r="H51" s="658"/>
      <c r="I51" s="658"/>
      <c r="J51" s="407">
        <f t="shared" si="0"/>
        <v>0</v>
      </c>
      <c r="K51" s="186"/>
      <c r="L51"/>
      <c r="M51"/>
      <c r="N51"/>
      <c r="O51"/>
      <c r="P51"/>
      <c r="Q51"/>
      <c r="R51"/>
      <c r="S51"/>
      <c r="T51"/>
      <c r="U51"/>
      <c r="V51"/>
      <c r="W51"/>
    </row>
    <row r="52" spans="2:23" ht="17" collapsed="1" x14ac:dyDescent="0.2">
      <c r="B52" s="404">
        <f>B47+1</f>
        <v>10</v>
      </c>
      <c r="E52" s="406"/>
      <c r="F52" s="406">
        <f>IF(B52&lt;=year_sale,'P&amp;L'!V51,0)</f>
        <v>0</v>
      </c>
      <c r="G52" s="406"/>
      <c r="H52" s="658" t="str">
        <f>IF(B52=year_refi,'Exit Strategy'!$D$29,IF(B52=year_sale,'Exit Strategy'!$H$25,""))</f>
        <v/>
      </c>
      <c r="I52" s="658">
        <f>Returns!L12</f>
        <v>0</v>
      </c>
      <c r="J52" s="407">
        <f t="shared" si="0"/>
        <v>0</v>
      </c>
      <c r="K52" s="186"/>
      <c r="L52"/>
      <c r="M52"/>
      <c r="N52"/>
      <c r="O52"/>
      <c r="P52"/>
      <c r="Q52"/>
      <c r="R52"/>
      <c r="S52"/>
      <c r="T52"/>
      <c r="U52"/>
      <c r="V52"/>
      <c r="W52"/>
    </row>
    <row r="53" spans="2:23" ht="17" hidden="1" outlineLevel="1" x14ac:dyDescent="0.2">
      <c r="B53" s="404"/>
      <c r="C53" s="403" t="s">
        <v>392</v>
      </c>
      <c r="D53" s="405">
        <v>32598</v>
      </c>
      <c r="E53" s="406"/>
      <c r="F53" s="406"/>
      <c r="G53" s="406">
        <f>IFERROR(F52/4,0)</f>
        <v>0</v>
      </c>
      <c r="H53" s="406"/>
      <c r="I53" s="658"/>
      <c r="J53" s="407">
        <f t="shared" si="0"/>
        <v>0</v>
      </c>
      <c r="K53" s="186"/>
      <c r="L53"/>
      <c r="M53"/>
      <c r="N53"/>
      <c r="O53"/>
      <c r="P53"/>
      <c r="Q53"/>
      <c r="R53"/>
      <c r="S53"/>
      <c r="T53"/>
      <c r="U53"/>
      <c r="V53"/>
      <c r="W53"/>
    </row>
    <row r="54" spans="2:23" ht="17" hidden="1" outlineLevel="1" x14ac:dyDescent="0.2">
      <c r="B54" s="404"/>
      <c r="C54" s="403" t="s">
        <v>393</v>
      </c>
      <c r="D54" s="405">
        <v>32689</v>
      </c>
      <c r="E54" s="406"/>
      <c r="F54" s="406"/>
      <c r="G54" s="406">
        <f>G53</f>
        <v>0</v>
      </c>
      <c r="H54" s="406"/>
      <c r="I54" s="658"/>
      <c r="J54" s="407">
        <f t="shared" si="0"/>
        <v>0</v>
      </c>
      <c r="K54" s="186"/>
      <c r="L54"/>
      <c r="M54"/>
      <c r="N54"/>
      <c r="O54"/>
      <c r="P54"/>
      <c r="Q54"/>
      <c r="R54"/>
      <c r="S54"/>
      <c r="T54"/>
      <c r="U54"/>
      <c r="V54"/>
      <c r="W54"/>
    </row>
    <row r="55" spans="2:23" ht="17" hidden="1" outlineLevel="1" x14ac:dyDescent="0.2">
      <c r="B55" s="404"/>
      <c r="C55" s="403" t="s">
        <v>394</v>
      </c>
      <c r="D55" s="405">
        <v>32781</v>
      </c>
      <c r="E55" s="406"/>
      <c r="F55" s="406"/>
      <c r="G55" s="406">
        <f>G54</f>
        <v>0</v>
      </c>
      <c r="H55" s="406"/>
      <c r="I55" s="658"/>
      <c r="J55" s="407">
        <f t="shared" si="0"/>
        <v>0</v>
      </c>
      <c r="K55" s="186"/>
      <c r="L55"/>
      <c r="M55"/>
      <c r="N55"/>
      <c r="O55"/>
      <c r="P55"/>
      <c r="Q55"/>
      <c r="R55"/>
      <c r="S55"/>
      <c r="T55"/>
      <c r="U55"/>
      <c r="V55"/>
      <c r="W55"/>
    </row>
    <row r="56" spans="2:23" ht="17" hidden="1" outlineLevel="1" x14ac:dyDescent="0.2">
      <c r="B56" s="404"/>
      <c r="C56" s="403" t="s">
        <v>395</v>
      </c>
      <c r="D56" s="405">
        <v>32873</v>
      </c>
      <c r="E56" s="406"/>
      <c r="F56" s="406"/>
      <c r="G56" s="406">
        <f>SUM(G55,H52,I52)</f>
        <v>0</v>
      </c>
      <c r="H56" s="406"/>
      <c r="I56" s="658"/>
      <c r="J56" s="407">
        <f t="shared" si="0"/>
        <v>0</v>
      </c>
      <c r="K56" s="186"/>
      <c r="L56"/>
      <c r="M56"/>
      <c r="N56"/>
      <c r="O56"/>
      <c r="P56"/>
      <c r="Q56"/>
      <c r="R56"/>
      <c r="S56"/>
      <c r="T56"/>
      <c r="U56"/>
      <c r="V56"/>
      <c r="W56"/>
    </row>
    <row r="57" spans="2:23" ht="18" thickBot="1" x14ac:dyDescent="0.25">
      <c r="B57" s="408" t="s">
        <v>42</v>
      </c>
      <c r="C57" s="409"/>
      <c r="D57" s="409"/>
      <c r="E57" s="410">
        <f>SUM(E6:E52)</f>
        <v>0</v>
      </c>
      <c r="F57" s="410">
        <f ca="1">SUM(F6:F52)</f>
        <v>0</v>
      </c>
      <c r="G57" s="410"/>
      <c r="H57" s="410">
        <f ca="1">SUM(H6:H52)</f>
        <v>0</v>
      </c>
      <c r="I57" s="659">
        <f>SUM(I6:I52)</f>
        <v>0</v>
      </c>
      <c r="J57" s="975">
        <f t="shared" ca="1" si="0"/>
        <v>0</v>
      </c>
      <c r="K57" s="186"/>
      <c r="L57"/>
      <c r="M57"/>
      <c r="N57"/>
      <c r="O57"/>
      <c r="P57"/>
      <c r="Q57"/>
      <c r="R57"/>
      <c r="S57"/>
      <c r="T57"/>
      <c r="U57"/>
      <c r="V57"/>
      <c r="W57"/>
    </row>
    <row r="58" spans="2:23" ht="18" thickBot="1" x14ac:dyDescent="0.25">
      <c r="B58" s="412" t="s">
        <v>9</v>
      </c>
      <c r="C58" s="413"/>
      <c r="D58" s="413"/>
      <c r="E58" s="414"/>
      <c r="F58" s="414"/>
      <c r="G58" s="414"/>
      <c r="H58" s="414"/>
      <c r="I58" s="414"/>
      <c r="J58" s="415">
        <f>IF(E6=0,0,XIRR(G6:G56,D6:D56))</f>
        <v>0</v>
      </c>
      <c r="K58" s="357" t="str">
        <f>About!E7</f>
        <v/>
      </c>
      <c r="L58"/>
      <c r="M58"/>
      <c r="N58"/>
      <c r="O58"/>
      <c r="P58"/>
      <c r="Q58"/>
      <c r="R58"/>
      <c r="S58"/>
      <c r="T58"/>
      <c r="U58"/>
      <c r="V58"/>
      <c r="W58"/>
    </row>
    <row r="59" spans="2:23" x14ac:dyDescent="0.2">
      <c r="B59" s="186"/>
      <c r="C59" s="186"/>
      <c r="D59" s="186"/>
      <c r="E59" s="186"/>
      <c r="F59" s="186"/>
      <c r="G59" s="186"/>
      <c r="H59" s="186"/>
      <c r="I59" s="306"/>
      <c r="J59" s="186"/>
      <c r="K59" s="186"/>
      <c r="L59"/>
      <c r="M59"/>
      <c r="N59"/>
      <c r="O59"/>
      <c r="P59"/>
      <c r="Q59"/>
      <c r="R59"/>
      <c r="S59"/>
      <c r="T59"/>
      <c r="U59"/>
      <c r="V59"/>
      <c r="W59"/>
    </row>
    <row r="60" spans="2:23" ht="17" thickBot="1" x14ac:dyDescent="0.25">
      <c r="C60" s="550"/>
      <c r="D60" s="550"/>
      <c r="E60" s="10"/>
      <c r="F60" s="10"/>
      <c r="G60" s="10"/>
      <c r="H60" s="10"/>
      <c r="I60" s="10"/>
      <c r="J60" s="10"/>
      <c r="K60" s="186"/>
      <c r="L60"/>
      <c r="M60"/>
      <c r="N60"/>
      <c r="O60"/>
      <c r="P60"/>
      <c r="Q60"/>
      <c r="R60"/>
      <c r="S60"/>
      <c r="T60"/>
      <c r="U60"/>
      <c r="V60"/>
      <c r="W60"/>
    </row>
    <row r="61" spans="2:23" ht="24" customHeight="1" x14ac:dyDescent="0.2">
      <c r="B61" s="553" t="s">
        <v>170</v>
      </c>
      <c r="C61" s="551"/>
      <c r="D61" s="551"/>
      <c r="E61" s="551"/>
      <c r="F61" s="551"/>
      <c r="G61" s="551"/>
      <c r="H61" s="551"/>
      <c r="I61" s="551"/>
      <c r="J61" s="552"/>
      <c r="K61" s="186"/>
      <c r="L61"/>
      <c r="M61"/>
      <c r="N61"/>
      <c r="O61"/>
      <c r="P61"/>
      <c r="Q61"/>
      <c r="R61"/>
      <c r="S61"/>
      <c r="T61"/>
      <c r="U61"/>
      <c r="V61"/>
      <c r="W61"/>
    </row>
    <row r="62" spans="2:23" s="93" customFormat="1" ht="50" customHeight="1" x14ac:dyDescent="0.2">
      <c r="B62" s="547" t="s">
        <v>10</v>
      </c>
      <c r="C62" s="548" t="s">
        <v>396</v>
      </c>
      <c r="D62" s="548"/>
      <c r="E62" s="548" t="s">
        <v>54</v>
      </c>
      <c r="F62" s="548" t="s">
        <v>65</v>
      </c>
      <c r="G62" s="548" t="s">
        <v>391</v>
      </c>
      <c r="H62" s="548" t="s">
        <v>157</v>
      </c>
      <c r="I62" s="548" t="s">
        <v>494</v>
      </c>
      <c r="J62" s="549" t="s">
        <v>42</v>
      </c>
      <c r="K62" s="417"/>
      <c r="L62"/>
      <c r="M62"/>
      <c r="N62"/>
      <c r="O62"/>
      <c r="P62"/>
      <c r="Q62"/>
      <c r="R62"/>
      <c r="S62"/>
      <c r="T62"/>
      <c r="U62"/>
      <c r="V62"/>
      <c r="W62"/>
    </row>
    <row r="63" spans="2:23" x14ac:dyDescent="0.2">
      <c r="B63" s="404">
        <v>0</v>
      </c>
      <c r="D63" s="405">
        <v>29220</v>
      </c>
      <c r="E63" s="406">
        <f>E6</f>
        <v>0</v>
      </c>
      <c r="F63" s="406">
        <v>0</v>
      </c>
      <c r="G63" s="406">
        <f>E63</f>
        <v>0</v>
      </c>
      <c r="H63" s="658"/>
      <c r="I63" s="658"/>
      <c r="J63" s="407">
        <f>H63+F63+E63</f>
        <v>0</v>
      </c>
      <c r="K63" s="186"/>
      <c r="L63"/>
      <c r="M63"/>
      <c r="N63"/>
      <c r="O63"/>
      <c r="P63"/>
      <c r="Q63"/>
      <c r="R63"/>
      <c r="S63"/>
      <c r="T63"/>
      <c r="U63"/>
      <c r="V63"/>
      <c r="W63"/>
    </row>
    <row r="64" spans="2:23" collapsed="1" x14ac:dyDescent="0.2">
      <c r="B64" s="404">
        <v>1</v>
      </c>
      <c r="E64" s="406"/>
      <c r="F64" s="406">
        <f ca="1">IF(B64&lt;=year_sale,'P&amp;L'!D51+'P&amp;L'!D50,0)</f>
        <v>0</v>
      </c>
      <c r="G64" s="406"/>
      <c r="H64" s="658">
        <f>SUM(Returns!C82,Returns!C84)</f>
        <v>0</v>
      </c>
      <c r="I64" s="658">
        <f>Returns!C12</f>
        <v>0</v>
      </c>
      <c r="J64" s="407">
        <f ca="1">SUM(E64:I64)</f>
        <v>0</v>
      </c>
      <c r="K64" s="186"/>
      <c r="L64"/>
      <c r="M64"/>
      <c r="N64"/>
      <c r="O64"/>
      <c r="P64"/>
      <c r="Q64"/>
      <c r="R64"/>
      <c r="S64"/>
      <c r="T64"/>
      <c r="U64"/>
      <c r="V64"/>
      <c r="W64"/>
    </row>
    <row r="65" spans="2:23" ht="17" hidden="1" outlineLevel="1" x14ac:dyDescent="0.2">
      <c r="B65" s="404"/>
      <c r="C65" s="403" t="s">
        <v>392</v>
      </c>
      <c r="D65" s="405">
        <v>29311</v>
      </c>
      <c r="E65" s="406"/>
      <c r="F65" s="406"/>
      <c r="G65" s="406">
        <f ca="1">IFERROR(F64/4,0)</f>
        <v>0</v>
      </c>
      <c r="H65" s="658"/>
      <c r="I65" s="658"/>
      <c r="J65" s="407">
        <f t="shared" ref="J65:J113" ca="1" si="1">SUM(E65:I65)</f>
        <v>0</v>
      </c>
      <c r="K65" s="186"/>
      <c r="L65"/>
      <c r="M65"/>
      <c r="N65"/>
      <c r="O65"/>
      <c r="P65"/>
      <c r="Q65"/>
      <c r="R65"/>
      <c r="S65"/>
      <c r="T65"/>
      <c r="U65"/>
      <c r="V65"/>
      <c r="W65"/>
    </row>
    <row r="66" spans="2:23" ht="17" hidden="1" outlineLevel="1" x14ac:dyDescent="0.2">
      <c r="B66" s="404"/>
      <c r="C66" s="403" t="s">
        <v>393</v>
      </c>
      <c r="D66" s="405">
        <v>29402</v>
      </c>
      <c r="E66" s="406"/>
      <c r="F66" s="406"/>
      <c r="G66" s="406">
        <f ca="1">G65</f>
        <v>0</v>
      </c>
      <c r="H66" s="658"/>
      <c r="I66" s="658"/>
      <c r="J66" s="407">
        <f t="shared" ca="1" si="1"/>
        <v>0</v>
      </c>
      <c r="K66" s="186"/>
      <c r="L66"/>
      <c r="M66"/>
      <c r="N66"/>
      <c r="O66"/>
      <c r="P66"/>
      <c r="Q66"/>
      <c r="R66"/>
      <c r="S66"/>
      <c r="T66"/>
      <c r="U66"/>
      <c r="V66"/>
      <c r="W66"/>
    </row>
    <row r="67" spans="2:23" ht="17" hidden="1" outlineLevel="1" x14ac:dyDescent="0.2">
      <c r="B67" s="404"/>
      <c r="C67" s="403" t="s">
        <v>394</v>
      </c>
      <c r="D67" s="405">
        <v>29494</v>
      </c>
      <c r="E67" s="406"/>
      <c r="F67" s="406"/>
      <c r="G67" s="406">
        <f ca="1">G66</f>
        <v>0</v>
      </c>
      <c r="H67" s="658"/>
      <c r="I67" s="658"/>
      <c r="J67" s="407">
        <f t="shared" ca="1" si="1"/>
        <v>0</v>
      </c>
      <c r="K67" s="186"/>
      <c r="L67"/>
      <c r="M67"/>
      <c r="N67"/>
      <c r="O67"/>
      <c r="P67"/>
      <c r="Q67"/>
      <c r="R67"/>
      <c r="S67"/>
      <c r="T67"/>
      <c r="U67"/>
      <c r="V67"/>
      <c r="W67"/>
    </row>
    <row r="68" spans="2:23" ht="17" hidden="1" outlineLevel="1" x14ac:dyDescent="0.2">
      <c r="B68" s="404"/>
      <c r="C68" s="403" t="s">
        <v>395</v>
      </c>
      <c r="D68" s="405">
        <v>29586</v>
      </c>
      <c r="E68" s="406"/>
      <c r="F68" s="406"/>
      <c r="G68" s="406">
        <f ca="1">SUM(G67,H64,I64)</f>
        <v>0</v>
      </c>
      <c r="H68" s="658"/>
      <c r="I68" s="658"/>
      <c r="J68" s="407">
        <f t="shared" ca="1" si="1"/>
        <v>0</v>
      </c>
      <c r="K68" s="186"/>
      <c r="L68"/>
      <c r="M68"/>
      <c r="N68"/>
      <c r="O68"/>
      <c r="P68"/>
      <c r="Q68"/>
      <c r="R68"/>
      <c r="S68"/>
      <c r="T68"/>
      <c r="U68"/>
      <c r="V68"/>
      <c r="W68"/>
    </row>
    <row r="69" spans="2:23" collapsed="1" x14ac:dyDescent="0.2">
      <c r="B69" s="404">
        <v>2</v>
      </c>
      <c r="E69" s="406"/>
      <c r="F69" s="406">
        <f ca="1">IF(B69&lt;=year_sale,'P&amp;L'!F51+'P&amp;L'!F50,0)</f>
        <v>0</v>
      </c>
      <c r="G69" s="406"/>
      <c r="H69" s="658">
        <f>SUM(Returns!D82,Returns!D84)</f>
        <v>0</v>
      </c>
      <c r="I69" s="658">
        <f>Returns!D12</f>
        <v>0</v>
      </c>
      <c r="J69" s="407">
        <f t="shared" ca="1" si="1"/>
        <v>0</v>
      </c>
      <c r="K69" s="186"/>
      <c r="L69"/>
      <c r="M69"/>
      <c r="N69"/>
      <c r="O69"/>
      <c r="P69"/>
      <c r="Q69"/>
      <c r="R69"/>
      <c r="S69"/>
      <c r="T69"/>
      <c r="U69"/>
      <c r="V69"/>
      <c r="W69"/>
    </row>
    <row r="70" spans="2:23" ht="17" hidden="1" outlineLevel="1" x14ac:dyDescent="0.2">
      <c r="B70" s="404"/>
      <c r="C70" s="403" t="s">
        <v>392</v>
      </c>
      <c r="D70" s="405">
        <v>29676</v>
      </c>
      <c r="E70" s="406"/>
      <c r="F70" s="406"/>
      <c r="G70" s="406">
        <f ca="1">IFERROR(F69/4,0)</f>
        <v>0</v>
      </c>
      <c r="H70" s="658"/>
      <c r="I70" s="658"/>
      <c r="J70" s="407">
        <f t="shared" ca="1" si="1"/>
        <v>0</v>
      </c>
      <c r="K70" s="186"/>
      <c r="L70"/>
      <c r="M70"/>
      <c r="N70"/>
      <c r="O70"/>
      <c r="P70"/>
      <c r="Q70"/>
      <c r="R70"/>
      <c r="S70"/>
      <c r="T70"/>
      <c r="U70"/>
      <c r="V70"/>
      <c r="W70"/>
    </row>
    <row r="71" spans="2:23" ht="17" hidden="1" outlineLevel="1" x14ac:dyDescent="0.2">
      <c r="B71" s="404"/>
      <c r="C71" s="403" t="s">
        <v>393</v>
      </c>
      <c r="D71" s="405">
        <v>29767</v>
      </c>
      <c r="E71" s="406"/>
      <c r="F71" s="406"/>
      <c r="G71" s="406">
        <f ca="1">G70</f>
        <v>0</v>
      </c>
      <c r="H71" s="658"/>
      <c r="I71" s="658"/>
      <c r="J71" s="407">
        <f t="shared" ca="1" si="1"/>
        <v>0</v>
      </c>
      <c r="K71" s="186"/>
      <c r="L71"/>
      <c r="M71"/>
      <c r="N71"/>
      <c r="O71"/>
      <c r="P71"/>
      <c r="Q71"/>
      <c r="R71"/>
      <c r="S71"/>
      <c r="T71"/>
      <c r="U71"/>
      <c r="V71"/>
      <c r="W71"/>
    </row>
    <row r="72" spans="2:23" ht="17" hidden="1" outlineLevel="1" x14ac:dyDescent="0.2">
      <c r="B72" s="404"/>
      <c r="C72" s="403" t="s">
        <v>394</v>
      </c>
      <c r="D72" s="405">
        <v>29859</v>
      </c>
      <c r="E72" s="406"/>
      <c r="F72" s="406"/>
      <c r="G72" s="406">
        <f ca="1">G71</f>
        <v>0</v>
      </c>
      <c r="H72" s="658"/>
      <c r="I72" s="658"/>
      <c r="J72" s="407">
        <f t="shared" ca="1" si="1"/>
        <v>0</v>
      </c>
      <c r="K72" s="186"/>
      <c r="L72"/>
      <c r="M72"/>
      <c r="N72"/>
      <c r="O72"/>
      <c r="P72"/>
      <c r="Q72"/>
      <c r="R72"/>
      <c r="S72"/>
      <c r="T72"/>
      <c r="U72"/>
      <c r="V72"/>
      <c r="W72"/>
    </row>
    <row r="73" spans="2:23" ht="17" hidden="1" outlineLevel="1" x14ac:dyDescent="0.2">
      <c r="B73" s="404"/>
      <c r="C73" s="403" t="s">
        <v>395</v>
      </c>
      <c r="D73" s="405">
        <v>29951</v>
      </c>
      <c r="E73" s="406"/>
      <c r="F73" s="406"/>
      <c r="G73" s="406">
        <f ca="1">SUM(G72,H69,I69)</f>
        <v>0</v>
      </c>
      <c r="H73" s="658"/>
      <c r="I73" s="658"/>
      <c r="J73" s="407">
        <f t="shared" ca="1" si="1"/>
        <v>0</v>
      </c>
      <c r="K73" s="186"/>
      <c r="L73"/>
      <c r="M73"/>
      <c r="N73"/>
      <c r="O73"/>
      <c r="P73"/>
      <c r="Q73"/>
      <c r="R73"/>
      <c r="S73"/>
      <c r="T73"/>
      <c r="U73"/>
      <c r="V73"/>
      <c r="W73"/>
    </row>
    <row r="74" spans="2:23" collapsed="1" x14ac:dyDescent="0.2">
      <c r="B74" s="404">
        <v>3</v>
      </c>
      <c r="E74" s="406"/>
      <c r="F74" s="406">
        <f ca="1">IF(B74&lt;=year_sale,'P&amp;L'!H51+'P&amp;L'!H50,0)</f>
        <v>0</v>
      </c>
      <c r="G74" s="406"/>
      <c r="H74" s="658">
        <f>SUM(Returns!E82,Returns!E84)</f>
        <v>0</v>
      </c>
      <c r="I74" s="658">
        <f>Returns!E12</f>
        <v>0</v>
      </c>
      <c r="J74" s="407">
        <f t="shared" ca="1" si="1"/>
        <v>0</v>
      </c>
      <c r="K74" s="186"/>
      <c r="L74"/>
      <c r="M74"/>
      <c r="N74"/>
      <c r="O74"/>
      <c r="P74"/>
      <c r="Q74"/>
      <c r="R74"/>
      <c r="S74"/>
      <c r="T74"/>
      <c r="U74"/>
      <c r="V74"/>
      <c r="W74"/>
    </row>
    <row r="75" spans="2:23" ht="17" hidden="1" outlineLevel="1" x14ac:dyDescent="0.2">
      <c r="B75" s="404"/>
      <c r="C75" s="403" t="s">
        <v>392</v>
      </c>
      <c r="D75" s="405">
        <v>30041</v>
      </c>
      <c r="E75" s="406"/>
      <c r="F75" s="406"/>
      <c r="G75" s="406">
        <f ca="1">IFERROR(F74/4,0)</f>
        <v>0</v>
      </c>
      <c r="H75" s="658"/>
      <c r="I75" s="658"/>
      <c r="J75" s="407">
        <f t="shared" ca="1" si="1"/>
        <v>0</v>
      </c>
      <c r="K75" s="186"/>
      <c r="L75"/>
      <c r="M75"/>
      <c r="N75"/>
      <c r="O75"/>
      <c r="P75"/>
      <c r="Q75"/>
      <c r="R75"/>
      <c r="S75"/>
      <c r="T75"/>
      <c r="U75"/>
      <c r="V75"/>
      <c r="W75"/>
    </row>
    <row r="76" spans="2:23" ht="17" hidden="1" outlineLevel="1" x14ac:dyDescent="0.2">
      <c r="B76" s="404"/>
      <c r="C76" s="403" t="s">
        <v>393</v>
      </c>
      <c r="D76" s="405">
        <v>30132</v>
      </c>
      <c r="E76" s="406"/>
      <c r="F76" s="406"/>
      <c r="G76" s="406">
        <f ca="1">G75</f>
        <v>0</v>
      </c>
      <c r="H76" s="658"/>
      <c r="I76" s="658"/>
      <c r="J76" s="407">
        <f t="shared" ca="1" si="1"/>
        <v>0</v>
      </c>
      <c r="K76" s="186"/>
      <c r="L76"/>
      <c r="M76"/>
      <c r="N76"/>
      <c r="O76"/>
      <c r="P76"/>
      <c r="Q76"/>
      <c r="R76"/>
      <c r="S76"/>
      <c r="T76"/>
      <c r="U76"/>
      <c r="V76"/>
      <c r="W76"/>
    </row>
    <row r="77" spans="2:23" ht="17" hidden="1" outlineLevel="1" x14ac:dyDescent="0.2">
      <c r="B77" s="404"/>
      <c r="C77" s="403" t="s">
        <v>394</v>
      </c>
      <c r="D77" s="405">
        <v>30224</v>
      </c>
      <c r="E77" s="406"/>
      <c r="F77" s="406"/>
      <c r="G77" s="406">
        <f ca="1">G76</f>
        <v>0</v>
      </c>
      <c r="H77" s="658"/>
      <c r="I77" s="658"/>
      <c r="J77" s="407">
        <f t="shared" ca="1" si="1"/>
        <v>0</v>
      </c>
      <c r="K77" s="186"/>
      <c r="L77"/>
      <c r="M77"/>
      <c r="N77"/>
      <c r="O77"/>
      <c r="P77"/>
      <c r="Q77"/>
      <c r="R77"/>
      <c r="S77"/>
      <c r="T77"/>
      <c r="U77"/>
      <c r="V77"/>
      <c r="W77"/>
    </row>
    <row r="78" spans="2:23" ht="17" hidden="1" outlineLevel="1" x14ac:dyDescent="0.2">
      <c r="B78" s="404"/>
      <c r="C78" s="403" t="s">
        <v>395</v>
      </c>
      <c r="D78" s="405">
        <v>30316</v>
      </c>
      <c r="E78" s="406"/>
      <c r="F78" s="406"/>
      <c r="G78" s="406">
        <f ca="1">SUM(G77,H74,I74)</f>
        <v>0</v>
      </c>
      <c r="H78" s="658"/>
      <c r="I78" s="658"/>
      <c r="J78" s="407">
        <f t="shared" ca="1" si="1"/>
        <v>0</v>
      </c>
      <c r="K78" s="186"/>
      <c r="L78"/>
      <c r="M78"/>
      <c r="N78"/>
      <c r="O78"/>
      <c r="P78"/>
      <c r="Q78"/>
      <c r="R78"/>
      <c r="S78"/>
      <c r="T78"/>
      <c r="U78"/>
      <c r="V78"/>
      <c r="W78"/>
    </row>
    <row r="79" spans="2:23" collapsed="1" x14ac:dyDescent="0.2">
      <c r="B79" s="404">
        <v>4</v>
      </c>
      <c r="E79" s="406"/>
      <c r="F79" s="406">
        <f ca="1">IF(B79&lt;=year_sale,'P&amp;L'!J51+'P&amp;L'!J50,0)</f>
        <v>0</v>
      </c>
      <c r="G79" s="406"/>
      <c r="H79" s="658">
        <f>SUM(Returns!F82,Returns!F84)</f>
        <v>0</v>
      </c>
      <c r="I79" s="658">
        <f>Returns!F12</f>
        <v>0</v>
      </c>
      <c r="J79" s="407">
        <f t="shared" ca="1" si="1"/>
        <v>0</v>
      </c>
      <c r="K79" s="186"/>
      <c r="L79"/>
      <c r="M79"/>
      <c r="N79"/>
      <c r="O79"/>
      <c r="P79"/>
      <c r="Q79"/>
      <c r="R79"/>
      <c r="S79"/>
      <c r="T79"/>
      <c r="U79"/>
      <c r="V79"/>
      <c r="W79"/>
    </row>
    <row r="80" spans="2:23" ht="17" hidden="1" outlineLevel="1" x14ac:dyDescent="0.2">
      <c r="B80" s="404"/>
      <c r="C80" s="403" t="s">
        <v>392</v>
      </c>
      <c r="D80" s="405">
        <v>30406</v>
      </c>
      <c r="E80" s="406"/>
      <c r="F80" s="406"/>
      <c r="G80" s="406">
        <f ca="1">IFERROR(F79/4,0)</f>
        <v>0</v>
      </c>
      <c r="H80" s="658"/>
      <c r="I80" s="658"/>
      <c r="J80" s="407">
        <f t="shared" ca="1" si="1"/>
        <v>0</v>
      </c>
      <c r="K80" s="186"/>
      <c r="L80"/>
      <c r="M80"/>
      <c r="N80"/>
      <c r="O80"/>
      <c r="P80"/>
      <c r="Q80"/>
      <c r="R80"/>
      <c r="S80"/>
      <c r="T80"/>
      <c r="U80"/>
      <c r="V80"/>
      <c r="W80"/>
    </row>
    <row r="81" spans="2:23" ht="17" hidden="1" outlineLevel="1" x14ac:dyDescent="0.2">
      <c r="B81" s="404"/>
      <c r="C81" s="403" t="s">
        <v>393</v>
      </c>
      <c r="D81" s="405">
        <v>30497</v>
      </c>
      <c r="E81" s="406"/>
      <c r="F81" s="406"/>
      <c r="G81" s="406">
        <f ca="1">G80</f>
        <v>0</v>
      </c>
      <c r="H81" s="658"/>
      <c r="I81" s="658"/>
      <c r="J81" s="407">
        <f t="shared" ca="1" si="1"/>
        <v>0</v>
      </c>
      <c r="K81" s="186"/>
      <c r="L81"/>
      <c r="M81"/>
      <c r="N81"/>
      <c r="O81"/>
      <c r="P81"/>
      <c r="Q81"/>
      <c r="R81"/>
      <c r="S81"/>
      <c r="T81"/>
      <c r="U81"/>
      <c r="V81"/>
      <c r="W81"/>
    </row>
    <row r="82" spans="2:23" ht="17" hidden="1" outlineLevel="1" x14ac:dyDescent="0.2">
      <c r="B82" s="404"/>
      <c r="C82" s="403" t="s">
        <v>394</v>
      </c>
      <c r="D82" s="405">
        <v>30589</v>
      </c>
      <c r="E82" s="406"/>
      <c r="F82" s="406"/>
      <c r="G82" s="406">
        <f ca="1">G81</f>
        <v>0</v>
      </c>
      <c r="H82" s="658"/>
      <c r="I82" s="658"/>
      <c r="J82" s="407">
        <f t="shared" ca="1" si="1"/>
        <v>0</v>
      </c>
      <c r="K82" s="186"/>
      <c r="L82"/>
      <c r="M82"/>
      <c r="N82"/>
      <c r="O82"/>
      <c r="P82"/>
      <c r="Q82"/>
      <c r="R82"/>
      <c r="S82"/>
      <c r="T82"/>
      <c r="U82"/>
      <c r="V82"/>
      <c r="W82"/>
    </row>
    <row r="83" spans="2:23" ht="17" hidden="1" outlineLevel="1" x14ac:dyDescent="0.2">
      <c r="B83" s="404"/>
      <c r="C83" s="403" t="s">
        <v>395</v>
      </c>
      <c r="D83" s="405">
        <v>30681</v>
      </c>
      <c r="E83" s="406"/>
      <c r="F83" s="406"/>
      <c r="G83" s="406">
        <f ca="1">SUM(G82,H79,I79)</f>
        <v>0</v>
      </c>
      <c r="H83" s="658"/>
      <c r="I83" s="658"/>
      <c r="J83" s="407">
        <f t="shared" ca="1" si="1"/>
        <v>0</v>
      </c>
      <c r="K83" s="186"/>
      <c r="L83"/>
      <c r="M83"/>
      <c r="N83"/>
      <c r="O83"/>
      <c r="P83"/>
      <c r="Q83"/>
      <c r="R83"/>
      <c r="S83"/>
      <c r="T83"/>
      <c r="U83"/>
      <c r="V83"/>
      <c r="W83"/>
    </row>
    <row r="84" spans="2:23" collapsed="1" x14ac:dyDescent="0.2">
      <c r="B84" s="404">
        <v>5</v>
      </c>
      <c r="E84" s="406"/>
      <c r="F84" s="406">
        <f ca="1">IF(B84&lt;=year_sale,'P&amp;L'!L51+'P&amp;L'!L50,0)</f>
        <v>0</v>
      </c>
      <c r="G84" s="406"/>
      <c r="H84" s="658">
        <f ca="1">SUM(Returns!G82,Returns!G84)</f>
        <v>0</v>
      </c>
      <c r="I84" s="658">
        <f>Returns!G12</f>
        <v>0</v>
      </c>
      <c r="J84" s="407">
        <f t="shared" ca="1" si="1"/>
        <v>0</v>
      </c>
      <c r="K84" s="186"/>
      <c r="L84"/>
      <c r="M84"/>
      <c r="N84"/>
      <c r="O84"/>
      <c r="P84"/>
      <c r="Q84"/>
      <c r="R84"/>
      <c r="S84"/>
      <c r="T84"/>
      <c r="U84"/>
      <c r="V84"/>
      <c r="W84"/>
    </row>
    <row r="85" spans="2:23" ht="17" hidden="1" outlineLevel="1" x14ac:dyDescent="0.2">
      <c r="B85" s="404"/>
      <c r="C85" s="403" t="s">
        <v>392</v>
      </c>
      <c r="D85" s="405">
        <v>30772</v>
      </c>
      <c r="E85" s="406"/>
      <c r="F85" s="406"/>
      <c r="G85" s="406">
        <f ca="1">IFERROR(F84/4,0)</f>
        <v>0</v>
      </c>
      <c r="H85" s="658"/>
      <c r="I85" s="658"/>
      <c r="J85" s="407">
        <f t="shared" ca="1" si="1"/>
        <v>0</v>
      </c>
      <c r="K85" s="186"/>
      <c r="L85"/>
      <c r="M85"/>
      <c r="N85"/>
      <c r="O85"/>
      <c r="P85"/>
      <c r="Q85"/>
      <c r="R85"/>
      <c r="S85"/>
      <c r="T85"/>
      <c r="U85"/>
      <c r="V85"/>
      <c r="W85"/>
    </row>
    <row r="86" spans="2:23" ht="17" hidden="1" outlineLevel="1" x14ac:dyDescent="0.2">
      <c r="B86" s="404"/>
      <c r="C86" s="403" t="s">
        <v>393</v>
      </c>
      <c r="D86" s="405">
        <v>30863</v>
      </c>
      <c r="E86" s="406"/>
      <c r="F86" s="406"/>
      <c r="G86" s="406">
        <f ca="1">G85</f>
        <v>0</v>
      </c>
      <c r="H86" s="658"/>
      <c r="I86" s="658"/>
      <c r="J86" s="407">
        <f t="shared" ca="1" si="1"/>
        <v>0</v>
      </c>
      <c r="K86" s="186"/>
      <c r="L86"/>
      <c r="M86"/>
      <c r="N86"/>
      <c r="O86"/>
      <c r="P86"/>
      <c r="Q86"/>
      <c r="R86"/>
      <c r="S86"/>
      <c r="T86"/>
      <c r="U86"/>
      <c r="V86"/>
      <c r="W86"/>
    </row>
    <row r="87" spans="2:23" ht="17" hidden="1" outlineLevel="1" x14ac:dyDescent="0.2">
      <c r="B87" s="404"/>
      <c r="C87" s="403" t="s">
        <v>394</v>
      </c>
      <c r="D87" s="405">
        <v>30955</v>
      </c>
      <c r="E87" s="406"/>
      <c r="F87" s="406"/>
      <c r="G87" s="406">
        <f ca="1">G86</f>
        <v>0</v>
      </c>
      <c r="H87" s="658"/>
      <c r="I87" s="658"/>
      <c r="J87" s="407">
        <f t="shared" ca="1" si="1"/>
        <v>0</v>
      </c>
      <c r="K87" s="186"/>
      <c r="L87"/>
      <c r="M87"/>
      <c r="N87"/>
      <c r="O87"/>
      <c r="P87"/>
      <c r="Q87"/>
      <c r="R87"/>
      <c r="S87"/>
      <c r="T87"/>
      <c r="U87"/>
      <c r="V87"/>
      <c r="W87"/>
    </row>
    <row r="88" spans="2:23" ht="17" hidden="1" outlineLevel="1" x14ac:dyDescent="0.2">
      <c r="B88" s="404"/>
      <c r="C88" s="403" t="s">
        <v>395</v>
      </c>
      <c r="D88" s="405">
        <v>31047</v>
      </c>
      <c r="E88" s="406"/>
      <c r="F88" s="406"/>
      <c r="G88" s="406">
        <f ca="1">SUM(G87,H84,I84)</f>
        <v>0</v>
      </c>
      <c r="H88" s="658"/>
      <c r="I88" s="658"/>
      <c r="J88" s="407">
        <f t="shared" ca="1" si="1"/>
        <v>0</v>
      </c>
      <c r="K88" s="186"/>
      <c r="L88"/>
      <c r="M88"/>
      <c r="N88"/>
      <c r="O88"/>
      <c r="P88"/>
      <c r="Q88"/>
      <c r="R88"/>
      <c r="S88"/>
      <c r="T88"/>
      <c r="U88"/>
      <c r="V88"/>
      <c r="W88"/>
    </row>
    <row r="89" spans="2:23" collapsed="1" x14ac:dyDescent="0.2">
      <c r="B89" s="404">
        <f>B84+1</f>
        <v>6</v>
      </c>
      <c r="E89" s="406"/>
      <c r="F89" s="406">
        <f>IF(B89&lt;=year_sale,'P&amp;L'!N51+'P&amp;L'!N50,0)</f>
        <v>0</v>
      </c>
      <c r="G89" s="406"/>
      <c r="H89" s="658">
        <f>SUM(Returns!H82,Returns!H84)</f>
        <v>0</v>
      </c>
      <c r="I89" s="658">
        <f>Returns!H12</f>
        <v>0</v>
      </c>
      <c r="J89" s="407">
        <f t="shared" si="1"/>
        <v>0</v>
      </c>
      <c r="K89" s="186"/>
      <c r="L89"/>
      <c r="M89"/>
      <c r="N89"/>
      <c r="O89"/>
      <c r="P89"/>
      <c r="Q89"/>
      <c r="R89"/>
      <c r="S89"/>
      <c r="T89"/>
      <c r="U89"/>
      <c r="V89"/>
      <c r="W89"/>
    </row>
    <row r="90" spans="2:23" ht="17" hidden="1" outlineLevel="1" x14ac:dyDescent="0.2">
      <c r="B90" s="404"/>
      <c r="C90" s="403" t="s">
        <v>392</v>
      </c>
      <c r="D90" s="405">
        <v>31137</v>
      </c>
      <c r="E90" s="406"/>
      <c r="F90" s="406"/>
      <c r="G90" s="406">
        <f>IFERROR(F89/4,0)</f>
        <v>0</v>
      </c>
      <c r="H90" s="658"/>
      <c r="I90" s="658"/>
      <c r="J90" s="407">
        <f t="shared" si="1"/>
        <v>0</v>
      </c>
      <c r="K90" s="186"/>
      <c r="L90"/>
      <c r="M90"/>
      <c r="N90"/>
      <c r="O90"/>
      <c r="P90"/>
      <c r="Q90"/>
      <c r="R90"/>
      <c r="S90"/>
      <c r="T90"/>
      <c r="U90"/>
      <c r="V90"/>
      <c r="W90"/>
    </row>
    <row r="91" spans="2:23" ht="17" hidden="1" outlineLevel="1" x14ac:dyDescent="0.2">
      <c r="B91" s="404"/>
      <c r="C91" s="403" t="s">
        <v>393</v>
      </c>
      <c r="D91" s="405">
        <v>31228</v>
      </c>
      <c r="E91" s="406"/>
      <c r="F91" s="406"/>
      <c r="G91" s="406">
        <f>G90</f>
        <v>0</v>
      </c>
      <c r="H91" s="658"/>
      <c r="I91" s="658"/>
      <c r="J91" s="407">
        <f t="shared" si="1"/>
        <v>0</v>
      </c>
      <c r="K91" s="186"/>
      <c r="L91"/>
      <c r="M91"/>
      <c r="N91"/>
      <c r="O91"/>
      <c r="P91"/>
      <c r="Q91"/>
      <c r="R91"/>
      <c r="S91"/>
      <c r="T91"/>
      <c r="U91"/>
      <c r="V91"/>
      <c r="W91"/>
    </row>
    <row r="92" spans="2:23" ht="17" hidden="1" outlineLevel="1" x14ac:dyDescent="0.2">
      <c r="B92" s="404"/>
      <c r="C92" s="403" t="s">
        <v>394</v>
      </c>
      <c r="D92" s="405">
        <v>31320</v>
      </c>
      <c r="E92" s="406"/>
      <c r="F92" s="406"/>
      <c r="G92" s="406">
        <f>G91</f>
        <v>0</v>
      </c>
      <c r="H92" s="658"/>
      <c r="I92" s="658"/>
      <c r="J92" s="407">
        <f t="shared" si="1"/>
        <v>0</v>
      </c>
      <c r="K92" s="186"/>
      <c r="L92"/>
      <c r="M92"/>
      <c r="N92"/>
      <c r="O92"/>
      <c r="P92"/>
      <c r="Q92"/>
      <c r="R92"/>
      <c r="S92"/>
      <c r="T92"/>
      <c r="U92"/>
      <c r="V92"/>
      <c r="W92"/>
    </row>
    <row r="93" spans="2:23" ht="17" hidden="1" outlineLevel="1" x14ac:dyDescent="0.2">
      <c r="B93" s="404"/>
      <c r="C93" s="403" t="s">
        <v>395</v>
      </c>
      <c r="D93" s="405">
        <v>31412</v>
      </c>
      <c r="E93" s="406"/>
      <c r="F93" s="406"/>
      <c r="G93" s="406">
        <f>SUM(G92,H89,I89)</f>
        <v>0</v>
      </c>
      <c r="H93" s="658"/>
      <c r="I93" s="658"/>
      <c r="J93" s="407">
        <f t="shared" si="1"/>
        <v>0</v>
      </c>
      <c r="K93" s="186"/>
      <c r="L93"/>
      <c r="M93"/>
      <c r="N93"/>
      <c r="O93"/>
      <c r="P93"/>
      <c r="Q93"/>
      <c r="R93"/>
      <c r="S93"/>
      <c r="T93"/>
      <c r="U93"/>
      <c r="V93"/>
      <c r="W93"/>
    </row>
    <row r="94" spans="2:23" collapsed="1" x14ac:dyDescent="0.2">
      <c r="B94" s="404">
        <f>B89+1</f>
        <v>7</v>
      </c>
      <c r="E94" s="406"/>
      <c r="F94" s="406">
        <f>IF(B94&lt;=year_sale,'P&amp;L'!P51+'P&amp;L'!P50,0)</f>
        <v>0</v>
      </c>
      <c r="G94" s="406"/>
      <c r="H94" s="658">
        <f>SUM(Returns!I82,Returns!I84)</f>
        <v>0</v>
      </c>
      <c r="I94" s="658">
        <f>Returns!I12</f>
        <v>0</v>
      </c>
      <c r="J94" s="407">
        <f t="shared" si="1"/>
        <v>0</v>
      </c>
      <c r="K94" s="186"/>
      <c r="L94"/>
      <c r="M94"/>
      <c r="N94"/>
      <c r="O94"/>
      <c r="P94"/>
      <c r="Q94"/>
      <c r="R94"/>
      <c r="S94"/>
      <c r="T94"/>
      <c r="U94"/>
      <c r="V94"/>
      <c r="W94"/>
    </row>
    <row r="95" spans="2:23" ht="17" hidden="1" outlineLevel="1" x14ac:dyDescent="0.2">
      <c r="B95" s="404"/>
      <c r="C95" s="403" t="s">
        <v>392</v>
      </c>
      <c r="D95" s="405">
        <v>31502</v>
      </c>
      <c r="E95" s="406"/>
      <c r="F95" s="406"/>
      <c r="G95" s="406">
        <f>IFERROR(F94/4,0)</f>
        <v>0</v>
      </c>
      <c r="H95" s="658"/>
      <c r="I95" s="658"/>
      <c r="J95" s="407">
        <f t="shared" si="1"/>
        <v>0</v>
      </c>
      <c r="K95" s="186"/>
      <c r="L95"/>
      <c r="M95"/>
      <c r="N95"/>
      <c r="O95"/>
      <c r="P95"/>
      <c r="Q95"/>
      <c r="R95"/>
      <c r="S95"/>
      <c r="T95"/>
      <c r="U95"/>
      <c r="V95"/>
      <c r="W95"/>
    </row>
    <row r="96" spans="2:23" ht="17" hidden="1" outlineLevel="1" x14ac:dyDescent="0.2">
      <c r="B96" s="404"/>
      <c r="C96" s="403" t="s">
        <v>393</v>
      </c>
      <c r="D96" s="405">
        <v>31593</v>
      </c>
      <c r="E96" s="406"/>
      <c r="F96" s="406"/>
      <c r="G96" s="406">
        <f>G95</f>
        <v>0</v>
      </c>
      <c r="H96" s="658"/>
      <c r="I96" s="658"/>
      <c r="J96" s="407">
        <f t="shared" si="1"/>
        <v>0</v>
      </c>
      <c r="K96" s="186"/>
      <c r="L96"/>
      <c r="M96"/>
      <c r="N96"/>
      <c r="O96"/>
      <c r="P96"/>
      <c r="Q96"/>
      <c r="R96"/>
      <c r="S96"/>
      <c r="T96"/>
      <c r="U96"/>
      <c r="V96"/>
      <c r="W96"/>
    </row>
    <row r="97" spans="2:23" ht="17" hidden="1" outlineLevel="1" x14ac:dyDescent="0.2">
      <c r="B97" s="404"/>
      <c r="C97" s="403" t="s">
        <v>394</v>
      </c>
      <c r="D97" s="405">
        <v>31685</v>
      </c>
      <c r="E97" s="406"/>
      <c r="F97" s="406"/>
      <c r="G97" s="406">
        <f>G96</f>
        <v>0</v>
      </c>
      <c r="H97" s="658"/>
      <c r="I97" s="658"/>
      <c r="J97" s="407">
        <f t="shared" si="1"/>
        <v>0</v>
      </c>
      <c r="K97" s="186"/>
      <c r="L97"/>
      <c r="M97"/>
      <c r="N97"/>
      <c r="O97"/>
      <c r="P97"/>
      <c r="Q97"/>
      <c r="R97"/>
      <c r="S97"/>
      <c r="T97"/>
      <c r="U97"/>
      <c r="V97"/>
      <c r="W97"/>
    </row>
    <row r="98" spans="2:23" ht="17" hidden="1" outlineLevel="1" x14ac:dyDescent="0.2">
      <c r="B98" s="404"/>
      <c r="C98" s="403" t="s">
        <v>395</v>
      </c>
      <c r="D98" s="405">
        <v>31777</v>
      </c>
      <c r="E98" s="406"/>
      <c r="F98" s="406"/>
      <c r="G98" s="406">
        <f>SUM(G97,H94,I94)</f>
        <v>0</v>
      </c>
      <c r="H98" s="658"/>
      <c r="I98" s="658"/>
      <c r="J98" s="407">
        <f t="shared" si="1"/>
        <v>0</v>
      </c>
      <c r="K98" s="186"/>
      <c r="L98"/>
      <c r="M98"/>
      <c r="N98"/>
      <c r="O98"/>
      <c r="P98"/>
      <c r="Q98"/>
      <c r="R98"/>
      <c r="S98"/>
      <c r="T98"/>
      <c r="U98"/>
      <c r="V98"/>
      <c r="W98"/>
    </row>
    <row r="99" spans="2:23" collapsed="1" x14ac:dyDescent="0.2">
      <c r="B99" s="404">
        <f>B94+1</f>
        <v>8</v>
      </c>
      <c r="E99" s="406"/>
      <c r="F99" s="406">
        <f>IF(B99&lt;=year_sale,'P&amp;L'!R51+'P&amp;L'!R50,0)</f>
        <v>0</v>
      </c>
      <c r="G99" s="406"/>
      <c r="H99" s="658">
        <f>SUM(Returns!J82,Returns!J84)</f>
        <v>0</v>
      </c>
      <c r="I99" s="658">
        <f>Returns!J12</f>
        <v>0</v>
      </c>
      <c r="J99" s="407">
        <f t="shared" si="1"/>
        <v>0</v>
      </c>
      <c r="K99" s="186"/>
      <c r="L99"/>
      <c r="M99"/>
      <c r="N99"/>
      <c r="O99"/>
      <c r="P99"/>
      <c r="Q99"/>
      <c r="R99"/>
      <c r="S99"/>
      <c r="T99"/>
      <c r="U99"/>
      <c r="V99"/>
      <c r="W99"/>
    </row>
    <row r="100" spans="2:23" ht="17" hidden="1" outlineLevel="1" x14ac:dyDescent="0.2">
      <c r="B100" s="404"/>
      <c r="C100" s="403" t="s">
        <v>392</v>
      </c>
      <c r="D100" s="405">
        <v>31867</v>
      </c>
      <c r="E100" s="406"/>
      <c r="F100" s="406"/>
      <c r="G100" s="406">
        <f>IFERROR(F99/4,0)</f>
        <v>0</v>
      </c>
      <c r="H100" s="658"/>
      <c r="I100" s="658"/>
      <c r="J100" s="407">
        <f t="shared" si="1"/>
        <v>0</v>
      </c>
      <c r="K100" s="186"/>
      <c r="L100"/>
      <c r="M100"/>
      <c r="N100"/>
      <c r="O100"/>
      <c r="P100"/>
      <c r="Q100"/>
      <c r="R100"/>
      <c r="S100"/>
      <c r="T100"/>
      <c r="U100"/>
      <c r="V100"/>
      <c r="W100"/>
    </row>
    <row r="101" spans="2:23" ht="17" hidden="1" outlineLevel="1" x14ac:dyDescent="0.2">
      <c r="B101" s="404"/>
      <c r="C101" s="403" t="s">
        <v>393</v>
      </c>
      <c r="D101" s="405">
        <v>31958</v>
      </c>
      <c r="E101" s="406"/>
      <c r="F101" s="406"/>
      <c r="G101" s="406">
        <f>G100</f>
        <v>0</v>
      </c>
      <c r="H101" s="658"/>
      <c r="I101" s="658"/>
      <c r="J101" s="407">
        <f t="shared" si="1"/>
        <v>0</v>
      </c>
      <c r="K101" s="186"/>
      <c r="L101"/>
      <c r="M101"/>
      <c r="N101"/>
      <c r="O101"/>
      <c r="P101"/>
      <c r="Q101"/>
      <c r="R101"/>
      <c r="S101"/>
      <c r="T101"/>
      <c r="U101"/>
      <c r="V101"/>
      <c r="W101"/>
    </row>
    <row r="102" spans="2:23" ht="17" hidden="1" outlineLevel="1" x14ac:dyDescent="0.2">
      <c r="B102" s="404"/>
      <c r="C102" s="403" t="s">
        <v>394</v>
      </c>
      <c r="D102" s="405">
        <v>32050</v>
      </c>
      <c r="E102" s="406"/>
      <c r="F102" s="406"/>
      <c r="G102" s="406">
        <f>G101</f>
        <v>0</v>
      </c>
      <c r="H102" s="658"/>
      <c r="I102" s="658"/>
      <c r="J102" s="407">
        <f t="shared" si="1"/>
        <v>0</v>
      </c>
      <c r="K102" s="186"/>
      <c r="L102"/>
      <c r="M102"/>
      <c r="N102"/>
      <c r="O102"/>
      <c r="P102"/>
      <c r="Q102"/>
      <c r="R102"/>
      <c r="S102"/>
      <c r="T102"/>
      <c r="U102"/>
      <c r="V102"/>
      <c r="W102"/>
    </row>
    <row r="103" spans="2:23" ht="17" hidden="1" outlineLevel="1" x14ac:dyDescent="0.2">
      <c r="B103" s="404"/>
      <c r="C103" s="403" t="s">
        <v>395</v>
      </c>
      <c r="D103" s="405">
        <v>32142</v>
      </c>
      <c r="E103" s="406"/>
      <c r="F103" s="406"/>
      <c r="G103" s="406">
        <f>SUM(G102,H99,I99)</f>
        <v>0</v>
      </c>
      <c r="H103" s="658"/>
      <c r="I103" s="658"/>
      <c r="J103" s="407">
        <f t="shared" si="1"/>
        <v>0</v>
      </c>
      <c r="K103" s="186"/>
      <c r="L103"/>
      <c r="M103"/>
      <c r="N103"/>
      <c r="O103"/>
      <c r="P103"/>
      <c r="Q103"/>
      <c r="R103"/>
      <c r="S103"/>
      <c r="T103"/>
      <c r="U103"/>
      <c r="V103"/>
      <c r="W103"/>
    </row>
    <row r="104" spans="2:23" collapsed="1" x14ac:dyDescent="0.2">
      <c r="B104" s="404">
        <f>B99+1</f>
        <v>9</v>
      </c>
      <c r="E104" s="406"/>
      <c r="F104" s="406">
        <f>IF(B104&lt;=year_sale,'P&amp;L'!T51+'P&amp;L'!T50,0)</f>
        <v>0</v>
      </c>
      <c r="G104" s="406"/>
      <c r="H104" s="658">
        <f>SUM(Returns!K82,Returns!K84)</f>
        <v>0</v>
      </c>
      <c r="I104" s="658">
        <f>Returns!K12</f>
        <v>0</v>
      </c>
      <c r="J104" s="407">
        <f t="shared" si="1"/>
        <v>0</v>
      </c>
      <c r="K104" s="186"/>
      <c r="L104"/>
      <c r="M104"/>
      <c r="N104"/>
      <c r="O104"/>
      <c r="P104"/>
      <c r="Q104"/>
      <c r="R104"/>
      <c r="S104"/>
      <c r="T104"/>
      <c r="U104"/>
      <c r="V104"/>
      <c r="W104"/>
    </row>
    <row r="105" spans="2:23" ht="17" hidden="1" outlineLevel="1" x14ac:dyDescent="0.2">
      <c r="B105" s="404"/>
      <c r="C105" s="403" t="s">
        <v>392</v>
      </c>
      <c r="D105" s="405">
        <v>32233</v>
      </c>
      <c r="E105" s="406"/>
      <c r="F105" s="406"/>
      <c r="G105" s="406">
        <f>IFERROR(F104/4,0)</f>
        <v>0</v>
      </c>
      <c r="H105" s="658"/>
      <c r="I105" s="658"/>
      <c r="J105" s="407">
        <f t="shared" si="1"/>
        <v>0</v>
      </c>
      <c r="K105" s="186"/>
      <c r="L105"/>
      <c r="M105"/>
      <c r="N105"/>
      <c r="O105"/>
      <c r="P105"/>
      <c r="Q105"/>
      <c r="R105"/>
      <c r="S105"/>
      <c r="T105"/>
      <c r="U105"/>
      <c r="V105"/>
      <c r="W105"/>
    </row>
    <row r="106" spans="2:23" ht="17" hidden="1" outlineLevel="1" x14ac:dyDescent="0.2">
      <c r="B106" s="404"/>
      <c r="C106" s="403" t="s">
        <v>393</v>
      </c>
      <c r="D106" s="405">
        <v>32324</v>
      </c>
      <c r="E106" s="406"/>
      <c r="F106" s="406"/>
      <c r="G106" s="406">
        <f>G105</f>
        <v>0</v>
      </c>
      <c r="H106" s="658"/>
      <c r="I106" s="658"/>
      <c r="J106" s="407">
        <f t="shared" si="1"/>
        <v>0</v>
      </c>
      <c r="K106" s="186"/>
      <c r="L106"/>
      <c r="M106"/>
      <c r="N106"/>
      <c r="O106"/>
      <c r="P106"/>
      <c r="Q106"/>
      <c r="R106"/>
      <c r="S106"/>
      <c r="T106"/>
      <c r="U106"/>
      <c r="V106"/>
      <c r="W106"/>
    </row>
    <row r="107" spans="2:23" ht="17" hidden="1" outlineLevel="1" x14ac:dyDescent="0.2">
      <c r="B107" s="404"/>
      <c r="C107" s="403" t="s">
        <v>394</v>
      </c>
      <c r="D107" s="405">
        <v>32416</v>
      </c>
      <c r="E107" s="406"/>
      <c r="F107" s="406"/>
      <c r="G107" s="406">
        <f>G106</f>
        <v>0</v>
      </c>
      <c r="H107" s="658"/>
      <c r="I107" s="658"/>
      <c r="J107" s="407">
        <f t="shared" si="1"/>
        <v>0</v>
      </c>
      <c r="K107" s="186"/>
      <c r="L107"/>
      <c r="M107"/>
      <c r="N107"/>
      <c r="O107"/>
      <c r="P107"/>
      <c r="Q107"/>
      <c r="R107"/>
      <c r="S107"/>
      <c r="T107"/>
      <c r="U107"/>
      <c r="V107"/>
      <c r="W107"/>
    </row>
    <row r="108" spans="2:23" ht="17" hidden="1" outlineLevel="1" x14ac:dyDescent="0.2">
      <c r="B108" s="404"/>
      <c r="C108" s="403" t="s">
        <v>395</v>
      </c>
      <c r="D108" s="405">
        <v>32508</v>
      </c>
      <c r="E108" s="406"/>
      <c r="F108" s="406"/>
      <c r="G108" s="406">
        <f>SUM(G107,H104,I104)</f>
        <v>0</v>
      </c>
      <c r="H108" s="658"/>
      <c r="I108" s="658"/>
      <c r="J108" s="407">
        <f t="shared" si="1"/>
        <v>0</v>
      </c>
      <c r="K108" s="186"/>
      <c r="L108"/>
      <c r="M108"/>
      <c r="N108"/>
      <c r="O108"/>
      <c r="P108"/>
      <c r="Q108"/>
      <c r="R108"/>
      <c r="S108"/>
      <c r="T108"/>
      <c r="U108"/>
      <c r="V108"/>
      <c r="W108"/>
    </row>
    <row r="109" spans="2:23" collapsed="1" x14ac:dyDescent="0.2">
      <c r="B109" s="404">
        <f>B104+1</f>
        <v>10</v>
      </c>
      <c r="E109" s="406"/>
      <c r="F109" s="406">
        <f>IF(B109&lt;=year_sale,'P&amp;L'!V51+'P&amp;L'!V50,0)</f>
        <v>0</v>
      </c>
      <c r="G109" s="406"/>
      <c r="H109" s="658">
        <f>SUM(Returns!L82,Returns!L84)</f>
        <v>0</v>
      </c>
      <c r="I109" s="658">
        <f>Returns!L12</f>
        <v>0</v>
      </c>
      <c r="J109" s="407">
        <f t="shared" si="1"/>
        <v>0</v>
      </c>
      <c r="K109" s="186"/>
      <c r="L109"/>
      <c r="M109"/>
      <c r="N109"/>
      <c r="O109"/>
      <c r="P109"/>
      <c r="Q109"/>
      <c r="R109"/>
      <c r="S109"/>
      <c r="T109"/>
      <c r="U109"/>
      <c r="V109"/>
      <c r="W109"/>
    </row>
    <row r="110" spans="2:23" ht="17" hidden="1" outlineLevel="1" x14ac:dyDescent="0.2">
      <c r="B110" s="404"/>
      <c r="C110" s="403" t="s">
        <v>392</v>
      </c>
      <c r="D110" s="405">
        <v>32598</v>
      </c>
      <c r="E110" s="406"/>
      <c r="F110" s="406"/>
      <c r="G110" s="406">
        <f>IFERROR(F109/4,0)</f>
        <v>0</v>
      </c>
      <c r="H110" s="406"/>
      <c r="I110" s="658"/>
      <c r="J110" s="407">
        <f t="shared" si="1"/>
        <v>0</v>
      </c>
      <c r="K110" s="186"/>
      <c r="L110"/>
      <c r="M110"/>
      <c r="N110"/>
      <c r="O110"/>
      <c r="P110"/>
      <c r="Q110"/>
      <c r="R110"/>
      <c r="S110"/>
      <c r="T110"/>
      <c r="U110"/>
      <c r="V110"/>
      <c r="W110"/>
    </row>
    <row r="111" spans="2:23" ht="17" hidden="1" outlineLevel="1" x14ac:dyDescent="0.2">
      <c r="B111" s="404"/>
      <c r="C111" s="403" t="s">
        <v>393</v>
      </c>
      <c r="D111" s="405">
        <v>32689</v>
      </c>
      <c r="E111" s="406"/>
      <c r="F111" s="406"/>
      <c r="G111" s="406">
        <f>G110</f>
        <v>0</v>
      </c>
      <c r="H111" s="406"/>
      <c r="I111" s="658"/>
      <c r="J111" s="407">
        <f t="shared" si="1"/>
        <v>0</v>
      </c>
      <c r="K111" s="186"/>
      <c r="L111"/>
      <c r="M111"/>
      <c r="N111"/>
      <c r="O111"/>
      <c r="P111"/>
      <c r="Q111"/>
      <c r="R111"/>
      <c r="S111"/>
      <c r="T111"/>
      <c r="U111"/>
      <c r="V111"/>
      <c r="W111"/>
    </row>
    <row r="112" spans="2:23" ht="17" hidden="1" outlineLevel="1" x14ac:dyDescent="0.2">
      <c r="B112" s="404"/>
      <c r="C112" s="403" t="s">
        <v>394</v>
      </c>
      <c r="D112" s="405">
        <v>32781</v>
      </c>
      <c r="E112" s="406"/>
      <c r="F112" s="406"/>
      <c r="G112" s="406">
        <f>G111</f>
        <v>0</v>
      </c>
      <c r="H112" s="406"/>
      <c r="I112" s="658"/>
      <c r="J112" s="407">
        <f t="shared" si="1"/>
        <v>0</v>
      </c>
      <c r="K112" s="186"/>
      <c r="L112"/>
      <c r="M112"/>
      <c r="N112"/>
      <c r="O112"/>
      <c r="P112"/>
      <c r="Q112"/>
      <c r="R112"/>
      <c r="S112"/>
      <c r="T112"/>
      <c r="U112"/>
      <c r="V112"/>
      <c r="W112"/>
    </row>
    <row r="113" spans="2:23" ht="17" hidden="1" outlineLevel="1" x14ac:dyDescent="0.2">
      <c r="B113" s="404"/>
      <c r="C113" s="403" t="s">
        <v>395</v>
      </c>
      <c r="D113" s="405">
        <v>32873</v>
      </c>
      <c r="E113" s="406"/>
      <c r="F113" s="406"/>
      <c r="G113" s="406">
        <f>SUM(G112,H109,I109)</f>
        <v>0</v>
      </c>
      <c r="H113" s="406"/>
      <c r="I113" s="658"/>
      <c r="J113" s="407">
        <f t="shared" si="1"/>
        <v>0</v>
      </c>
      <c r="K113" s="186"/>
      <c r="L113"/>
      <c r="M113"/>
      <c r="N113"/>
      <c r="O113"/>
      <c r="P113"/>
      <c r="Q113"/>
      <c r="R113"/>
      <c r="S113"/>
      <c r="T113"/>
      <c r="U113"/>
      <c r="V113"/>
      <c r="W113"/>
    </row>
    <row r="114" spans="2:23" ht="18" thickBot="1" x14ac:dyDescent="0.25">
      <c r="B114" s="408" t="s">
        <v>42</v>
      </c>
      <c r="C114" s="409"/>
      <c r="D114" s="409"/>
      <c r="E114" s="410">
        <f>SUM(E63:E109)</f>
        <v>0</v>
      </c>
      <c r="F114" s="410">
        <f ca="1">SUM(F63:F109)</f>
        <v>0</v>
      </c>
      <c r="G114" s="410"/>
      <c r="H114" s="410">
        <f ca="1">SUM(H63:H109)</f>
        <v>0</v>
      </c>
      <c r="I114" s="659">
        <f>SUM(I63:I109)</f>
        <v>0</v>
      </c>
      <c r="J114" s="411">
        <f ca="1">SUM(E114:I114)</f>
        <v>0</v>
      </c>
      <c r="K114" s="186"/>
      <c r="L114"/>
      <c r="M114"/>
      <c r="N114"/>
      <c r="O114"/>
      <c r="P114"/>
      <c r="Q114"/>
      <c r="R114"/>
      <c r="S114"/>
      <c r="T114"/>
      <c r="U114"/>
      <c r="V114"/>
      <c r="W114"/>
    </row>
    <row r="115" spans="2:23" ht="18" thickBot="1" x14ac:dyDescent="0.25">
      <c r="B115" s="412" t="s">
        <v>9</v>
      </c>
      <c r="C115" s="413"/>
      <c r="D115" s="413"/>
      <c r="E115" s="414"/>
      <c r="F115" s="414"/>
      <c r="G115" s="414"/>
      <c r="H115" s="414"/>
      <c r="I115" s="414"/>
      <c r="J115" s="415">
        <f>IF(E63=0,0,XIRR(G63:G113,D63:D113))</f>
        <v>0</v>
      </c>
      <c r="K115" s="186"/>
      <c r="L115"/>
      <c r="M115"/>
      <c r="N115"/>
      <c r="O115"/>
      <c r="P115"/>
      <c r="Q115"/>
      <c r="R115"/>
      <c r="S115"/>
      <c r="T115"/>
      <c r="U115"/>
      <c r="V115"/>
      <c r="W115"/>
    </row>
    <row r="116" spans="2:23" x14ac:dyDescent="0.2">
      <c r="B116" s="186"/>
      <c r="C116" s="186"/>
      <c r="D116" s="186"/>
      <c r="E116" s="186"/>
      <c r="F116" s="186"/>
      <c r="G116" s="186"/>
      <c r="H116" s="186"/>
      <c r="I116" s="306"/>
      <c r="J116" s="186"/>
      <c r="K116" s="186"/>
      <c r="L116"/>
      <c r="M116"/>
      <c r="N116"/>
      <c r="O116"/>
      <c r="P116"/>
      <c r="Q116"/>
      <c r="R116"/>
      <c r="S116"/>
      <c r="T116"/>
      <c r="U116"/>
      <c r="V116"/>
      <c r="W116"/>
    </row>
    <row r="117" spans="2:23" x14ac:dyDescent="0.2">
      <c r="B117" s="52" t="str">
        <f ca="1">copyright</f>
        <v>Copyright © 2026 Michael Blank.</v>
      </c>
      <c r="C117" s="52"/>
      <c r="D117" s="52"/>
      <c r="E117" s="186"/>
      <c r="F117" s="186"/>
      <c r="G117" s="186"/>
      <c r="H117" s="186"/>
      <c r="I117" s="306"/>
      <c r="J117" s="186"/>
      <c r="K117" s="186"/>
      <c r="L117"/>
      <c r="M117"/>
      <c r="N117"/>
      <c r="O117"/>
      <c r="P117"/>
      <c r="Q117"/>
      <c r="R117"/>
      <c r="S117"/>
      <c r="T117"/>
      <c r="U117"/>
      <c r="V117"/>
      <c r="W117"/>
    </row>
    <row r="118" spans="2:23" x14ac:dyDescent="0.2">
      <c r="B118" s="52" t="s">
        <v>124</v>
      </c>
      <c r="C118" s="52"/>
      <c r="D118" s="52"/>
      <c r="E118" s="186"/>
      <c r="F118" s="186"/>
      <c r="G118" s="186"/>
      <c r="H118" s="186"/>
      <c r="I118" s="306"/>
      <c r="J118" s="186"/>
      <c r="K118" s="186"/>
      <c r="L118"/>
      <c r="M118"/>
      <c r="N118"/>
      <c r="O118"/>
      <c r="P118"/>
      <c r="Q118"/>
      <c r="R118"/>
      <c r="S118"/>
      <c r="T118"/>
      <c r="U118"/>
      <c r="V118"/>
      <c r="W118"/>
    </row>
    <row r="119" spans="2:23" x14ac:dyDescent="0.2">
      <c r="B119" s="186"/>
      <c r="C119" s="186"/>
      <c r="D119" s="186"/>
      <c r="E119" s="186"/>
      <c r="F119" s="186"/>
      <c r="G119" s="186"/>
      <c r="H119" s="186"/>
      <c r="I119" s="306"/>
      <c r="J119" s="186"/>
      <c r="K119" s="186"/>
      <c r="L119"/>
      <c r="M119"/>
      <c r="N119"/>
      <c r="O119"/>
      <c r="P119"/>
      <c r="Q119"/>
      <c r="R119"/>
      <c r="S119"/>
      <c r="T119"/>
      <c r="U119"/>
      <c r="V119"/>
      <c r="W119"/>
    </row>
    <row r="120" spans="2:23" x14ac:dyDescent="0.2">
      <c r="B120" s="186"/>
      <c r="C120" s="186"/>
      <c r="D120" s="186"/>
      <c r="E120" s="186"/>
      <c r="F120" s="186"/>
      <c r="G120" s="186"/>
      <c r="H120" s="186"/>
      <c r="I120" s="306"/>
      <c r="J120" s="416"/>
      <c r="K120" s="186"/>
      <c r="L120"/>
      <c r="M120"/>
      <c r="N120"/>
      <c r="O120"/>
      <c r="P120"/>
      <c r="Q120"/>
      <c r="R120"/>
      <c r="S120"/>
      <c r="T120"/>
      <c r="U120"/>
      <c r="V120"/>
      <c r="W120"/>
    </row>
    <row r="121" spans="2:23" x14ac:dyDescent="0.2">
      <c r="B121" s="186"/>
      <c r="C121" s="186"/>
      <c r="D121" s="186"/>
      <c r="E121" s="186"/>
      <c r="F121" s="186"/>
      <c r="G121" s="186"/>
      <c r="H121" s="186"/>
      <c r="I121" s="306"/>
      <c r="J121" s="416"/>
      <c r="K121" s="186"/>
      <c r="L121"/>
      <c r="M121"/>
      <c r="N121"/>
      <c r="O121"/>
      <c r="P121"/>
      <c r="Q121" s="186"/>
      <c r="R121" s="186"/>
      <c r="S121" s="186"/>
      <c r="T121" s="186"/>
    </row>
    <row r="122" spans="2:23" x14ac:dyDescent="0.2">
      <c r="L122"/>
      <c r="M122"/>
      <c r="N122"/>
      <c r="O122"/>
      <c r="P122"/>
    </row>
    <row r="123" spans="2:23" x14ac:dyDescent="0.2">
      <c r="L123"/>
      <c r="M123"/>
      <c r="N123"/>
      <c r="O123"/>
      <c r="P123"/>
    </row>
    <row r="124" spans="2:23" x14ac:dyDescent="0.2">
      <c r="L124"/>
      <c r="M124"/>
      <c r="N124"/>
      <c r="O124"/>
      <c r="P124"/>
    </row>
    <row r="125" spans="2:23" x14ac:dyDescent="0.2">
      <c r="L125"/>
      <c r="M125"/>
      <c r="N125"/>
      <c r="O125"/>
      <c r="P125"/>
    </row>
    <row r="126" spans="2:23" x14ac:dyDescent="0.2">
      <c r="L126"/>
      <c r="M126"/>
      <c r="N126"/>
      <c r="O126"/>
      <c r="P126"/>
    </row>
    <row r="127" spans="2:23" x14ac:dyDescent="0.2">
      <c r="M127" s="976"/>
    </row>
    <row r="128" spans="2:23" x14ac:dyDescent="0.2">
      <c r="M128" s="976"/>
    </row>
    <row r="129" spans="13:13" x14ac:dyDescent="0.2">
      <c r="M129" s="976"/>
    </row>
  </sheetData>
  <customSheetViews>
    <customSheetView guid="{238A3432-2201-4481-B06C-00480E9813A7}" scale="110" showRuler="0">
      <selection activeCell="D10" sqref="D10"/>
      <pageMargins left="0.75" right="0.75" top="1" bottom="1" header="0.5" footer="0.5"/>
      <pageSetup orientation="portrait" horizontalDpi="300" verticalDpi="300" r:id="rId1"/>
      <headerFooter alignWithMargins="0"/>
    </customSheetView>
    <customSheetView guid="{A0B83632-25B5-FE44-8A66-2590D6BCDFDC}" hiddenRows="1" hiddenColumns="1">
      <selection activeCell="O109" sqref="O109"/>
      <pageMargins left="0.75" right="0.75" top="1" bottom="1" header="0.5" footer="0.5"/>
      <pageSetup orientation="portrait" horizontalDpi="300" verticalDpi="300" r:id="rId2"/>
      <headerFooter alignWithMargins="0"/>
    </customSheetView>
  </customSheetViews>
  <mergeCells count="1">
    <mergeCell ref="A1:K1"/>
  </mergeCells>
  <phoneticPr fontId="0" type="noConversion"/>
  <pageMargins left="0.75" right="0.75" top="1" bottom="1" header="0.5" footer="0.5"/>
  <pageSetup orientation="portrait" horizontalDpi="300" verticalDpi="300"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AA61"/>
  <sheetViews>
    <sheetView showGridLines="0" zoomScaleNormal="100" workbookViewId="0"/>
  </sheetViews>
  <sheetFormatPr baseColWidth="10" defaultColWidth="9" defaultRowHeight="16" x14ac:dyDescent="0.2"/>
  <cols>
    <col min="1" max="1" width="3.42578125" style="54" customWidth="1"/>
    <col min="2" max="2" width="32" style="54" customWidth="1"/>
    <col min="3" max="3" width="14.28515625" style="93" customWidth="1"/>
    <col min="4" max="4" width="12.42578125" style="93" customWidth="1"/>
    <col min="5" max="5" width="14.28515625" style="93" customWidth="1"/>
    <col min="6" max="6" width="4.5703125" style="54" customWidth="1"/>
    <col min="7" max="7" width="24.7109375" style="54" customWidth="1"/>
    <col min="8" max="17" width="14.28515625" style="54" customWidth="1"/>
    <col min="18" max="18" width="9" style="54"/>
    <col min="19" max="19" width="16.42578125" style="54" customWidth="1"/>
    <col min="20" max="20" width="10.7109375" style="54" customWidth="1"/>
    <col min="21" max="21" width="32.85546875" style="54" customWidth="1"/>
    <col min="22" max="16384" width="9" style="54"/>
  </cols>
  <sheetData>
    <row r="1" spans="1:27" s="49" customFormat="1" ht="24" customHeight="1" x14ac:dyDescent="0.2">
      <c r="B1" s="1179" t="s">
        <v>560</v>
      </c>
      <c r="C1" s="1179"/>
      <c r="D1" s="1179"/>
      <c r="E1" s="1179"/>
      <c r="F1" s="743"/>
      <c r="G1" s="743"/>
      <c r="H1" s="743"/>
      <c r="I1" s="743"/>
      <c r="J1" s="743"/>
      <c r="K1" s="743"/>
      <c r="L1" s="743"/>
      <c r="M1" s="743"/>
      <c r="N1" s="743"/>
      <c r="O1" s="743"/>
      <c r="P1" s="743"/>
      <c r="Q1" s="743"/>
    </row>
    <row r="2" spans="1:27" s="50" customFormat="1" x14ac:dyDescent="0.2">
      <c r="A2" s="449"/>
      <c r="B2" s="449"/>
      <c r="C2" s="449"/>
      <c r="D2" s="449"/>
      <c r="E2" s="449"/>
      <c r="F2" s="449"/>
      <c r="G2" s="48"/>
      <c r="H2" s="48"/>
      <c r="I2" s="48"/>
      <c r="J2" s="48"/>
      <c r="K2" s="48"/>
      <c r="L2" s="48"/>
      <c r="M2" s="48"/>
      <c r="N2" s="48"/>
      <c r="O2" s="48"/>
      <c r="P2" s="48"/>
      <c r="Q2" s="48"/>
    </row>
    <row r="3" spans="1:27" s="50" customFormat="1" ht="17" x14ac:dyDescent="0.2">
      <c r="A3" s="449"/>
      <c r="B3" s="744" t="s">
        <v>365</v>
      </c>
      <c r="C3" s="69" t="s">
        <v>203</v>
      </c>
      <c r="D3" s="93"/>
      <c r="E3" s="93"/>
      <c r="F3" s="449"/>
      <c r="G3" s="48"/>
      <c r="H3" s="48"/>
      <c r="I3" s="48"/>
      <c r="J3" s="48"/>
      <c r="K3" s="48"/>
      <c r="L3" s="48"/>
      <c r="M3" s="48"/>
      <c r="N3" s="48"/>
      <c r="O3" s="48"/>
      <c r="P3" s="48"/>
      <c r="Q3" s="48"/>
    </row>
    <row r="4" spans="1:27" ht="17" thickBot="1" x14ac:dyDescent="0.25">
      <c r="A4" s="418"/>
      <c r="F4" s="418"/>
      <c r="G4" s="418"/>
      <c r="H4" s="256" t="str">
        <f t="shared" ref="H4:Q4" si="0">IF(H5=year_refi,"REFINANCE!",IF(H5=year_sale,"SALE!",""))</f>
        <v/>
      </c>
      <c r="I4" s="256" t="str">
        <f t="shared" si="0"/>
        <v/>
      </c>
      <c r="J4" s="256" t="str">
        <f t="shared" si="0"/>
        <v/>
      </c>
      <c r="K4" s="256" t="str">
        <f t="shared" si="0"/>
        <v/>
      </c>
      <c r="L4" s="256" t="str">
        <f t="shared" si="0"/>
        <v>SALE!</v>
      </c>
      <c r="M4" s="256" t="str">
        <f t="shared" si="0"/>
        <v/>
      </c>
      <c r="N4" s="256" t="str">
        <f t="shared" si="0"/>
        <v/>
      </c>
      <c r="O4" s="256" t="str">
        <f t="shared" si="0"/>
        <v/>
      </c>
      <c r="P4" s="256" t="str">
        <f t="shared" si="0"/>
        <v/>
      </c>
      <c r="Q4" s="256" t="str">
        <f t="shared" si="0"/>
        <v/>
      </c>
      <c r="R4" s="418"/>
      <c r="S4" s="419"/>
      <c r="T4" s="419"/>
      <c r="U4" s="419"/>
      <c r="V4" s="419"/>
      <c r="W4" s="419"/>
      <c r="X4" s="419"/>
      <c r="Y4" s="419"/>
      <c r="Z4" s="419"/>
      <c r="AA4" s="419"/>
    </row>
    <row r="5" spans="1:27" x14ac:dyDescent="0.2">
      <c r="A5" s="418"/>
      <c r="B5" s="532" t="s">
        <v>364</v>
      </c>
      <c r="C5" s="725"/>
      <c r="D5" s="733"/>
      <c r="E5" s="533"/>
      <c r="F5" s="418"/>
      <c r="G5" s="446" t="s">
        <v>10</v>
      </c>
      <c r="H5" s="447">
        <v>1</v>
      </c>
      <c r="I5" s="447">
        <f t="shared" ref="I5:Q5" si="1">H5+1</f>
        <v>2</v>
      </c>
      <c r="J5" s="447">
        <f t="shared" si="1"/>
        <v>3</v>
      </c>
      <c r="K5" s="447">
        <f t="shared" si="1"/>
        <v>4</v>
      </c>
      <c r="L5" s="447">
        <f t="shared" si="1"/>
        <v>5</v>
      </c>
      <c r="M5" s="447">
        <f t="shared" si="1"/>
        <v>6</v>
      </c>
      <c r="N5" s="447">
        <f t="shared" si="1"/>
        <v>7</v>
      </c>
      <c r="O5" s="447">
        <f t="shared" si="1"/>
        <v>8</v>
      </c>
      <c r="P5" s="447">
        <f t="shared" si="1"/>
        <v>9</v>
      </c>
      <c r="Q5" s="448">
        <f t="shared" si="1"/>
        <v>10</v>
      </c>
      <c r="R5" s="418"/>
      <c r="S5" s="419"/>
      <c r="T5" s="419"/>
      <c r="U5" s="419"/>
      <c r="V5" s="419"/>
      <c r="W5" s="419"/>
      <c r="X5" s="419"/>
      <c r="Y5" s="419"/>
      <c r="Z5" s="419"/>
      <c r="AA5" s="419"/>
    </row>
    <row r="6" spans="1:27" x14ac:dyDescent="0.2">
      <c r="A6" s="418"/>
      <c r="B6" s="534"/>
      <c r="C6" s="726" t="s">
        <v>42</v>
      </c>
      <c r="D6" s="726" t="s">
        <v>366</v>
      </c>
      <c r="E6" s="736" t="s">
        <v>367</v>
      </c>
      <c r="F6" s="418"/>
      <c r="G6" s="420"/>
      <c r="H6" s="421"/>
      <c r="I6" s="422"/>
      <c r="J6" s="422"/>
      <c r="K6" s="422"/>
      <c r="L6" s="422"/>
      <c r="M6" s="422"/>
      <c r="N6" s="422"/>
      <c r="O6" s="422"/>
      <c r="P6" s="422"/>
      <c r="Q6" s="423"/>
      <c r="R6" s="418"/>
      <c r="S6" s="419"/>
      <c r="T6" s="419"/>
      <c r="U6" s="419"/>
      <c r="V6" s="419"/>
      <c r="W6" s="419"/>
      <c r="X6" s="419"/>
      <c r="Y6" s="419"/>
      <c r="Z6" s="419"/>
      <c r="AA6" s="419"/>
    </row>
    <row r="7" spans="1:27" ht="17" x14ac:dyDescent="0.2">
      <c r="A7" s="77"/>
      <c r="B7" s="96" t="s">
        <v>12</v>
      </c>
      <c r="C7" s="727">
        <f>($C$3="Yes")*Summary!D6</f>
        <v>0</v>
      </c>
      <c r="D7" s="734">
        <f>1-Summary!C9</f>
        <v>0.75</v>
      </c>
      <c r="E7" s="737">
        <f>C7*D7</f>
        <v>0</v>
      </c>
      <c r="F7" s="77"/>
      <c r="G7" s="424" t="s">
        <v>112</v>
      </c>
      <c r="H7" s="425">
        <f>Summary!D10</f>
        <v>0</v>
      </c>
      <c r="I7" s="426"/>
      <c r="J7" s="426"/>
      <c r="K7" s="426"/>
      <c r="L7" s="426"/>
      <c r="M7" s="426"/>
      <c r="N7" s="426"/>
      <c r="O7" s="426"/>
      <c r="P7" s="426"/>
      <c r="Q7" s="427"/>
      <c r="R7" s="77"/>
    </row>
    <row r="8" spans="1:27" x14ac:dyDescent="0.2">
      <c r="A8" s="418"/>
      <c r="B8" s="96" t="s">
        <v>401</v>
      </c>
      <c r="C8" s="728">
        <f>($C$3="Yes")*Summary!D20</f>
        <v>0</v>
      </c>
      <c r="D8" s="735">
        <v>1</v>
      </c>
      <c r="E8" s="737">
        <f>C8*D8</f>
        <v>0</v>
      </c>
      <c r="F8" s="418"/>
      <c r="G8" s="428" t="s">
        <v>107</v>
      </c>
      <c r="H8" s="429">
        <f>H7</f>
        <v>0</v>
      </c>
      <c r="I8" s="430">
        <f t="shared" ref="I8:Q8" ca="1" si="2">IF(year_refi="NA",H12,IF(I$5-year_refi-1&gt;=0,0,H12))</f>
        <v>0</v>
      </c>
      <c r="J8" s="430">
        <f t="shared" ca="1" si="2"/>
        <v>0</v>
      </c>
      <c r="K8" s="430">
        <f t="shared" ca="1" si="2"/>
        <v>0</v>
      </c>
      <c r="L8" s="430">
        <f t="shared" ca="1" si="2"/>
        <v>0</v>
      </c>
      <c r="M8" s="430">
        <f t="shared" ca="1" si="2"/>
        <v>0</v>
      </c>
      <c r="N8" s="430">
        <f t="shared" ca="1" si="2"/>
        <v>0</v>
      </c>
      <c r="O8" s="430">
        <f t="shared" ca="1" si="2"/>
        <v>0</v>
      </c>
      <c r="P8" s="430">
        <f t="shared" ca="1" si="2"/>
        <v>0</v>
      </c>
      <c r="Q8" s="431">
        <f t="shared" ca="1" si="2"/>
        <v>0</v>
      </c>
      <c r="R8" s="10"/>
      <c r="S8" s="10"/>
      <c r="T8" s="10"/>
      <c r="U8" s="10"/>
      <c r="V8" s="419"/>
      <c r="W8" s="419"/>
      <c r="X8" s="419"/>
      <c r="Y8" s="419"/>
      <c r="Z8" s="419"/>
      <c r="AA8" s="419"/>
    </row>
    <row r="9" spans="1:27" x14ac:dyDescent="0.2">
      <c r="A9" s="418"/>
      <c r="B9" s="97" t="s">
        <v>500</v>
      </c>
      <c r="C9" s="728">
        <f>($C$3="Yes")*('Acquisition Costs'!D51-'Acquisition Costs'!D49-'Acquisition Costs'!D45)</f>
        <v>0</v>
      </c>
      <c r="D9" s="735">
        <v>0</v>
      </c>
      <c r="E9" s="737">
        <f>C9*D9</f>
        <v>0</v>
      </c>
      <c r="F9" s="418"/>
      <c r="G9" s="428" t="s">
        <v>21</v>
      </c>
      <c r="H9" s="430">
        <f ca="1">IF(year_refi="NA",'1st Mortgage 1'!C12,IF(H$5-year_refi-1&gt;=0,0,'1st Mortgage 1'!C12))</f>
        <v>0</v>
      </c>
      <c r="I9" s="430">
        <f ca="1">IF(year_refi="NA",'1st Mortgage 1'!D12,IF(I$5-year_refi-1&gt;=0,0,'1st Mortgage 1'!D12))</f>
        <v>0</v>
      </c>
      <c r="J9" s="430">
        <f ca="1">IF(year_refi="NA",'1st Mortgage 1'!E12,IF(J$5-year_refi-1&gt;=0,0,'1st Mortgage 1'!E12))</f>
        <v>0</v>
      </c>
      <c r="K9" s="430">
        <f ca="1">IF(year_refi="NA",'1st Mortgage 1'!F12,IF(K$5-year_refi-1&gt;=0,0,'1st Mortgage 1'!F12))</f>
        <v>0</v>
      </c>
      <c r="L9" s="430">
        <f ca="1">IF(year_refi="NA",'1st Mortgage 1'!G12,IF(L$5-year_refi-1&gt;=0,0,'1st Mortgage 1'!G12))</f>
        <v>0</v>
      </c>
      <c r="M9" s="430">
        <f ca="1">IF(year_refi="NA",'1st Mortgage 1'!H12,IF(M$5-year_refi-1&gt;=0,0,'1st Mortgage 1'!H12))</f>
        <v>0</v>
      </c>
      <c r="N9" s="430">
        <f ca="1">IF(year_refi="NA",'1st Mortgage 1'!I12,IF(N$5-year_refi-1&gt;=0,0,'1st Mortgage 1'!I12))</f>
        <v>0</v>
      </c>
      <c r="O9" s="430">
        <f ca="1">IF(year_refi="NA",'1st Mortgage 1'!J12,IF(O$5-year_refi-1&gt;=0,0,'1st Mortgage 1'!J12))</f>
        <v>0</v>
      </c>
      <c r="P9" s="430">
        <f ca="1">IF(year_refi="NA",'1st Mortgage 1'!K12,IF(P$5-year_refi-1&gt;=0,0,'1st Mortgage 1'!K12))</f>
        <v>0</v>
      </c>
      <c r="Q9" s="431">
        <f ca="1">IF(year_refi="NA",'1st Mortgage 1'!L12,IF(Q$5-year_refi-1&gt;=0,0,'1st Mortgage 1'!L12))</f>
        <v>0</v>
      </c>
      <c r="R9" s="10"/>
      <c r="S9" s="10"/>
      <c r="T9" s="10"/>
      <c r="U9" s="10"/>
      <c r="V9" s="419"/>
      <c r="W9" s="419"/>
      <c r="X9" s="419"/>
      <c r="Y9" s="419"/>
      <c r="Z9" s="419"/>
      <c r="AA9" s="419"/>
    </row>
    <row r="10" spans="1:27" x14ac:dyDescent="0.2">
      <c r="A10" s="418"/>
      <c r="B10" s="98" t="s">
        <v>477</v>
      </c>
      <c r="C10" s="729"/>
      <c r="D10" s="729"/>
      <c r="E10" s="738">
        <f>IF($C$3="Yes",(E7+E8+D9*(SUM('Acquisition Costs'!D13:D15)+SUM('Acquisition Costs'!D18:D22)+'Acquisition Costs'!D35)+D9*'Acquisition Costs'!$C$24*Summary!$D$14)/(1-D9*'Acquisition Costs'!$C$23),0)</f>
        <v>0</v>
      </c>
      <c r="F10" s="418"/>
      <c r="G10" s="428" t="s">
        <v>108</v>
      </c>
      <c r="H10" s="430">
        <f ca="1">IF(year_refi="NA",'1st Mortgage 1'!C13,IF(H$5-year_refi-1&gt;=0,0,'1st Mortgage 1'!C13))</f>
        <v>0</v>
      </c>
      <c r="I10" s="430">
        <f ca="1">IF(year_refi="NA",'1st Mortgage 1'!D13,IF(I$5-year_refi-1&gt;=0,0,'1st Mortgage 1'!D13))</f>
        <v>0</v>
      </c>
      <c r="J10" s="430">
        <f ca="1">IF(year_refi="NA",'1st Mortgage 1'!E13,IF(J$5-year_refi-1&gt;=0,0,'1st Mortgage 1'!E13))</f>
        <v>0</v>
      </c>
      <c r="K10" s="430">
        <f ca="1">IF(year_refi="NA",'1st Mortgage 1'!F13,IF(K$5-year_refi-1&gt;=0,0,'1st Mortgage 1'!F13))</f>
        <v>0</v>
      </c>
      <c r="L10" s="430">
        <f ca="1">IF(year_refi="NA",'1st Mortgage 1'!G13,IF(L$5-year_refi-1&gt;=0,0,'1st Mortgage 1'!G13))</f>
        <v>0</v>
      </c>
      <c r="M10" s="430">
        <f ca="1">IF(year_refi="NA",'1st Mortgage 1'!H13,IF(M$5-year_refi-1&gt;=0,0,'1st Mortgage 1'!H13))</f>
        <v>0</v>
      </c>
      <c r="N10" s="430">
        <f ca="1">IF(year_refi="NA",'1st Mortgage 1'!I13,IF(N$5-year_refi-1&gt;=0,0,'1st Mortgage 1'!I13))</f>
        <v>0</v>
      </c>
      <c r="O10" s="430">
        <f ca="1">IF(year_refi="NA",'1st Mortgage 1'!J13,IF(O$5-year_refi-1&gt;=0,0,'1st Mortgage 1'!J13))</f>
        <v>0</v>
      </c>
      <c r="P10" s="430">
        <f ca="1">IF(year_refi="NA",'1st Mortgage 1'!K13,IF(P$5-year_refi-1&gt;=0,0,'1st Mortgage 1'!K13))</f>
        <v>0</v>
      </c>
      <c r="Q10" s="431">
        <f ca="1">IF(year_refi="NA",'1st Mortgage 1'!L13,IF(Q$5-year_refi-1&gt;=0,0,'1st Mortgage 1'!L13))</f>
        <v>0</v>
      </c>
      <c r="R10" s="10"/>
      <c r="S10" s="10"/>
      <c r="T10" s="10"/>
      <c r="U10" s="10"/>
      <c r="V10" s="419"/>
      <c r="W10" s="419"/>
      <c r="X10" s="419"/>
      <c r="Y10" s="419"/>
      <c r="Z10" s="419"/>
      <c r="AA10" s="419"/>
    </row>
    <row r="11" spans="1:27" x14ac:dyDescent="0.2">
      <c r="A11" s="418"/>
      <c r="B11" s="99"/>
      <c r="C11" s="730"/>
      <c r="D11" s="730"/>
      <c r="E11" s="739"/>
      <c r="F11" s="418"/>
      <c r="G11" s="428" t="s">
        <v>51</v>
      </c>
      <c r="H11" s="430">
        <f t="shared" ref="H11:Q11" ca="1" si="3">H9+H10</f>
        <v>0</v>
      </c>
      <c r="I11" s="430">
        <f t="shared" ca="1" si="3"/>
        <v>0</v>
      </c>
      <c r="J11" s="430">
        <f t="shared" ca="1" si="3"/>
        <v>0</v>
      </c>
      <c r="K11" s="430">
        <f t="shared" ca="1" si="3"/>
        <v>0</v>
      </c>
      <c r="L11" s="430">
        <f t="shared" ca="1" si="3"/>
        <v>0</v>
      </c>
      <c r="M11" s="430">
        <f t="shared" ca="1" si="3"/>
        <v>0</v>
      </c>
      <c r="N11" s="430">
        <f t="shared" ca="1" si="3"/>
        <v>0</v>
      </c>
      <c r="O11" s="430">
        <f t="shared" ca="1" si="3"/>
        <v>0</v>
      </c>
      <c r="P11" s="430">
        <f t="shared" ca="1" si="3"/>
        <v>0</v>
      </c>
      <c r="Q11" s="431">
        <f t="shared" ca="1" si="3"/>
        <v>0</v>
      </c>
      <c r="R11" s="10"/>
      <c r="S11" s="10"/>
      <c r="T11" s="10"/>
      <c r="U11" s="10"/>
      <c r="V11" s="419"/>
      <c r="W11" s="419"/>
      <c r="X11" s="419"/>
      <c r="Y11" s="419"/>
      <c r="Z11" s="419"/>
      <c r="AA11" s="419"/>
    </row>
    <row r="12" spans="1:27" x14ac:dyDescent="0.2">
      <c r="A12" s="418"/>
      <c r="B12" s="99" t="s">
        <v>501</v>
      </c>
      <c r="C12" s="730"/>
      <c r="D12" s="730"/>
      <c r="E12" s="740">
        <f>C7-E7</f>
        <v>0</v>
      </c>
      <c r="F12" s="418"/>
      <c r="G12" s="432" t="s">
        <v>109</v>
      </c>
      <c r="H12" s="433">
        <f ca="1">IF(year_refi="NA",'1st Mortgage 1'!C14,IF(H$5-year_refi-1&gt;=0,0,'1st Mortgage 1'!C14))</f>
        <v>0</v>
      </c>
      <c r="I12" s="433">
        <f ca="1">IF(year_refi="NA",'1st Mortgage 1'!D14,IF(I$5-year_refi-1&gt;=0,0,'1st Mortgage 1'!D14))</f>
        <v>0</v>
      </c>
      <c r="J12" s="433">
        <f ca="1">IF(year_refi="NA",'1st Mortgage 1'!E14,IF(J$5-year_refi-1&gt;=0,0,'1st Mortgage 1'!E14))</f>
        <v>0</v>
      </c>
      <c r="K12" s="433">
        <f ca="1">IF(year_refi="NA",'1st Mortgage 1'!F14,IF(K$5-year_refi-1&gt;=0,0,'1st Mortgage 1'!F14))</f>
        <v>0</v>
      </c>
      <c r="L12" s="433">
        <f ca="1">IF(year_refi="NA",'1st Mortgage 1'!G14,IF(L$5-year_refi-1&gt;=0,0,'1st Mortgage 1'!G14))</f>
        <v>0</v>
      </c>
      <c r="M12" s="433">
        <f ca="1">IF(year_refi="NA",'1st Mortgage 1'!H14,IF(M$5-year_refi-1&gt;=0,0,'1st Mortgage 1'!H14))</f>
        <v>0</v>
      </c>
      <c r="N12" s="433">
        <f ca="1">IF(year_refi="NA",'1st Mortgage 1'!I14,IF(N$5-year_refi-1&gt;=0,0,'1st Mortgage 1'!I14))</f>
        <v>0</v>
      </c>
      <c r="O12" s="433">
        <f ca="1">IF(year_refi="NA",'1st Mortgage 1'!J14,IF(O$5-year_refi-1&gt;=0,0,'1st Mortgage 1'!J14))</f>
        <v>0</v>
      </c>
      <c r="P12" s="433">
        <f ca="1">IF(year_refi="NA",'1st Mortgage 1'!K14,IF(P$5-year_refi-1&gt;=0,0,'1st Mortgage 1'!K14))</f>
        <v>0</v>
      </c>
      <c r="Q12" s="434">
        <f ca="1">IF(year_refi="NA",'1st Mortgage 1'!L14,IF(Q$5-year_refi-1&gt;=0,0,'1st Mortgage 1'!L14))</f>
        <v>0</v>
      </c>
      <c r="R12" s="10"/>
      <c r="S12" s="10"/>
      <c r="T12" s="10"/>
      <c r="U12" s="10"/>
      <c r="V12" s="419"/>
      <c r="W12" s="419"/>
      <c r="X12" s="419"/>
      <c r="Y12" s="419"/>
      <c r="Z12" s="419"/>
      <c r="AA12" s="419"/>
    </row>
    <row r="13" spans="1:27" x14ac:dyDescent="0.2">
      <c r="A13" s="418"/>
      <c r="B13" s="100" t="s">
        <v>502</v>
      </c>
      <c r="C13" s="731"/>
      <c r="D13" s="731"/>
      <c r="E13" s="741">
        <f>C8-E8</f>
        <v>0</v>
      </c>
      <c r="F13" s="418"/>
      <c r="G13" s="428"/>
      <c r="H13" s="435"/>
      <c r="I13" s="430"/>
      <c r="J13" s="430"/>
      <c r="K13" s="430"/>
      <c r="L13" s="430"/>
      <c r="M13" s="430"/>
      <c r="N13" s="430"/>
      <c r="O13" s="430"/>
      <c r="P13" s="430"/>
      <c r="Q13" s="431"/>
      <c r="R13" s="10"/>
      <c r="S13" s="10"/>
      <c r="T13" s="10"/>
      <c r="U13" s="10"/>
      <c r="V13" s="419"/>
      <c r="W13" s="419"/>
      <c r="X13" s="419"/>
      <c r="Y13" s="419"/>
      <c r="Z13" s="419"/>
      <c r="AA13" s="419"/>
    </row>
    <row r="14" spans="1:27" ht="17" x14ac:dyDescent="0.2">
      <c r="A14" s="418"/>
      <c r="B14" s="100" t="s">
        <v>503</v>
      </c>
      <c r="C14" s="731"/>
      <c r="D14" s="731"/>
      <c r="E14" s="741">
        <f>C9-E9</f>
        <v>0</v>
      </c>
      <c r="F14" s="418"/>
      <c r="G14" s="424" t="s">
        <v>111</v>
      </c>
      <c r="H14" s="430">
        <f>Summary!D14</f>
        <v>0</v>
      </c>
      <c r="I14" s="426"/>
      <c r="J14" s="426"/>
      <c r="K14" s="426"/>
      <c r="L14" s="426"/>
      <c r="M14" s="426"/>
      <c r="N14" s="426"/>
      <c r="O14" s="426"/>
      <c r="P14" s="426"/>
      <c r="Q14" s="427"/>
      <c r="R14" s="10"/>
      <c r="S14" s="10"/>
      <c r="T14" s="10"/>
      <c r="U14" s="10"/>
      <c r="V14" s="419"/>
      <c r="W14" s="419"/>
      <c r="X14" s="419"/>
      <c r="Y14" s="419"/>
      <c r="Z14" s="419"/>
      <c r="AA14" s="419"/>
    </row>
    <row r="15" spans="1:27" x14ac:dyDescent="0.2">
      <c r="A15" s="418"/>
      <c r="B15" s="100" t="s">
        <v>504</v>
      </c>
      <c r="C15" s="731"/>
      <c r="D15" s="731"/>
      <c r="E15" s="741">
        <f>($C$3="Yes")*('Acquisition Costs'!D51-C9)</f>
        <v>0</v>
      </c>
      <c r="F15" s="418"/>
      <c r="G15" s="428" t="s">
        <v>107</v>
      </c>
      <c r="H15" s="430">
        <f>H14</f>
        <v>0</v>
      </c>
      <c r="I15" s="430">
        <f t="shared" ref="I15:Q15" ca="1" si="4">IF(year_refi="NA",H19,IF(I$5-year_refi-1&gt;=0,0,H19))</f>
        <v>0</v>
      </c>
      <c r="J15" s="430">
        <f t="shared" ca="1" si="4"/>
        <v>0</v>
      </c>
      <c r="K15" s="430">
        <f t="shared" ca="1" si="4"/>
        <v>0</v>
      </c>
      <c r="L15" s="430">
        <f t="shared" ca="1" si="4"/>
        <v>0</v>
      </c>
      <c r="M15" s="430">
        <f t="shared" ca="1" si="4"/>
        <v>0</v>
      </c>
      <c r="N15" s="430">
        <f t="shared" ca="1" si="4"/>
        <v>0</v>
      </c>
      <c r="O15" s="430">
        <f t="shared" ca="1" si="4"/>
        <v>0</v>
      </c>
      <c r="P15" s="430">
        <f t="shared" ca="1" si="4"/>
        <v>0</v>
      </c>
      <c r="Q15" s="431">
        <f t="shared" ca="1" si="4"/>
        <v>0</v>
      </c>
      <c r="R15" s="10"/>
      <c r="S15" s="10"/>
      <c r="T15" s="10"/>
      <c r="U15" s="10"/>
      <c r="V15" s="419"/>
      <c r="W15" s="419"/>
      <c r="X15" s="419"/>
      <c r="Y15" s="419"/>
      <c r="Z15" s="419"/>
      <c r="AA15" s="419"/>
    </row>
    <row r="16" spans="1:27" ht="17" thickBot="1" x14ac:dyDescent="0.25">
      <c r="A16" s="418"/>
      <c r="B16" s="101" t="s">
        <v>505</v>
      </c>
      <c r="C16" s="732"/>
      <c r="D16" s="732"/>
      <c r="E16" s="742">
        <f>SUM(E12:E15)</f>
        <v>0</v>
      </c>
      <c r="F16" s="418"/>
      <c r="G16" s="428" t="s">
        <v>21</v>
      </c>
      <c r="H16" s="430">
        <f ca="1">IF(year_refi="NA",'2nd Mortgage 1'!C12,IF(H$5-year_refi-1&gt;=0,0,'2nd Mortgage 1'!C12))</f>
        <v>0</v>
      </c>
      <c r="I16" s="430">
        <f ca="1">IF(year_refi="NA",'2nd Mortgage 1'!D12,IF(I$5-year_refi-1&gt;=0,0,'2nd Mortgage 1'!D12))</f>
        <v>0</v>
      </c>
      <c r="J16" s="430">
        <f ca="1">IF(year_refi="NA",'2nd Mortgage 1'!E12,IF(J$5-year_refi-1&gt;=0,0,'2nd Mortgage 1'!E12))</f>
        <v>0</v>
      </c>
      <c r="K16" s="430">
        <f ca="1">IF(year_refi="NA",'2nd Mortgage 1'!F12,IF(K$5-year_refi-1&gt;=0,0,'2nd Mortgage 1'!F12))</f>
        <v>0</v>
      </c>
      <c r="L16" s="430">
        <f ca="1">IF(year_refi="NA",'2nd Mortgage 1'!G12,IF(L$5-year_refi-1&gt;=0,0,'2nd Mortgage 1'!G12))</f>
        <v>0</v>
      </c>
      <c r="M16" s="430">
        <f ca="1">IF(year_refi="NA",'2nd Mortgage 1'!H12,IF(M$5-year_refi-1&gt;=0,0,'2nd Mortgage 1'!H12))</f>
        <v>0</v>
      </c>
      <c r="N16" s="430">
        <f ca="1">IF(year_refi="NA",'2nd Mortgage 1'!I12,IF(N$5-year_refi-1&gt;=0,0,'2nd Mortgage 1'!I12))</f>
        <v>0</v>
      </c>
      <c r="O16" s="430">
        <f ca="1">IF(year_refi="NA",'2nd Mortgage 1'!J12,IF(O$5-year_refi-1&gt;=0,0,'2nd Mortgage 1'!J12))</f>
        <v>0</v>
      </c>
      <c r="P16" s="430">
        <f ca="1">IF(year_refi="NA",'2nd Mortgage 1'!K12,IF(P$5-year_refi-1&gt;=0,0,'2nd Mortgage 1'!K12))</f>
        <v>0</v>
      </c>
      <c r="Q16" s="431">
        <f ca="1">IF(year_refi="NA",'2nd Mortgage 1'!L12,IF(Q$5-year_refi-1&gt;=0,0,'2nd Mortgage 1'!L12))</f>
        <v>0</v>
      </c>
      <c r="R16" s="10"/>
      <c r="S16" s="10"/>
      <c r="T16" s="10"/>
      <c r="U16" s="10"/>
      <c r="V16" s="419"/>
      <c r="W16" s="419"/>
      <c r="X16" s="419"/>
      <c r="Y16" s="419"/>
      <c r="Z16" s="419"/>
      <c r="AA16" s="419"/>
    </row>
    <row r="17" spans="1:27" x14ac:dyDescent="0.2">
      <c r="A17" s="418"/>
      <c r="B17" s="10"/>
      <c r="C17" s="92"/>
      <c r="D17" s="92"/>
      <c r="E17" s="92"/>
      <c r="F17" s="418"/>
      <c r="G17" s="428" t="s">
        <v>108</v>
      </c>
      <c r="H17" s="430">
        <f ca="1">IF(year_refi="NA",'2nd Mortgage 1'!C13,IF(H$5-year_refi-1&gt;=0,0,'2nd Mortgage 1'!C13))</f>
        <v>0</v>
      </c>
      <c r="I17" s="430">
        <f ca="1">IF(year_refi="NA",'2nd Mortgage 1'!D13,IF(I$5-year_refi-1&gt;=0,0,'2nd Mortgage 1'!D13))</f>
        <v>0</v>
      </c>
      <c r="J17" s="430">
        <f ca="1">IF(year_refi="NA",'2nd Mortgage 1'!E13,IF(J$5-year_refi-1&gt;=0,0,'2nd Mortgage 1'!E13))</f>
        <v>0</v>
      </c>
      <c r="K17" s="430">
        <f ca="1">IF(year_refi="NA",'2nd Mortgage 1'!F13,IF(K$5-year_refi-1&gt;=0,0,'2nd Mortgage 1'!F13))</f>
        <v>0</v>
      </c>
      <c r="L17" s="430">
        <f ca="1">IF(year_refi="NA",'2nd Mortgage 1'!G13,IF(L$5-year_refi-1&gt;=0,0,'2nd Mortgage 1'!G13))</f>
        <v>0</v>
      </c>
      <c r="M17" s="430">
        <f ca="1">IF(year_refi="NA",'2nd Mortgage 1'!H13,IF(M$5-year_refi-1&gt;=0,0,'2nd Mortgage 1'!H13))</f>
        <v>0</v>
      </c>
      <c r="N17" s="430">
        <f ca="1">IF(year_refi="NA",'2nd Mortgage 1'!I13,IF(N$5-year_refi-1&gt;=0,0,'2nd Mortgage 1'!I13))</f>
        <v>0</v>
      </c>
      <c r="O17" s="430">
        <f ca="1">IF(year_refi="NA",'2nd Mortgage 1'!J13,IF(O$5-year_refi-1&gt;=0,0,'2nd Mortgage 1'!J13))</f>
        <v>0</v>
      </c>
      <c r="P17" s="430">
        <f ca="1">IF(year_refi="NA",'2nd Mortgage 1'!K13,IF(P$5-year_refi-1&gt;=0,0,'2nd Mortgage 1'!K13))</f>
        <v>0</v>
      </c>
      <c r="Q17" s="431">
        <f ca="1">IF(year_refi="NA",'2nd Mortgage 1'!L13,IF(Q$5-year_refi-1&gt;=0,0,'2nd Mortgage 1'!L13))</f>
        <v>0</v>
      </c>
      <c r="R17" s="10"/>
      <c r="S17" s="10"/>
      <c r="T17" s="10"/>
      <c r="U17" s="10"/>
      <c r="V17" s="419"/>
      <c r="W17" s="419"/>
      <c r="X17" s="419"/>
      <c r="Y17" s="419"/>
      <c r="Z17" s="419"/>
      <c r="AA17" s="419"/>
    </row>
    <row r="18" spans="1:27" x14ac:dyDescent="0.2">
      <c r="A18" s="418"/>
      <c r="B18" s="95"/>
      <c r="C18" s="92"/>
      <c r="D18" s="92"/>
      <c r="E18" s="92"/>
      <c r="F18" s="418"/>
      <c r="G18" s="428" t="s">
        <v>51</v>
      </c>
      <c r="H18" s="430">
        <f ca="1">H16+H17</f>
        <v>0</v>
      </c>
      <c r="I18" s="430">
        <f t="shared" ref="I18:Q18" ca="1" si="5">I16+I17</f>
        <v>0</v>
      </c>
      <c r="J18" s="430">
        <f t="shared" ca="1" si="5"/>
        <v>0</v>
      </c>
      <c r="K18" s="430">
        <f t="shared" ca="1" si="5"/>
        <v>0</v>
      </c>
      <c r="L18" s="430">
        <f t="shared" ca="1" si="5"/>
        <v>0</v>
      </c>
      <c r="M18" s="430">
        <f t="shared" ca="1" si="5"/>
        <v>0</v>
      </c>
      <c r="N18" s="430">
        <f t="shared" ca="1" si="5"/>
        <v>0</v>
      </c>
      <c r="O18" s="430">
        <f t="shared" ca="1" si="5"/>
        <v>0</v>
      </c>
      <c r="P18" s="430">
        <f t="shared" ca="1" si="5"/>
        <v>0</v>
      </c>
      <c r="Q18" s="431">
        <f t="shared" ca="1" si="5"/>
        <v>0</v>
      </c>
      <c r="R18" s="10"/>
      <c r="S18" s="10"/>
      <c r="T18" s="10"/>
      <c r="U18" s="10"/>
      <c r="V18" s="419"/>
      <c r="W18" s="419"/>
      <c r="X18" s="419"/>
      <c r="Y18" s="419"/>
      <c r="Z18" s="419"/>
      <c r="AA18" s="419"/>
    </row>
    <row r="19" spans="1:27" x14ac:dyDescent="0.2">
      <c r="A19" s="418"/>
      <c r="C19" s="54"/>
      <c r="D19" s="54"/>
      <c r="E19" s="54"/>
      <c r="F19" s="418"/>
      <c r="G19" s="432" t="s">
        <v>109</v>
      </c>
      <c r="H19" s="433">
        <f ca="1">IF(year_refi="NA",'2nd Mortgage 1'!C14,IF(H$5-year_refi-1&gt;=0,0,'2nd Mortgage 1'!C14))</f>
        <v>0</v>
      </c>
      <c r="I19" s="433">
        <f ca="1">IF(year_refi="NA",'2nd Mortgage 1'!D14,IF(I$5-year_refi-1&gt;=0,0,'2nd Mortgage 1'!D14))</f>
        <v>0</v>
      </c>
      <c r="J19" s="433">
        <f ca="1">IF(year_refi="NA",'2nd Mortgage 1'!E14,IF(J$5-year_refi-1&gt;=0,0,'2nd Mortgage 1'!E14))</f>
        <v>0</v>
      </c>
      <c r="K19" s="433">
        <f ca="1">IF(year_refi="NA",'2nd Mortgage 1'!F14,IF(K$5-year_refi-1&gt;=0,0,'2nd Mortgage 1'!F14))</f>
        <v>0</v>
      </c>
      <c r="L19" s="433">
        <f ca="1">IF(year_refi="NA",'2nd Mortgage 1'!G14,IF(L$5-year_refi-1&gt;=0,0,'2nd Mortgage 1'!G14))</f>
        <v>0</v>
      </c>
      <c r="M19" s="433">
        <f ca="1">IF(year_refi="NA",'2nd Mortgage 1'!H14,IF(M$5-year_refi-1&gt;=0,0,'2nd Mortgage 1'!H14))</f>
        <v>0</v>
      </c>
      <c r="N19" s="433">
        <f ca="1">IF(year_refi="NA",'2nd Mortgage 1'!I14,IF(N$5-year_refi-1&gt;=0,0,'2nd Mortgage 1'!I14))</f>
        <v>0</v>
      </c>
      <c r="O19" s="433">
        <f ca="1">IF(year_refi="NA",'2nd Mortgage 1'!J14,IF(O$5-year_refi-1&gt;=0,0,'2nd Mortgage 1'!J14))</f>
        <v>0</v>
      </c>
      <c r="P19" s="433">
        <f ca="1">IF(year_refi="NA",'2nd Mortgage 1'!K14,IF(P$5-year_refi-1&gt;=0,0,'2nd Mortgage 1'!K14))</f>
        <v>0</v>
      </c>
      <c r="Q19" s="436">
        <f ca="1">IF(year_refi="NA",'2nd Mortgage 1'!L14,IF(Q$5-year_refi-1&gt;=0,0,'2nd Mortgage 1'!L14))</f>
        <v>0</v>
      </c>
      <c r="R19" s="10"/>
      <c r="S19" s="10"/>
      <c r="T19" s="10"/>
      <c r="U19" s="10"/>
      <c r="V19" s="419"/>
      <c r="W19" s="419"/>
      <c r="X19" s="419"/>
      <c r="Y19" s="419"/>
      <c r="Z19" s="419"/>
      <c r="AA19" s="419"/>
    </row>
    <row r="20" spans="1:27" x14ac:dyDescent="0.2">
      <c r="A20" s="418"/>
      <c r="C20" s="54"/>
      <c r="D20" s="54"/>
      <c r="E20" s="54"/>
      <c r="F20" s="418"/>
      <c r="G20" s="432"/>
      <c r="H20" s="433"/>
      <c r="I20" s="433"/>
      <c r="J20" s="433"/>
      <c r="K20" s="433"/>
      <c r="L20" s="433"/>
      <c r="M20" s="433"/>
      <c r="N20" s="433"/>
      <c r="O20" s="433"/>
      <c r="P20" s="433"/>
      <c r="Q20" s="436"/>
      <c r="R20" s="10"/>
      <c r="S20" s="10"/>
      <c r="T20" s="10"/>
      <c r="U20" s="10"/>
      <c r="V20" s="419"/>
      <c r="W20" s="419"/>
      <c r="X20" s="419"/>
      <c r="Y20" s="419"/>
      <c r="Z20" s="419"/>
      <c r="AA20" s="419"/>
    </row>
    <row r="21" spans="1:27" ht="17" x14ac:dyDescent="0.2">
      <c r="A21" s="418"/>
      <c r="F21" s="418"/>
      <c r="G21" s="424" t="s">
        <v>154</v>
      </c>
      <c r="H21" s="437" t="str">
        <f>IF(year_refi="NA","",IF(H5=year_refi+1,'Exit Strategy'!$D$15,""))</f>
        <v/>
      </c>
      <c r="I21" s="437" t="str">
        <f>IF(year_refi="NA","",IF(I5=year_refi+1,'Exit Strategy'!$D$15,""))</f>
        <v/>
      </c>
      <c r="J21" s="437" t="str">
        <f>IF(year_refi="NA","",IF(J5=year_refi+1,'Exit Strategy'!$D$15,""))</f>
        <v/>
      </c>
      <c r="K21" s="437" t="str">
        <f>IF(year_refi="NA","",IF(K5=year_refi+1,'Exit Strategy'!$D$15,""))</f>
        <v/>
      </c>
      <c r="L21" s="437" t="str">
        <f>IF(year_refi="NA","",IF(L5=year_refi+1,'Exit Strategy'!$D$15,""))</f>
        <v/>
      </c>
      <c r="M21" s="437" t="str">
        <f>IF(year_refi="NA","",IF(M5=year_refi+1,'Exit Strategy'!$D$15,""))</f>
        <v/>
      </c>
      <c r="N21" s="437" t="str">
        <f>IF(year_refi="NA","",IF(N5=year_refi+1,'Exit Strategy'!$D$15,""))</f>
        <v/>
      </c>
      <c r="O21" s="437" t="str">
        <f>IF(year_refi="NA","",IF(O5=year_refi+1,'Exit Strategy'!$D$15,""))</f>
        <v/>
      </c>
      <c r="P21" s="437" t="str">
        <f>IF(year_refi="NA","",IF(P5=year_refi+1,'Exit Strategy'!$D$15,""))</f>
        <v/>
      </c>
      <c r="Q21" s="438" t="str">
        <f>IF(year_refi="NA","",IF(Q5=year_refi+1,'Exit Strategy'!$D$15,""))</f>
        <v/>
      </c>
      <c r="R21" s="10"/>
      <c r="S21" s="10"/>
      <c r="T21" s="10"/>
      <c r="U21" s="10"/>
      <c r="V21" s="419"/>
      <c r="W21" s="419"/>
      <c r="X21" s="419"/>
      <c r="Y21" s="419"/>
      <c r="Z21" s="419"/>
      <c r="AA21" s="419"/>
    </row>
    <row r="22" spans="1:27" x14ac:dyDescent="0.2">
      <c r="A22" s="418"/>
      <c r="B22" s="418"/>
      <c r="C22" s="418"/>
      <c r="D22" s="418"/>
      <c r="E22" s="418"/>
      <c r="F22" s="418"/>
      <c r="G22" s="428" t="s">
        <v>107</v>
      </c>
      <c r="H22" s="430">
        <f>IF(H21="",0,H21)</f>
        <v>0</v>
      </c>
      <c r="I22" s="430">
        <f t="shared" ref="I22:Q22" ca="1" si="6">IF(I21="",H26,I21)</f>
        <v>0</v>
      </c>
      <c r="J22" s="430">
        <f t="shared" ca="1" si="6"/>
        <v>0</v>
      </c>
      <c r="K22" s="430">
        <f t="shared" ca="1" si="6"/>
        <v>0</v>
      </c>
      <c r="L22" s="430">
        <f t="shared" ca="1" si="6"/>
        <v>0</v>
      </c>
      <c r="M22" s="430">
        <f t="shared" ca="1" si="6"/>
        <v>0</v>
      </c>
      <c r="N22" s="430">
        <f t="shared" ca="1" si="6"/>
        <v>0</v>
      </c>
      <c r="O22" s="430">
        <f t="shared" ca="1" si="6"/>
        <v>0</v>
      </c>
      <c r="P22" s="430">
        <f t="shared" ca="1" si="6"/>
        <v>0</v>
      </c>
      <c r="Q22" s="431">
        <f t="shared" ca="1" si="6"/>
        <v>0</v>
      </c>
      <c r="R22" s="10"/>
      <c r="S22" s="10"/>
      <c r="T22" s="10"/>
      <c r="U22" s="10"/>
      <c r="V22" s="419"/>
      <c r="W22" s="419"/>
      <c r="X22" s="419"/>
      <c r="Y22" s="419"/>
      <c r="Z22" s="419"/>
      <c r="AA22" s="419"/>
    </row>
    <row r="23" spans="1:27" x14ac:dyDescent="0.2">
      <c r="A23" s="418"/>
      <c r="B23" s="418"/>
      <c r="C23" s="418"/>
      <c r="D23" s="418"/>
      <c r="E23" s="418"/>
      <c r="F23" s="418"/>
      <c r="G23" s="428" t="s">
        <v>21</v>
      </c>
      <c r="H23" s="430">
        <f ca="1">IF(year_refi="NA",0,IF(Loans!H$5-year_refi-1&lt;0,0,OFFSET('1st Mortgage Re-Fi'!$C$12,0,Loans!H$5-year_refi-1)))</f>
        <v>0</v>
      </c>
      <c r="I23" s="430">
        <f ca="1">IF(year_refi="NA",0,IF(Loans!I$5-year_refi-1&lt;0,0,OFFSET('1st Mortgage Re-Fi'!$C$12,0,Loans!I$5-year_refi-1)))</f>
        <v>0</v>
      </c>
      <c r="J23" s="430">
        <f ca="1">IF(year_refi="NA",0,IF(Loans!J$5-year_refi-1&lt;0,0,OFFSET('1st Mortgage Re-Fi'!$C$12,0,Loans!J$5-year_refi-1)))</f>
        <v>0</v>
      </c>
      <c r="K23" s="430">
        <f ca="1">IF(year_refi="NA",0,IF(Loans!K$5-year_refi-1&lt;0,0,OFFSET('1st Mortgage Re-Fi'!$C$12,0,Loans!K$5-year_refi-1)))</f>
        <v>0</v>
      </c>
      <c r="L23" s="430">
        <f ca="1">IF(year_refi="NA",0,IF(Loans!L$5-year_refi-1&lt;0,0,OFFSET('1st Mortgage Re-Fi'!$C$12,0,Loans!L$5-year_refi-1)))</f>
        <v>0</v>
      </c>
      <c r="M23" s="430">
        <f ca="1">IF(year_refi="NA",0,IF(Loans!M$5-year_refi-1&lt;0,0,OFFSET('1st Mortgage Re-Fi'!$C$12,0,Loans!M$5-year_refi-1)))</f>
        <v>0</v>
      </c>
      <c r="N23" s="430">
        <f ca="1">IF(year_refi="NA",0,IF(Loans!N$5-year_refi-1&lt;0,0,OFFSET('1st Mortgage Re-Fi'!$C$12,0,Loans!N$5-year_refi-1)))</f>
        <v>0</v>
      </c>
      <c r="O23" s="430">
        <f ca="1">IF(year_refi="NA",0,IF(Loans!O$5-year_refi-1&lt;0,0,OFFSET('1st Mortgage Re-Fi'!$C$12,0,Loans!O$5-year_refi-1)))</f>
        <v>0</v>
      </c>
      <c r="P23" s="430">
        <f ca="1">IF(year_refi="NA",0,IF(Loans!P$5-year_refi-1&lt;0,0,OFFSET('1st Mortgage Re-Fi'!$C$12,0,Loans!P$5-year_refi-1)))</f>
        <v>0</v>
      </c>
      <c r="Q23" s="431">
        <f ca="1">IF(year_refi="NA",0,IF(Loans!Q$5-year_refi-1&lt;0,0,OFFSET('1st Mortgage Re-Fi'!$C$12,0,Loans!Q$5-year_refi-1)))</f>
        <v>0</v>
      </c>
      <c r="R23" s="10"/>
      <c r="S23" s="10"/>
      <c r="T23" s="10"/>
      <c r="U23" s="10"/>
      <c r="V23" s="419"/>
      <c r="W23" s="419"/>
      <c r="X23" s="419"/>
      <c r="Y23" s="419"/>
      <c r="Z23" s="419"/>
      <c r="AA23" s="419"/>
    </row>
    <row r="24" spans="1:27" x14ac:dyDescent="0.2">
      <c r="A24" s="418"/>
      <c r="B24" s="418"/>
      <c r="C24" s="418"/>
      <c r="D24" s="418"/>
      <c r="E24" s="418"/>
      <c r="F24" s="418"/>
      <c r="G24" s="428" t="s">
        <v>108</v>
      </c>
      <c r="H24" s="430">
        <f ca="1">IF(year_refi="NA",0,IF(Loans!H$5-year_refi-1&lt;0,0,OFFSET('1st Mortgage Re-Fi'!$C$13,0,Loans!H$5-year_refi-1)))</f>
        <v>0</v>
      </c>
      <c r="I24" s="430">
        <f ca="1">IF(year_refi="NA",0,IF(Loans!I$5-year_refi-1&lt;0,0,OFFSET('1st Mortgage Re-Fi'!$C$13,0,Loans!I$5-year_refi-1)))</f>
        <v>0</v>
      </c>
      <c r="J24" s="430">
        <f ca="1">IF(year_refi="NA",0,IF(Loans!J$5-year_refi-1&lt;0,0,OFFSET('1st Mortgage Re-Fi'!$C$13,0,Loans!J$5-year_refi-1)))</f>
        <v>0</v>
      </c>
      <c r="K24" s="430">
        <f ca="1">IF(year_refi="NA",0,IF(Loans!K$5-year_refi-1&lt;0,0,OFFSET('1st Mortgage Re-Fi'!$C$13,0,Loans!K$5-year_refi-1)))</f>
        <v>0</v>
      </c>
      <c r="L24" s="430">
        <f ca="1">IF(year_refi="NA",0,IF(Loans!L$5-year_refi-1&lt;0,0,OFFSET('1st Mortgage Re-Fi'!$C$13,0,Loans!L$5-year_refi-1)))</f>
        <v>0</v>
      </c>
      <c r="M24" s="430">
        <f ca="1">IF(year_refi="NA",0,IF(Loans!M$5-year_refi-1&lt;0,0,OFFSET('1st Mortgage Re-Fi'!$C$13,0,Loans!M$5-year_refi-1)))</f>
        <v>0</v>
      </c>
      <c r="N24" s="430">
        <f ca="1">IF(year_refi="NA",0,IF(Loans!N$5-year_refi-1&lt;0,0,OFFSET('1st Mortgage Re-Fi'!$C$13,0,Loans!N$5-year_refi-1)))</f>
        <v>0</v>
      </c>
      <c r="O24" s="430">
        <f ca="1">IF(year_refi="NA",0,IF(Loans!O$5-year_refi-1&lt;0,0,OFFSET('1st Mortgage Re-Fi'!$C$13,0,Loans!O$5-year_refi-1)))</f>
        <v>0</v>
      </c>
      <c r="P24" s="430">
        <f ca="1">IF(year_refi="NA",0,IF(Loans!P$5-year_refi-1&lt;0,0,OFFSET('1st Mortgage Re-Fi'!$C$13,0,Loans!P$5-year_refi-1)))</f>
        <v>0</v>
      </c>
      <c r="Q24" s="431">
        <f ca="1">IF(year_refi="NA",0,IF(Loans!Q$5-year_refi-1&lt;0,0,OFFSET('1st Mortgage Re-Fi'!$C$13,0,Loans!Q$5-year_refi-1)))</f>
        <v>0</v>
      </c>
      <c r="R24" s="418"/>
      <c r="S24" s="419"/>
      <c r="T24" s="419"/>
      <c r="U24" s="419"/>
      <c r="V24" s="419"/>
      <c r="W24" s="419"/>
      <c r="X24" s="419"/>
      <c r="Y24" s="419"/>
      <c r="Z24" s="419"/>
      <c r="AA24" s="419"/>
    </row>
    <row r="25" spans="1:27" x14ac:dyDescent="0.2">
      <c r="A25" s="418"/>
      <c r="B25" s="418"/>
      <c r="C25" s="418"/>
      <c r="D25" s="418"/>
      <c r="E25" s="418"/>
      <c r="F25" s="418"/>
      <c r="G25" s="428" t="s">
        <v>51</v>
      </c>
      <c r="H25" s="430">
        <f t="shared" ref="H25:Q25" ca="1" si="7">H23+H24</f>
        <v>0</v>
      </c>
      <c r="I25" s="430">
        <f t="shared" ca="1" si="7"/>
        <v>0</v>
      </c>
      <c r="J25" s="430">
        <f t="shared" ca="1" si="7"/>
        <v>0</v>
      </c>
      <c r="K25" s="430">
        <f t="shared" ca="1" si="7"/>
        <v>0</v>
      </c>
      <c r="L25" s="430">
        <f t="shared" ca="1" si="7"/>
        <v>0</v>
      </c>
      <c r="M25" s="430">
        <f t="shared" ca="1" si="7"/>
        <v>0</v>
      </c>
      <c r="N25" s="430">
        <f t="shared" ca="1" si="7"/>
        <v>0</v>
      </c>
      <c r="O25" s="430">
        <f t="shared" ca="1" si="7"/>
        <v>0</v>
      </c>
      <c r="P25" s="430">
        <f t="shared" ca="1" si="7"/>
        <v>0</v>
      </c>
      <c r="Q25" s="431">
        <f t="shared" ca="1" si="7"/>
        <v>0</v>
      </c>
      <c r="R25" s="418"/>
      <c r="S25" s="419"/>
      <c r="T25" s="419"/>
      <c r="U25" s="419"/>
      <c r="V25" s="419"/>
      <c r="W25" s="419"/>
      <c r="X25" s="419"/>
      <c r="Y25" s="419"/>
      <c r="Z25" s="419"/>
      <c r="AA25" s="419"/>
    </row>
    <row r="26" spans="1:27" x14ac:dyDescent="0.2">
      <c r="A26" s="418"/>
      <c r="B26" s="418"/>
      <c r="C26" s="418"/>
      <c r="D26" s="418"/>
      <c r="E26" s="418"/>
      <c r="F26" s="418"/>
      <c r="G26" s="432" t="s">
        <v>109</v>
      </c>
      <c r="H26" s="433">
        <f ca="1">IF(year_refi="NA",0,IF(Loans!H$5-year_refi-1&lt;0,0,OFFSET('1st Mortgage Re-Fi'!$C$14,0,Loans!H$5-year_refi-1)))</f>
        <v>0</v>
      </c>
      <c r="I26" s="433">
        <f ca="1">IF(year_refi="NA",0,IF(Loans!I$5-year_refi-1&lt;0,0,OFFSET('1st Mortgage Re-Fi'!$C$14,0,Loans!I$5-year_refi-1)))</f>
        <v>0</v>
      </c>
      <c r="J26" s="433">
        <f ca="1">IF(year_refi="NA",0,IF(Loans!J$5-year_refi-1&lt;0,0,OFFSET('1st Mortgage Re-Fi'!$C$14,0,Loans!J$5-year_refi-1)))</f>
        <v>0</v>
      </c>
      <c r="K26" s="433">
        <f ca="1">IF(year_refi="NA",0,IF(Loans!K$5-year_refi-1&lt;0,0,OFFSET('1st Mortgage Re-Fi'!$C$14,0,Loans!K$5-year_refi-1)))</f>
        <v>0</v>
      </c>
      <c r="L26" s="433">
        <f ca="1">IF(year_refi="NA",0,IF(Loans!L$5-year_refi-1&lt;0,0,OFFSET('1st Mortgage Re-Fi'!$C$14,0,Loans!L$5-year_refi-1)))</f>
        <v>0</v>
      </c>
      <c r="M26" s="433">
        <f ca="1">IF(year_refi="NA",0,IF(Loans!M$5-year_refi-1&lt;0,0,OFFSET('1st Mortgage Re-Fi'!$C$14,0,Loans!M$5-year_refi-1)))</f>
        <v>0</v>
      </c>
      <c r="N26" s="433">
        <f ca="1">IF(year_refi="NA",0,IF(Loans!N$5-year_refi-1&lt;0,0,OFFSET('1st Mortgage Re-Fi'!$C$14,0,Loans!N$5-year_refi-1)))</f>
        <v>0</v>
      </c>
      <c r="O26" s="433">
        <f ca="1">IF(year_refi="NA",0,IF(Loans!O$5-year_refi-1&lt;0,0,OFFSET('1st Mortgage Re-Fi'!$C$14,0,Loans!O$5-year_refi-1)))</f>
        <v>0</v>
      </c>
      <c r="P26" s="433">
        <f ca="1">IF(year_refi="NA",0,IF(Loans!P$5-year_refi-1&lt;0,0,OFFSET('1st Mortgage Re-Fi'!$C$14,0,Loans!P$5-year_refi-1)))</f>
        <v>0</v>
      </c>
      <c r="Q26" s="436">
        <f ca="1">IF(year_refi="NA",0,IF(Loans!Q$5-year_refi-1&lt;0,0,OFFSET('1st Mortgage Re-Fi'!$C$14,0,Loans!Q$5-year_refi-1)))</f>
        <v>0</v>
      </c>
      <c r="R26" s="418"/>
      <c r="S26" s="419"/>
      <c r="T26" s="419"/>
      <c r="U26" s="419"/>
      <c r="V26" s="419"/>
      <c r="W26" s="419"/>
      <c r="X26" s="419"/>
      <c r="Y26" s="419"/>
      <c r="Z26" s="419"/>
      <c r="AA26" s="419"/>
    </row>
    <row r="27" spans="1:27" x14ac:dyDescent="0.2">
      <c r="A27" s="418"/>
      <c r="B27" s="418"/>
      <c r="C27" s="418"/>
      <c r="D27" s="418"/>
      <c r="E27" s="418"/>
      <c r="F27" s="418"/>
      <c r="G27" s="299"/>
      <c r="H27" s="418"/>
      <c r="I27" s="418"/>
      <c r="J27" s="418"/>
      <c r="K27" s="418"/>
      <c r="L27" s="418"/>
      <c r="M27" s="418"/>
      <c r="N27" s="418"/>
      <c r="O27" s="418"/>
      <c r="P27" s="418"/>
      <c r="Q27" s="251"/>
      <c r="R27" s="418"/>
      <c r="S27" s="419"/>
      <c r="T27" s="419"/>
      <c r="U27" s="419"/>
      <c r="V27" s="419"/>
      <c r="W27" s="419"/>
      <c r="X27" s="419"/>
      <c r="Y27" s="419"/>
      <c r="Z27" s="419"/>
      <c r="AA27" s="419"/>
    </row>
    <row r="28" spans="1:27" x14ac:dyDescent="0.2">
      <c r="A28" s="418"/>
      <c r="B28" s="418"/>
      <c r="C28" s="418"/>
      <c r="D28" s="418"/>
      <c r="E28" s="418"/>
      <c r="F28" s="418"/>
      <c r="G28" s="439" t="s">
        <v>110</v>
      </c>
      <c r="H28" s="440"/>
      <c r="I28" s="426"/>
      <c r="J28" s="426"/>
      <c r="K28" s="426"/>
      <c r="L28" s="426"/>
      <c r="M28" s="426"/>
      <c r="N28" s="426"/>
      <c r="O28" s="426"/>
      <c r="P28" s="426"/>
      <c r="Q28" s="427"/>
      <c r="R28" s="418"/>
      <c r="S28" s="419"/>
      <c r="T28" s="419"/>
      <c r="U28" s="419"/>
      <c r="V28" s="419"/>
      <c r="W28" s="419"/>
      <c r="X28" s="419"/>
      <c r="Y28" s="419"/>
      <c r="Z28" s="419"/>
      <c r="AA28" s="419"/>
    </row>
    <row r="29" spans="1:27" x14ac:dyDescent="0.2">
      <c r="A29" s="418"/>
      <c r="B29" s="418"/>
      <c r="C29" s="418"/>
      <c r="D29" s="418"/>
      <c r="E29" s="418"/>
      <c r="F29" s="418"/>
      <c r="G29" s="428" t="s">
        <v>107</v>
      </c>
      <c r="H29" s="441">
        <f t="shared" ref="H29:Q29" si="8">H8+H15+H22</f>
        <v>0</v>
      </c>
      <c r="I29" s="441">
        <f t="shared" ca="1" si="8"/>
        <v>0</v>
      </c>
      <c r="J29" s="441">
        <f t="shared" ca="1" si="8"/>
        <v>0</v>
      </c>
      <c r="K29" s="441">
        <f t="shared" ca="1" si="8"/>
        <v>0</v>
      </c>
      <c r="L29" s="441">
        <f t="shared" ca="1" si="8"/>
        <v>0</v>
      </c>
      <c r="M29" s="441">
        <f t="shared" ca="1" si="8"/>
        <v>0</v>
      </c>
      <c r="N29" s="441">
        <f t="shared" ca="1" si="8"/>
        <v>0</v>
      </c>
      <c r="O29" s="441">
        <f t="shared" ca="1" si="8"/>
        <v>0</v>
      </c>
      <c r="P29" s="441">
        <f t="shared" ca="1" si="8"/>
        <v>0</v>
      </c>
      <c r="Q29" s="442">
        <f t="shared" ca="1" si="8"/>
        <v>0</v>
      </c>
      <c r="R29" s="418"/>
      <c r="S29" s="419"/>
      <c r="T29" s="419"/>
      <c r="U29" s="419"/>
      <c r="V29" s="419"/>
      <c r="W29" s="419"/>
      <c r="X29" s="419"/>
      <c r="Y29" s="419"/>
      <c r="Z29" s="419"/>
      <c r="AA29" s="419"/>
    </row>
    <row r="30" spans="1:27" x14ac:dyDescent="0.2">
      <c r="A30" s="418"/>
      <c r="B30" s="418"/>
      <c r="C30" s="418"/>
      <c r="D30" s="418"/>
      <c r="E30" s="418"/>
      <c r="F30" s="418"/>
      <c r="G30" s="428" t="s">
        <v>108</v>
      </c>
      <c r="H30" s="441">
        <f t="shared" ref="H30:Q30" ca="1" si="9">H10+H17+H24</f>
        <v>0</v>
      </c>
      <c r="I30" s="441">
        <f t="shared" ca="1" si="9"/>
        <v>0</v>
      </c>
      <c r="J30" s="441">
        <f t="shared" ca="1" si="9"/>
        <v>0</v>
      </c>
      <c r="K30" s="441">
        <f t="shared" ca="1" si="9"/>
        <v>0</v>
      </c>
      <c r="L30" s="441">
        <f t="shared" ca="1" si="9"/>
        <v>0</v>
      </c>
      <c r="M30" s="441">
        <f t="shared" ca="1" si="9"/>
        <v>0</v>
      </c>
      <c r="N30" s="441">
        <f t="shared" ca="1" si="9"/>
        <v>0</v>
      </c>
      <c r="O30" s="441">
        <f t="shared" ca="1" si="9"/>
        <v>0</v>
      </c>
      <c r="P30" s="441">
        <f t="shared" ca="1" si="9"/>
        <v>0</v>
      </c>
      <c r="Q30" s="442">
        <f t="shared" ca="1" si="9"/>
        <v>0</v>
      </c>
      <c r="R30" s="418"/>
      <c r="S30" s="419"/>
      <c r="T30" s="419"/>
      <c r="U30" s="419"/>
      <c r="V30" s="419"/>
      <c r="W30" s="419"/>
      <c r="X30" s="419"/>
      <c r="Y30" s="419"/>
      <c r="Z30" s="419"/>
      <c r="AA30" s="419"/>
    </row>
    <row r="31" spans="1:27" x14ac:dyDescent="0.2">
      <c r="A31" s="418"/>
      <c r="B31" s="418"/>
      <c r="C31" s="418"/>
      <c r="D31" s="418"/>
      <c r="E31" s="418"/>
      <c r="F31" s="418"/>
      <c r="G31" s="428" t="s">
        <v>20</v>
      </c>
      <c r="H31" s="441">
        <f ca="1">H30</f>
        <v>0</v>
      </c>
      <c r="I31" s="441">
        <f ca="1">I30+H31</f>
        <v>0</v>
      </c>
      <c r="J31" s="441">
        <f t="shared" ref="J31:Q31" ca="1" si="10">J30+I31</f>
        <v>0</v>
      </c>
      <c r="K31" s="441">
        <f t="shared" ca="1" si="10"/>
        <v>0</v>
      </c>
      <c r="L31" s="441">
        <f t="shared" ca="1" si="10"/>
        <v>0</v>
      </c>
      <c r="M31" s="441">
        <f t="shared" ca="1" si="10"/>
        <v>0</v>
      </c>
      <c r="N31" s="441">
        <f t="shared" ca="1" si="10"/>
        <v>0</v>
      </c>
      <c r="O31" s="441">
        <f t="shared" ca="1" si="10"/>
        <v>0</v>
      </c>
      <c r="P31" s="441">
        <f t="shared" ca="1" si="10"/>
        <v>0</v>
      </c>
      <c r="Q31" s="442">
        <f t="shared" ca="1" si="10"/>
        <v>0</v>
      </c>
      <c r="R31" s="418"/>
      <c r="S31" s="419"/>
      <c r="T31" s="419"/>
      <c r="U31" s="419"/>
      <c r="V31" s="419"/>
      <c r="W31" s="419"/>
      <c r="X31" s="419"/>
      <c r="Y31" s="419"/>
      <c r="Z31" s="419"/>
      <c r="AA31" s="419"/>
    </row>
    <row r="32" spans="1:27" x14ac:dyDescent="0.2">
      <c r="A32" s="418"/>
      <c r="B32" s="418"/>
      <c r="C32" s="418"/>
      <c r="D32" s="418"/>
      <c r="E32" s="418"/>
      <c r="F32" s="418"/>
      <c r="G32" s="428" t="s">
        <v>21</v>
      </c>
      <c r="H32" s="441">
        <f t="shared" ref="H32:Q32" ca="1" si="11">H9+H16+H23</f>
        <v>0</v>
      </c>
      <c r="I32" s="441">
        <f t="shared" ca="1" si="11"/>
        <v>0</v>
      </c>
      <c r="J32" s="441">
        <f t="shared" ca="1" si="11"/>
        <v>0</v>
      </c>
      <c r="K32" s="441">
        <f t="shared" ca="1" si="11"/>
        <v>0</v>
      </c>
      <c r="L32" s="441">
        <f t="shared" ca="1" si="11"/>
        <v>0</v>
      </c>
      <c r="M32" s="441">
        <f t="shared" ca="1" si="11"/>
        <v>0</v>
      </c>
      <c r="N32" s="441">
        <f t="shared" ca="1" si="11"/>
        <v>0</v>
      </c>
      <c r="O32" s="441">
        <f t="shared" ca="1" si="11"/>
        <v>0</v>
      </c>
      <c r="P32" s="441">
        <f t="shared" ca="1" si="11"/>
        <v>0</v>
      </c>
      <c r="Q32" s="442">
        <f t="shared" ca="1" si="11"/>
        <v>0</v>
      </c>
      <c r="R32" s="418"/>
      <c r="S32" s="419"/>
      <c r="T32" s="419"/>
      <c r="U32" s="419"/>
      <c r="V32" s="419"/>
      <c r="W32" s="419"/>
      <c r="X32" s="419"/>
      <c r="Y32" s="419"/>
      <c r="Z32" s="419"/>
      <c r="AA32" s="419"/>
    </row>
    <row r="33" spans="1:27" x14ac:dyDescent="0.2">
      <c r="A33" s="418"/>
      <c r="B33" s="418"/>
      <c r="C33" s="418"/>
      <c r="D33" s="418"/>
      <c r="E33" s="418"/>
      <c r="F33" s="418"/>
      <c r="G33" s="428" t="s">
        <v>150</v>
      </c>
      <c r="H33" s="441">
        <f ca="1">H32</f>
        <v>0</v>
      </c>
      <c r="I33" s="441">
        <f ca="1">I32+H33</f>
        <v>0</v>
      </c>
      <c r="J33" s="441">
        <f t="shared" ref="J33:Q33" ca="1" si="12">J32+I33</f>
        <v>0</v>
      </c>
      <c r="K33" s="441">
        <f t="shared" ca="1" si="12"/>
        <v>0</v>
      </c>
      <c r="L33" s="441">
        <f t="shared" ca="1" si="12"/>
        <v>0</v>
      </c>
      <c r="M33" s="441">
        <f t="shared" ca="1" si="12"/>
        <v>0</v>
      </c>
      <c r="N33" s="441">
        <f t="shared" ca="1" si="12"/>
        <v>0</v>
      </c>
      <c r="O33" s="441">
        <f t="shared" ca="1" si="12"/>
        <v>0</v>
      </c>
      <c r="P33" s="441">
        <f t="shared" ca="1" si="12"/>
        <v>0</v>
      </c>
      <c r="Q33" s="442">
        <f t="shared" ca="1" si="12"/>
        <v>0</v>
      </c>
      <c r="R33" s="418"/>
      <c r="S33" s="419"/>
      <c r="T33" s="419"/>
      <c r="U33" s="419"/>
      <c r="V33" s="419"/>
      <c r="W33" s="419"/>
      <c r="X33" s="419"/>
      <c r="Y33" s="419"/>
      <c r="Z33" s="419"/>
      <c r="AA33" s="419"/>
    </row>
    <row r="34" spans="1:27" x14ac:dyDescent="0.2">
      <c r="A34" s="418"/>
      <c r="B34" s="418"/>
      <c r="C34" s="418"/>
      <c r="D34" s="418"/>
      <c r="E34" s="418"/>
      <c r="F34" s="418"/>
      <c r="G34" s="428" t="s">
        <v>51</v>
      </c>
      <c r="H34" s="441">
        <f t="shared" ref="H34:Q34" ca="1" si="13">H11+H18+H25</f>
        <v>0</v>
      </c>
      <c r="I34" s="441">
        <f t="shared" ca="1" si="13"/>
        <v>0</v>
      </c>
      <c r="J34" s="441">
        <f t="shared" ca="1" si="13"/>
        <v>0</v>
      </c>
      <c r="K34" s="441">
        <f t="shared" ca="1" si="13"/>
        <v>0</v>
      </c>
      <c r="L34" s="441">
        <f t="shared" ca="1" si="13"/>
        <v>0</v>
      </c>
      <c r="M34" s="441">
        <f t="shared" ca="1" si="13"/>
        <v>0</v>
      </c>
      <c r="N34" s="441">
        <f t="shared" ca="1" si="13"/>
        <v>0</v>
      </c>
      <c r="O34" s="441">
        <f t="shared" ca="1" si="13"/>
        <v>0</v>
      </c>
      <c r="P34" s="441">
        <f t="shared" ca="1" si="13"/>
        <v>0</v>
      </c>
      <c r="Q34" s="442">
        <f t="shared" ca="1" si="13"/>
        <v>0</v>
      </c>
      <c r="R34" s="418"/>
      <c r="S34" s="419"/>
      <c r="T34" s="419"/>
      <c r="U34" s="419"/>
      <c r="V34" s="419"/>
      <c r="W34" s="419"/>
      <c r="X34" s="419"/>
      <c r="Y34" s="419"/>
      <c r="Z34" s="419"/>
      <c r="AA34" s="419"/>
    </row>
    <row r="35" spans="1:27" ht="17" thickBot="1" x14ac:dyDescent="0.25">
      <c r="A35" s="418"/>
      <c r="B35" s="418"/>
      <c r="C35" s="418"/>
      <c r="D35" s="418"/>
      <c r="E35" s="418"/>
      <c r="F35" s="418"/>
      <c r="G35" s="443" t="s">
        <v>109</v>
      </c>
      <c r="H35" s="444">
        <f t="shared" ref="H35:P35" ca="1" si="14">H12+H19+H26</f>
        <v>0</v>
      </c>
      <c r="I35" s="444">
        <f t="shared" ca="1" si="14"/>
        <v>0</v>
      </c>
      <c r="J35" s="444">
        <f t="shared" ca="1" si="14"/>
        <v>0</v>
      </c>
      <c r="K35" s="444">
        <f t="shared" ca="1" si="14"/>
        <v>0</v>
      </c>
      <c r="L35" s="444">
        <f t="shared" ca="1" si="14"/>
        <v>0</v>
      </c>
      <c r="M35" s="444">
        <f t="shared" ca="1" si="14"/>
        <v>0</v>
      </c>
      <c r="N35" s="444">
        <f t="shared" ca="1" si="14"/>
        <v>0</v>
      </c>
      <c r="O35" s="444">
        <f t="shared" ca="1" si="14"/>
        <v>0</v>
      </c>
      <c r="P35" s="444">
        <f t="shared" ca="1" si="14"/>
        <v>0</v>
      </c>
      <c r="Q35" s="445">
        <f ca="1">Q12+Q19+Q26</f>
        <v>0</v>
      </c>
      <c r="R35" s="418"/>
      <c r="S35" s="419"/>
      <c r="T35" s="419"/>
      <c r="U35" s="419"/>
      <c r="V35" s="419"/>
      <c r="W35" s="419"/>
      <c r="X35" s="419"/>
      <c r="Y35" s="419"/>
      <c r="Z35" s="419"/>
      <c r="AA35" s="419"/>
    </row>
    <row r="36" spans="1:27" x14ac:dyDescent="0.2">
      <c r="A36" s="418"/>
      <c r="B36" s="418"/>
      <c r="C36" s="418"/>
      <c r="D36" s="418"/>
      <c r="E36" s="418"/>
      <c r="F36" s="418"/>
      <c r="G36" s="418"/>
      <c r="H36" s="418"/>
      <c r="I36" s="418"/>
      <c r="J36" s="418"/>
      <c r="K36" s="418"/>
      <c r="L36" s="418"/>
      <c r="M36" s="418"/>
      <c r="N36" s="418"/>
      <c r="O36" s="418"/>
      <c r="P36" s="418"/>
      <c r="Q36" s="418"/>
      <c r="R36" s="418"/>
      <c r="S36" s="419"/>
      <c r="T36" s="419"/>
      <c r="U36" s="419"/>
      <c r="V36" s="419"/>
      <c r="W36" s="419"/>
      <c r="X36" s="419"/>
      <c r="Y36" s="419"/>
      <c r="Z36" s="419"/>
      <c r="AA36" s="419"/>
    </row>
    <row r="37" spans="1:27" x14ac:dyDescent="0.2">
      <c r="A37" s="418"/>
      <c r="B37" s="52" t="str">
        <f ca="1">copyright</f>
        <v>Copyright © 2026 Michael Blank.</v>
      </c>
      <c r="C37" s="418"/>
      <c r="D37" s="418"/>
      <c r="E37" s="418"/>
      <c r="F37" s="418"/>
      <c r="H37" s="418"/>
      <c r="I37" s="418"/>
      <c r="J37" s="418"/>
      <c r="K37" s="418"/>
      <c r="L37" s="418"/>
      <c r="M37" s="418"/>
      <c r="N37" s="418"/>
      <c r="O37" s="418"/>
      <c r="P37" s="418"/>
      <c r="Q37" s="418"/>
      <c r="R37" s="418"/>
      <c r="S37" s="419"/>
      <c r="T37" s="419"/>
      <c r="U37" s="419"/>
      <c r="V37" s="419"/>
      <c r="W37" s="419"/>
      <c r="X37" s="419"/>
      <c r="Y37" s="419"/>
      <c r="Z37" s="419"/>
      <c r="AA37" s="419"/>
    </row>
    <row r="38" spans="1:27" x14ac:dyDescent="0.2">
      <c r="A38" s="418"/>
      <c r="B38" s="52" t="s">
        <v>124</v>
      </c>
      <c r="C38" s="418"/>
      <c r="D38" s="418"/>
      <c r="E38" s="418"/>
      <c r="F38" s="418"/>
      <c r="H38" s="418"/>
      <c r="I38" s="418"/>
      <c r="J38" s="418"/>
      <c r="K38" s="418"/>
      <c r="L38" s="418"/>
      <c r="M38" s="418"/>
      <c r="N38" s="418"/>
      <c r="O38" s="418"/>
      <c r="P38" s="418"/>
      <c r="Q38" s="418"/>
      <c r="R38" s="418"/>
    </row>
    <row r="49" spans="9:10" x14ac:dyDescent="0.2">
      <c r="I49" s="75"/>
      <c r="J49" s="76"/>
    </row>
    <row r="50" spans="9:10" x14ac:dyDescent="0.2">
      <c r="I50" s="77"/>
      <c r="J50" s="76"/>
    </row>
    <row r="51" spans="9:10" x14ac:dyDescent="0.2">
      <c r="I51" s="77"/>
      <c r="J51" s="57"/>
    </row>
    <row r="52" spans="9:10" x14ac:dyDescent="0.2">
      <c r="I52" s="77"/>
      <c r="J52" s="57"/>
    </row>
    <row r="53" spans="9:10" x14ac:dyDescent="0.2">
      <c r="I53" s="77"/>
      <c r="J53" s="57"/>
    </row>
    <row r="54" spans="9:10" x14ac:dyDescent="0.2">
      <c r="I54" s="77"/>
      <c r="J54" s="57"/>
    </row>
    <row r="55" spans="9:10" x14ac:dyDescent="0.2">
      <c r="I55" s="77"/>
      <c r="J55" s="57"/>
    </row>
    <row r="56" spans="9:10" x14ac:dyDescent="0.2">
      <c r="I56" s="77"/>
      <c r="J56" s="57"/>
    </row>
    <row r="57" spans="9:10" x14ac:dyDescent="0.2">
      <c r="I57" s="79"/>
      <c r="J57" s="57"/>
    </row>
    <row r="58" spans="9:10" x14ac:dyDescent="0.2">
      <c r="I58" s="82"/>
      <c r="J58" s="57"/>
    </row>
    <row r="59" spans="9:10" x14ac:dyDescent="0.2">
      <c r="I59" s="75"/>
      <c r="J59" s="57"/>
    </row>
    <row r="60" spans="9:10" x14ac:dyDescent="0.2">
      <c r="I60" s="75"/>
      <c r="J60" s="57"/>
    </row>
    <row r="61" spans="9:10" x14ac:dyDescent="0.2">
      <c r="I61" s="77"/>
      <c r="J61" s="57"/>
    </row>
  </sheetData>
  <customSheetViews>
    <customSheetView guid="{238A3432-2201-4481-B06C-00480E9813A7}" scale="110" showRuler="0">
      <selection activeCell="B16" sqref="B16"/>
      <pageMargins left="0.75" right="0.75" top="1" bottom="1" header="0.5" footer="0.5"/>
      <pageSetup orientation="landscape" horizontalDpi="0" verticalDpi="0" r:id="rId1"/>
      <headerFooter alignWithMargins="0"/>
    </customSheetView>
    <customSheetView guid="{A0B83632-25B5-FE44-8A66-2590D6BCDFDC}" scale="120" state="hidden">
      <pane xSplit="1" ySplit="3" topLeftCell="D4" activePane="bottomRight" state="frozen"/>
      <selection pane="bottomRight" activeCell="P17" sqref="P17"/>
      <pageMargins left="0.75" right="0.75" top="1" bottom="1" header="0.5" footer="0.5"/>
      <pageSetup orientation="landscape" horizontalDpi="1200" verticalDpi="1200" r:id="rId2"/>
      <headerFooter alignWithMargins="0"/>
    </customSheetView>
  </customSheetViews>
  <mergeCells count="1">
    <mergeCell ref="B1:E1"/>
  </mergeCells>
  <phoneticPr fontId="0" type="noConversion"/>
  <conditionalFormatting sqref="H4:Q4">
    <cfRule type="cellIs" dxfId="4" priority="2" stopIfTrue="1" operator="equal">
      <formula>"REFINANCE!"</formula>
    </cfRule>
    <cfRule type="cellIs" dxfId="3" priority="3" stopIfTrue="1" operator="equal">
      <formula>"SALE!"</formula>
    </cfRule>
  </conditionalFormatting>
  <dataValidations count="1">
    <dataValidation type="list" allowBlank="1" showInputMessage="1" showErrorMessage="1" sqref="C3" xr:uid="{00000000-0002-0000-0400-000000000000}">
      <formula1>"Yes, No"</formula1>
    </dataValidation>
  </dataValidations>
  <pageMargins left="0.75" right="0.75" top="1" bottom="1" header="0.5" footer="0.5"/>
  <pageSetup orientation="landscape" horizontalDpi="1200" verticalDpi="1200" r:id="rId3"/>
  <headerFooter alignWithMargins="0"/>
  <cellWatches>
    <cellWatch r="F10"/>
  </cellWatch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V382"/>
  <sheetViews>
    <sheetView showGridLines="0" zoomScaleNormal="100" workbookViewId="0">
      <selection sqref="A1:L1"/>
    </sheetView>
  </sheetViews>
  <sheetFormatPr baseColWidth="10" defaultColWidth="9" defaultRowHeight="16" x14ac:dyDescent="0.2"/>
  <cols>
    <col min="1" max="1" width="2.5703125" style="50" customWidth="1"/>
    <col min="2" max="2" width="9.7109375" style="50" customWidth="1"/>
    <col min="3" max="3" width="14.28515625" style="468" customWidth="1"/>
    <col min="4" max="12" width="14.28515625" style="50" customWidth="1"/>
    <col min="13" max="13" width="9.7109375" style="50" customWidth="1"/>
    <col min="14" max="14" width="3.28515625" style="50" customWidth="1"/>
    <col min="15" max="15" width="10.5703125" style="50" customWidth="1"/>
    <col min="16" max="16" width="3.28515625" style="50" customWidth="1"/>
    <col min="17" max="17" width="11.42578125" style="50" customWidth="1"/>
    <col min="18" max="18" width="3.28515625" style="50" customWidth="1"/>
    <col min="19" max="19" width="13" style="50" customWidth="1"/>
    <col min="20" max="20" width="2.5703125" style="50" customWidth="1"/>
    <col min="21" max="21" width="11.42578125" style="50" customWidth="1"/>
    <col min="22" max="22" width="2.5703125" style="50" customWidth="1"/>
    <col min="23" max="23" width="11" style="50" customWidth="1"/>
    <col min="24" max="24" width="3.28515625" style="50" customWidth="1"/>
    <col min="25" max="25" width="8.85546875" style="50" customWidth="1"/>
    <col min="26" max="26" width="2.140625" style="50" customWidth="1"/>
    <col min="27" max="27" width="9" style="50" customWidth="1"/>
    <col min="28" max="28" width="2.140625" style="50" customWidth="1"/>
    <col min="29" max="29" width="10" style="50" bestFit="1" customWidth="1"/>
    <col min="30" max="16384" width="9" style="50"/>
  </cols>
  <sheetData>
    <row r="1" spans="1:22" ht="20" x14ac:dyDescent="0.2">
      <c r="A1" s="1223" t="s">
        <v>2</v>
      </c>
      <c r="B1" s="1223"/>
      <c r="C1" s="1223"/>
      <c r="D1" s="1223"/>
      <c r="E1" s="1223"/>
      <c r="F1" s="1223"/>
      <c r="G1" s="1223"/>
      <c r="H1" s="1223"/>
      <c r="I1" s="1223"/>
      <c r="J1" s="1223"/>
      <c r="K1" s="1223"/>
      <c r="L1" s="1223"/>
      <c r="M1" s="113"/>
      <c r="N1" s="113"/>
      <c r="O1" s="113"/>
      <c r="P1" s="113"/>
      <c r="Q1" s="113"/>
      <c r="R1" s="113"/>
      <c r="S1" s="113"/>
      <c r="T1" s="113"/>
      <c r="U1" s="113"/>
      <c r="V1" s="113"/>
    </row>
    <row r="2" spans="1:22" ht="17" thickBot="1" x14ac:dyDescent="0.25">
      <c r="A2" s="113"/>
      <c r="B2" s="113"/>
      <c r="C2" s="465"/>
      <c r="D2" s="113"/>
      <c r="E2" s="113"/>
      <c r="F2" s="113"/>
      <c r="G2" s="113"/>
      <c r="H2" s="113"/>
      <c r="I2" s="10"/>
      <c r="J2" s="113"/>
      <c r="K2" s="113"/>
      <c r="L2" s="113"/>
      <c r="M2" s="113"/>
      <c r="N2" s="113"/>
      <c r="O2" s="113"/>
      <c r="P2" s="113"/>
      <c r="Q2" s="113"/>
      <c r="R2" s="113"/>
      <c r="S2" s="113"/>
      <c r="T2" s="113"/>
      <c r="U2" s="113"/>
      <c r="V2" s="113"/>
    </row>
    <row r="3" spans="1:22" x14ac:dyDescent="0.2">
      <c r="A3" s="113"/>
      <c r="B3" s="577" t="s">
        <v>114</v>
      </c>
      <c r="C3" s="578"/>
      <c r="D3" s="570">
        <f>Summary!D10</f>
        <v>0</v>
      </c>
      <c r="E3" s="617" t="s">
        <v>518</v>
      </c>
      <c r="H3" s="614" t="s">
        <v>516</v>
      </c>
      <c r="I3" s="10"/>
      <c r="J3" s="113"/>
      <c r="K3" s="113"/>
      <c r="L3" s="113"/>
      <c r="M3" s="113"/>
      <c r="N3" s="113"/>
      <c r="O3" s="113"/>
      <c r="P3" s="113"/>
      <c r="Q3" s="113"/>
      <c r="R3" s="113"/>
      <c r="S3" s="113"/>
      <c r="T3" s="113"/>
      <c r="U3" s="113"/>
      <c r="V3" s="113"/>
    </row>
    <row r="4" spans="1:22" x14ac:dyDescent="0.2">
      <c r="A4" s="113"/>
      <c r="B4" s="579" t="s">
        <v>13</v>
      </c>
      <c r="D4" s="571">
        <f>Summary!D11</f>
        <v>0.05</v>
      </c>
      <c r="E4" s="616" t="s">
        <v>519</v>
      </c>
      <c r="F4" s="113"/>
      <c r="H4" s="612" t="s">
        <v>513</v>
      </c>
      <c r="I4" s="10"/>
      <c r="J4" s="113"/>
      <c r="K4" s="113"/>
      <c r="L4" s="113"/>
      <c r="M4" s="113"/>
      <c r="N4" s="113"/>
      <c r="O4" s="113"/>
      <c r="P4" s="113"/>
      <c r="Q4" s="113"/>
      <c r="R4" s="113"/>
      <c r="S4" s="113"/>
      <c r="T4" s="113"/>
      <c r="U4" s="113"/>
      <c r="V4" s="113"/>
    </row>
    <row r="5" spans="1:22" ht="17" thickBot="1" x14ac:dyDescent="0.25">
      <c r="A5" s="113"/>
      <c r="B5" s="579" t="s">
        <v>4</v>
      </c>
      <c r="D5" s="572">
        <f>Summary!D12</f>
        <v>30</v>
      </c>
      <c r="E5" s="113"/>
      <c r="H5" s="612" t="s">
        <v>515</v>
      </c>
      <c r="I5" s="10"/>
      <c r="J5" s="113"/>
      <c r="K5" s="113"/>
      <c r="L5" s="113"/>
      <c r="M5" s="113"/>
      <c r="N5" s="113"/>
      <c r="O5" s="113"/>
      <c r="P5" s="113"/>
      <c r="Q5" s="113"/>
      <c r="R5" s="113"/>
      <c r="S5" s="113"/>
      <c r="T5" s="113"/>
      <c r="U5" s="113"/>
      <c r="V5" s="113"/>
    </row>
    <row r="6" spans="1:22" ht="17" thickBot="1" x14ac:dyDescent="0.25">
      <c r="A6" s="113"/>
      <c r="B6" s="580" t="s">
        <v>185</v>
      </c>
      <c r="D6" s="573">
        <f>Summary!D13</f>
        <v>0</v>
      </c>
      <c r="E6" s="618"/>
      <c r="F6" s="619" t="s">
        <v>516</v>
      </c>
      <c r="H6" s="113"/>
      <c r="I6" s="10"/>
      <c r="J6" s="113"/>
      <c r="K6" s="113"/>
      <c r="L6" s="113"/>
      <c r="M6" s="113"/>
      <c r="N6" s="113"/>
      <c r="O6" s="113"/>
      <c r="P6" s="113"/>
      <c r="Q6" s="113"/>
      <c r="R6" s="113"/>
      <c r="S6" s="113"/>
      <c r="T6" s="113"/>
      <c r="U6" s="113"/>
      <c r="V6" s="113"/>
    </row>
    <row r="7" spans="1:22" x14ac:dyDescent="0.2">
      <c r="A7" s="113"/>
      <c r="B7" s="579" t="s">
        <v>3</v>
      </c>
      <c r="D7" s="574">
        <f>IF($F$6="Option 1",PMT(D4/12,(D5*12),-D3),PMT(D4/12,(D5*12)-D6,-D3))</f>
        <v>0</v>
      </c>
      <c r="E7" s="113"/>
      <c r="F7" s="113"/>
      <c r="H7" s="615" t="s">
        <v>517</v>
      </c>
      <c r="I7" s="10"/>
      <c r="J7" s="113"/>
      <c r="K7" s="113"/>
      <c r="L7" s="113"/>
      <c r="M7" s="113"/>
      <c r="N7" s="113"/>
      <c r="O7" s="113"/>
      <c r="P7" s="113"/>
      <c r="Q7" s="113"/>
      <c r="R7" s="113"/>
      <c r="S7" s="113"/>
      <c r="T7" s="113"/>
      <c r="U7" s="113"/>
      <c r="V7" s="113"/>
    </row>
    <row r="8" spans="1:22" x14ac:dyDescent="0.2">
      <c r="A8" s="113"/>
      <c r="B8" s="579" t="s">
        <v>17</v>
      </c>
      <c r="D8" s="575">
        <f>SUM(D17:D378)</f>
        <v>0</v>
      </c>
      <c r="E8" s="113"/>
      <c r="F8" s="113"/>
      <c r="H8" s="612" t="s">
        <v>520</v>
      </c>
      <c r="I8" s="10"/>
      <c r="J8" s="113"/>
      <c r="K8" s="113"/>
      <c r="L8" s="113"/>
      <c r="M8" s="113"/>
      <c r="N8" s="113"/>
      <c r="O8" s="113"/>
      <c r="P8" s="113"/>
      <c r="Q8" s="113"/>
      <c r="R8" s="113"/>
      <c r="S8" s="113"/>
      <c r="T8" s="113"/>
      <c r="U8" s="113"/>
      <c r="V8" s="113"/>
    </row>
    <row r="9" spans="1:22" ht="17" thickBot="1" x14ac:dyDescent="0.25">
      <c r="A9" s="113"/>
      <c r="B9" s="581" t="s">
        <v>14</v>
      </c>
      <c r="C9" s="582"/>
      <c r="D9" s="576">
        <f>SUM(C18:C29)</f>
        <v>0</v>
      </c>
      <c r="E9" s="113"/>
      <c r="F9" s="113"/>
      <c r="H9" s="613" t="s">
        <v>514</v>
      </c>
      <c r="I9" s="10"/>
      <c r="J9" s="113"/>
      <c r="K9" s="113"/>
      <c r="L9" s="113"/>
      <c r="M9" s="113"/>
      <c r="N9" s="113"/>
      <c r="O9" s="113"/>
      <c r="P9" s="113"/>
      <c r="Q9" s="113"/>
      <c r="R9" s="113"/>
      <c r="S9" s="113"/>
      <c r="T9" s="113"/>
      <c r="U9" s="113"/>
      <c r="V9" s="113"/>
    </row>
    <row r="10" spans="1:22" ht="17" thickBot="1" x14ac:dyDescent="0.25">
      <c r="A10" s="113"/>
      <c r="B10" s="450"/>
      <c r="C10" s="466"/>
      <c r="D10" s="113"/>
      <c r="E10" s="113"/>
      <c r="F10" s="113"/>
      <c r="H10" s="113"/>
      <c r="I10" s="10"/>
      <c r="J10" s="113"/>
      <c r="K10" s="113"/>
      <c r="L10" s="113"/>
      <c r="M10" s="113"/>
      <c r="N10" s="113"/>
      <c r="O10" s="113"/>
      <c r="P10" s="113"/>
      <c r="Q10" s="113"/>
      <c r="R10" s="113"/>
      <c r="S10" s="113"/>
      <c r="T10" s="113"/>
      <c r="U10" s="113"/>
      <c r="V10" s="113"/>
    </row>
    <row r="11" spans="1:22" x14ac:dyDescent="0.2">
      <c r="A11" s="10"/>
      <c r="B11" s="560" t="s">
        <v>0</v>
      </c>
      <c r="C11" s="561">
        <v>1</v>
      </c>
      <c r="D11" s="561">
        <f t="shared" ref="D11:L11" si="0">C11+1</f>
        <v>2</v>
      </c>
      <c r="E11" s="561">
        <f t="shared" si="0"/>
        <v>3</v>
      </c>
      <c r="F11" s="561">
        <f t="shared" si="0"/>
        <v>4</v>
      </c>
      <c r="G11" s="561">
        <f t="shared" si="0"/>
        <v>5</v>
      </c>
      <c r="H11" s="561">
        <f t="shared" si="0"/>
        <v>6</v>
      </c>
      <c r="I11" s="561">
        <f t="shared" si="0"/>
        <v>7</v>
      </c>
      <c r="J11" s="561">
        <f t="shared" si="0"/>
        <v>8</v>
      </c>
      <c r="K11" s="561">
        <f t="shared" si="0"/>
        <v>9</v>
      </c>
      <c r="L11" s="562">
        <f t="shared" si="0"/>
        <v>10</v>
      </c>
      <c r="M11" s="10"/>
      <c r="N11" s="451"/>
      <c r="O11" s="10"/>
      <c r="P11" s="451"/>
      <c r="Q11" s="10"/>
      <c r="R11" s="451"/>
      <c r="S11" s="452"/>
      <c r="T11" s="10"/>
      <c r="U11" s="10"/>
      <c r="V11" s="10"/>
    </row>
    <row r="12" spans="1:22" ht="17" x14ac:dyDescent="0.2">
      <c r="A12" s="10"/>
      <c r="B12" s="300" t="s">
        <v>8</v>
      </c>
      <c r="C12" s="94">
        <f ca="1">OFFSET($G$17,12*C11,0)</f>
        <v>0</v>
      </c>
      <c r="D12" s="94">
        <f ca="1">IF(D11&lt;=Summary!$D$12,OFFSET($G$17,12*D11,0)-SUM(A12:C12),0)</f>
        <v>0</v>
      </c>
      <c r="E12" s="94">
        <f ca="1">IF(E11&lt;=Summary!$D$12,OFFSET($G$17,12*E11,0)-SUM(B12:D12),0)</f>
        <v>0</v>
      </c>
      <c r="F12" s="94">
        <f ca="1">IF(F11&lt;=Summary!$D$12,OFFSET($G$17,12*F11,0)-SUM(C12:E12),0)</f>
        <v>0</v>
      </c>
      <c r="G12" s="94">
        <f ca="1">IF(G11&lt;=Summary!$D$12,OFFSET($G$17,12*G11,0)-SUM(A12:F12),0)</f>
        <v>0</v>
      </c>
      <c r="H12" s="94">
        <f ca="1">IF(H11&lt;=Summary!$D$12,OFFSET($G$17,12*H11,0)-SUM(B12:G12),0)</f>
        <v>0</v>
      </c>
      <c r="I12" s="94">
        <f ca="1">IF(I11&lt;=Summary!$D$12,OFFSET($G$17,12*I11,0)-SUM(C12:H12),0)</f>
        <v>0</v>
      </c>
      <c r="J12" s="94">
        <f ca="1">IF(J11&lt;=Summary!$D$12,OFFSET($G$17,12*J11,0)-SUM(A12:I12),0)</f>
        <v>0</v>
      </c>
      <c r="K12" s="94">
        <f ca="1">IF(K11&lt;=Summary!$D$12,OFFSET($G$17,12*K11,0)-SUM(B12:J12),0)</f>
        <v>0</v>
      </c>
      <c r="L12" s="555">
        <f ca="1">IF(L11&lt;=Summary!$D$12,OFFSET($G$17,12*L11,0)-SUM(C12:K12),0)</f>
        <v>0</v>
      </c>
      <c r="M12" s="10"/>
      <c r="N12" s="10"/>
      <c r="O12" s="10"/>
      <c r="P12" s="10"/>
      <c r="Q12" s="10"/>
      <c r="R12" s="10"/>
      <c r="S12" s="453"/>
      <c r="T12" s="10"/>
      <c r="U12" s="10"/>
      <c r="V12" s="10"/>
    </row>
    <row r="13" spans="1:22" ht="17" x14ac:dyDescent="0.2">
      <c r="A13" s="10"/>
      <c r="B13" s="300" t="s">
        <v>19</v>
      </c>
      <c r="C13" s="94">
        <f ca="1">OFFSET($E$17,12*C11,0)</f>
        <v>0</v>
      </c>
      <c r="D13" s="94">
        <f ca="1">IF(D11&lt;=Summary!$D$12,OFFSET($E$17,12*D11,0)-SUM(A13:C13),0)</f>
        <v>0</v>
      </c>
      <c r="E13" s="94">
        <f ca="1">IF(E11&lt;=Summary!$D$12,OFFSET($E$17,12*E11,0)-SUM(B13:D13),0)</f>
        <v>0</v>
      </c>
      <c r="F13" s="94">
        <f ca="1">IF(F11&lt;=Summary!$D$12,OFFSET($E$17,12*F11,0)-SUM(C13:E13),0)</f>
        <v>0</v>
      </c>
      <c r="G13" s="94">
        <f ca="1">IF(G11&lt;=Summary!$D$12,OFFSET($E$17,12*G11,0)-SUM(A13:F13),0)</f>
        <v>0</v>
      </c>
      <c r="H13" s="94">
        <f ca="1">IF(H11&lt;=Summary!$D$12,OFFSET($E$17,12*H11,0)-SUM(B13:G13),0)</f>
        <v>0</v>
      </c>
      <c r="I13" s="94">
        <f ca="1">IF(I11&lt;=Summary!$D$12,OFFSET($E$17,12*I11,0)-SUM(C13:H13),0)</f>
        <v>0</v>
      </c>
      <c r="J13" s="94">
        <f ca="1">IF(J11&lt;=Summary!$D$12,OFFSET($E$17,12*J11,0)-SUM(A13:I13),0)</f>
        <v>0</v>
      </c>
      <c r="K13" s="94">
        <f ca="1">IF(K11&lt;=Summary!$D$12,OFFSET($E$17,12*K11,0)-SUM(B13:J13),0)</f>
        <v>0</v>
      </c>
      <c r="L13" s="555">
        <f ca="1">IF(L11&lt;=Summary!$D$12,OFFSET($E$17,12*L11,0)-SUM(C13:K13),0)</f>
        <v>0</v>
      </c>
      <c r="M13" s="10"/>
      <c r="N13" s="10"/>
      <c r="O13" s="10"/>
      <c r="P13" s="10"/>
      <c r="Q13" s="10"/>
      <c r="R13" s="10"/>
      <c r="S13" s="453"/>
      <c r="T13" s="10"/>
      <c r="U13" s="10"/>
      <c r="V13" s="10"/>
    </row>
    <row r="14" spans="1:22" ht="18" thickBot="1" x14ac:dyDescent="0.25">
      <c r="A14" s="10"/>
      <c r="B14" s="556" t="s">
        <v>22</v>
      </c>
      <c r="C14" s="557">
        <f ca="1">OFFSET($H$17,C11*12,0)</f>
        <v>0</v>
      </c>
      <c r="D14" s="558">
        <f ca="1">IF(D11&lt;=Summary!$D$12,OFFSET($H$17,D11*12,0),0)</f>
        <v>0</v>
      </c>
      <c r="E14" s="558">
        <f ca="1">IF(E11&lt;=Summary!$D$12,OFFSET($H$17,E11*12,0),0)</f>
        <v>0</v>
      </c>
      <c r="F14" s="558">
        <f ca="1">IF(F11&lt;=Summary!$D$12,OFFSET($H$17,F11*12,0),0)</f>
        <v>0</v>
      </c>
      <c r="G14" s="558">
        <f ca="1">IF(G11&lt;=Summary!$D$12,OFFSET($H$17,G11*12,0),0)</f>
        <v>0</v>
      </c>
      <c r="H14" s="558">
        <f ca="1">IF(H11&lt;=Summary!$D$12,OFFSET($H$17,H11*12,0),0)</f>
        <v>0</v>
      </c>
      <c r="I14" s="558">
        <f ca="1">IF(I11&lt;=Summary!$D$12,OFFSET($H$17,I11*12,0),0)</f>
        <v>0</v>
      </c>
      <c r="J14" s="558">
        <f ca="1">IF(J11&lt;=Summary!$D$12,OFFSET($H$17,J11*12,0),0)</f>
        <v>0</v>
      </c>
      <c r="K14" s="558">
        <f ca="1">IF(K11&lt;=Summary!$D$12,OFFSET($H$17,K11*12,0),0)</f>
        <v>0</v>
      </c>
      <c r="L14" s="559">
        <f ca="1">IF(L11&lt;=Summary!$D$12,OFFSET($H$17,L11*12,0),0)</f>
        <v>0</v>
      </c>
      <c r="M14" s="10"/>
      <c r="N14" s="454"/>
      <c r="O14" s="10"/>
      <c r="P14" s="454"/>
      <c r="Q14" s="10"/>
      <c r="R14" s="454"/>
      <c r="S14" s="454"/>
      <c r="T14" s="454"/>
      <c r="U14" s="10"/>
      <c r="V14" s="10"/>
    </row>
    <row r="15" spans="1:22" x14ac:dyDescent="0.2">
      <c r="A15" s="113"/>
      <c r="B15" s="113"/>
      <c r="C15" s="465"/>
      <c r="D15" s="113"/>
      <c r="E15" s="113"/>
      <c r="F15" s="113"/>
      <c r="G15" s="113"/>
      <c r="H15" s="113"/>
      <c r="I15" s="159"/>
      <c r="J15" s="113"/>
      <c r="K15" s="113"/>
      <c r="L15" s="113"/>
      <c r="M15" s="113"/>
      <c r="N15" s="113"/>
      <c r="O15" s="113"/>
      <c r="P15" s="113"/>
      <c r="Q15" s="113"/>
      <c r="R15" s="113"/>
      <c r="S15" s="113"/>
      <c r="T15" s="113"/>
      <c r="U15" s="113"/>
      <c r="V15" s="113"/>
    </row>
    <row r="16" spans="1:22" s="455" customFormat="1" ht="34" x14ac:dyDescent="0.2">
      <c r="A16" s="47"/>
      <c r="B16" s="567" t="s">
        <v>1</v>
      </c>
      <c r="C16" s="568" t="s">
        <v>18</v>
      </c>
      <c r="D16" s="569" t="s">
        <v>19</v>
      </c>
      <c r="E16" s="568" t="s">
        <v>20</v>
      </c>
      <c r="F16" s="568" t="s">
        <v>8</v>
      </c>
      <c r="G16" s="568" t="s">
        <v>21</v>
      </c>
      <c r="H16" s="568" t="s">
        <v>22</v>
      </c>
      <c r="I16" s="47"/>
      <c r="J16" s="47"/>
      <c r="K16" s="47"/>
      <c r="L16" s="47"/>
      <c r="M16" s="47"/>
      <c r="N16" s="47"/>
      <c r="O16" s="47"/>
      <c r="P16" s="47"/>
      <c r="Q16" s="47"/>
      <c r="R16" s="47"/>
      <c r="S16" s="47"/>
      <c r="T16" s="47"/>
      <c r="U16" s="47"/>
      <c r="V16" s="47"/>
    </row>
    <row r="17" spans="1:22" x14ac:dyDescent="0.2">
      <c r="A17" s="113"/>
      <c r="B17" s="563"/>
      <c r="C17" s="564"/>
      <c r="D17" s="565"/>
      <c r="E17" s="565"/>
      <c r="F17" s="565"/>
      <c r="G17" s="565"/>
      <c r="H17" s="566">
        <f>D3</f>
        <v>0</v>
      </c>
      <c r="I17" s="456"/>
      <c r="J17" s="113"/>
      <c r="K17" s="113"/>
      <c r="M17" s="113"/>
      <c r="N17" s="113"/>
      <c r="O17" s="113"/>
      <c r="P17" s="113"/>
      <c r="Q17" s="113"/>
      <c r="R17" s="113"/>
      <c r="S17" s="113"/>
      <c r="T17" s="113"/>
      <c r="U17" s="113"/>
      <c r="V17" s="113"/>
    </row>
    <row r="18" spans="1:22" x14ac:dyDescent="0.2">
      <c r="A18" s="113"/>
      <c r="B18" s="457">
        <f t="shared" ref="B18:B29" si="1">IF(B17&gt;=$D$5*12+$D$6,"",B17+1)</f>
        <v>1</v>
      </c>
      <c r="C18" s="458">
        <f t="shared" ref="C18:C81" si="2">IF(B18="","-",IF(B18&lt;=$D$6,D18,  $D$7))</f>
        <v>0</v>
      </c>
      <c r="D18" s="458">
        <f>IF(B18="","-",$D$4/12*H17)</f>
        <v>0</v>
      </c>
      <c r="E18" s="458">
        <f>IF(B18="","-",SUM($D$18:D18))</f>
        <v>0</v>
      </c>
      <c r="F18" s="458">
        <f t="shared" ref="F18:F81" si="3">IF(B18="","-",C18-D18)</f>
        <v>0</v>
      </c>
      <c r="G18" s="458">
        <f>IF(B18="","-",SUM($F$18:F18))</f>
        <v>0</v>
      </c>
      <c r="H18" s="458">
        <f t="shared" ref="H18:H81" si="4">IF(B18="","-",H17-F18)</f>
        <v>0</v>
      </c>
      <c r="I18" s="159"/>
      <c r="J18" s="113"/>
      <c r="K18" s="113"/>
      <c r="M18" s="113"/>
      <c r="N18" s="113"/>
      <c r="O18" s="113"/>
      <c r="P18" s="113"/>
      <c r="Q18" s="113"/>
      <c r="R18" s="113"/>
      <c r="S18" s="113"/>
      <c r="T18" s="113"/>
      <c r="U18" s="113"/>
      <c r="V18" s="113"/>
    </row>
    <row r="19" spans="1:22" x14ac:dyDescent="0.2">
      <c r="A19" s="113"/>
      <c r="B19" s="457">
        <f t="shared" si="1"/>
        <v>2</v>
      </c>
      <c r="C19" s="458">
        <f t="shared" si="2"/>
        <v>0</v>
      </c>
      <c r="D19" s="458">
        <f t="shared" ref="D19:D82" si="5">IF(B19="","-",$D$4/12*H18)</f>
        <v>0</v>
      </c>
      <c r="E19" s="458">
        <f>IF(B19="","-",SUM($D$18:D19))</f>
        <v>0</v>
      </c>
      <c r="F19" s="458">
        <f t="shared" si="3"/>
        <v>0</v>
      </c>
      <c r="G19" s="458">
        <f>IF(B19="","-",SUM($F$18:F19))</f>
        <v>0</v>
      </c>
      <c r="H19" s="458">
        <f t="shared" si="4"/>
        <v>0</v>
      </c>
      <c r="I19" s="159"/>
      <c r="J19" s="113"/>
      <c r="K19" s="113"/>
      <c r="M19" s="113"/>
      <c r="N19" s="113"/>
      <c r="O19" s="113"/>
      <c r="P19" s="113"/>
      <c r="Q19" s="113"/>
      <c r="R19" s="113"/>
      <c r="S19" s="113"/>
      <c r="T19" s="113"/>
      <c r="U19" s="113"/>
      <c r="V19" s="113"/>
    </row>
    <row r="20" spans="1:22" x14ac:dyDescent="0.2">
      <c r="A20" s="113"/>
      <c r="B20" s="457">
        <f t="shared" si="1"/>
        <v>3</v>
      </c>
      <c r="C20" s="458">
        <f t="shared" si="2"/>
        <v>0</v>
      </c>
      <c r="D20" s="458">
        <f t="shared" si="5"/>
        <v>0</v>
      </c>
      <c r="E20" s="458">
        <f>IF(B20="","-",SUM($D$18:D20))</f>
        <v>0</v>
      </c>
      <c r="F20" s="458">
        <f t="shared" si="3"/>
        <v>0</v>
      </c>
      <c r="G20" s="458">
        <f>IF(B20="","-",SUM($F$18:F20))</f>
        <v>0</v>
      </c>
      <c r="H20" s="458">
        <f t="shared" si="4"/>
        <v>0</v>
      </c>
      <c r="I20" s="159"/>
      <c r="J20" s="113"/>
      <c r="K20" s="113"/>
      <c r="M20" s="113"/>
      <c r="N20" s="113"/>
      <c r="O20" s="113"/>
      <c r="P20" s="113"/>
      <c r="Q20" s="113"/>
      <c r="R20" s="113"/>
      <c r="S20" s="113"/>
      <c r="T20" s="113"/>
      <c r="U20" s="113"/>
      <c r="V20" s="113"/>
    </row>
    <row r="21" spans="1:22" x14ac:dyDescent="0.2">
      <c r="A21" s="113"/>
      <c r="B21" s="457">
        <f t="shared" si="1"/>
        <v>4</v>
      </c>
      <c r="C21" s="458">
        <f t="shared" si="2"/>
        <v>0</v>
      </c>
      <c r="D21" s="458">
        <f t="shared" si="5"/>
        <v>0</v>
      </c>
      <c r="E21" s="458">
        <f>IF(B21="","-",SUM($D$18:D21))</f>
        <v>0</v>
      </c>
      <c r="F21" s="458">
        <f t="shared" si="3"/>
        <v>0</v>
      </c>
      <c r="G21" s="458">
        <f>IF(B21="","-",SUM($F$18:F21))</f>
        <v>0</v>
      </c>
      <c r="H21" s="458">
        <f t="shared" si="4"/>
        <v>0</v>
      </c>
      <c r="I21" s="159"/>
      <c r="J21" s="113"/>
      <c r="K21" s="113"/>
      <c r="M21" s="113"/>
      <c r="N21" s="113"/>
      <c r="O21" s="113"/>
      <c r="P21" s="113"/>
      <c r="Q21" s="113"/>
      <c r="R21" s="113"/>
      <c r="S21" s="113"/>
      <c r="T21" s="113"/>
      <c r="U21" s="113"/>
      <c r="V21" s="113"/>
    </row>
    <row r="22" spans="1:22" x14ac:dyDescent="0.2">
      <c r="A22" s="113"/>
      <c r="B22" s="457">
        <f t="shared" si="1"/>
        <v>5</v>
      </c>
      <c r="C22" s="458">
        <f t="shared" si="2"/>
        <v>0</v>
      </c>
      <c r="D22" s="458">
        <f t="shared" si="5"/>
        <v>0</v>
      </c>
      <c r="E22" s="458">
        <f>IF(B22="","-",SUM($D$18:D22))</f>
        <v>0</v>
      </c>
      <c r="F22" s="458">
        <f t="shared" si="3"/>
        <v>0</v>
      </c>
      <c r="G22" s="458">
        <f>IF(B22="","-",SUM($F$18:F22))</f>
        <v>0</v>
      </c>
      <c r="H22" s="458">
        <f t="shared" si="4"/>
        <v>0</v>
      </c>
      <c r="I22" s="159"/>
      <c r="J22" s="113"/>
      <c r="K22" s="113"/>
      <c r="M22" s="113"/>
      <c r="N22" s="113"/>
      <c r="O22" s="113"/>
      <c r="P22" s="113"/>
      <c r="Q22" s="113"/>
      <c r="R22" s="113"/>
      <c r="S22" s="113"/>
      <c r="T22" s="113"/>
      <c r="U22" s="113"/>
      <c r="V22" s="113"/>
    </row>
    <row r="23" spans="1:22" x14ac:dyDescent="0.2">
      <c r="A23" s="113"/>
      <c r="B23" s="457">
        <f t="shared" si="1"/>
        <v>6</v>
      </c>
      <c r="C23" s="458">
        <f t="shared" si="2"/>
        <v>0</v>
      </c>
      <c r="D23" s="458">
        <f t="shared" si="5"/>
        <v>0</v>
      </c>
      <c r="E23" s="458">
        <f>IF(B23="","-",SUM($D$18:D23))</f>
        <v>0</v>
      </c>
      <c r="F23" s="458">
        <f t="shared" si="3"/>
        <v>0</v>
      </c>
      <c r="G23" s="458">
        <f>IF(B23="","-",SUM($F$18:F23))</f>
        <v>0</v>
      </c>
      <c r="H23" s="458">
        <f t="shared" si="4"/>
        <v>0</v>
      </c>
      <c r="I23" s="159"/>
      <c r="J23" s="113"/>
      <c r="K23" s="113"/>
      <c r="M23" s="113"/>
      <c r="N23" s="113"/>
      <c r="O23" s="113"/>
      <c r="P23" s="113"/>
      <c r="Q23" s="113"/>
      <c r="R23" s="113"/>
      <c r="S23" s="113"/>
      <c r="T23" s="113"/>
      <c r="U23" s="113"/>
      <c r="V23" s="113"/>
    </row>
    <row r="24" spans="1:22" x14ac:dyDescent="0.2">
      <c r="A24" s="113"/>
      <c r="B24" s="457">
        <f t="shared" si="1"/>
        <v>7</v>
      </c>
      <c r="C24" s="458">
        <f t="shared" si="2"/>
        <v>0</v>
      </c>
      <c r="D24" s="458">
        <f t="shared" si="5"/>
        <v>0</v>
      </c>
      <c r="E24" s="458">
        <f>IF(B24="","-",SUM($D$18:D24))</f>
        <v>0</v>
      </c>
      <c r="F24" s="458">
        <f t="shared" si="3"/>
        <v>0</v>
      </c>
      <c r="G24" s="458">
        <f>IF(B24="","-",SUM($F$18:F24))</f>
        <v>0</v>
      </c>
      <c r="H24" s="458">
        <f t="shared" si="4"/>
        <v>0</v>
      </c>
      <c r="I24" s="159"/>
      <c r="J24" s="113"/>
      <c r="K24" s="113"/>
      <c r="M24" s="113"/>
      <c r="N24" s="113"/>
      <c r="O24" s="113"/>
      <c r="P24" s="113"/>
      <c r="Q24" s="113"/>
      <c r="R24" s="113"/>
      <c r="S24" s="113"/>
      <c r="T24" s="113"/>
      <c r="U24" s="113"/>
      <c r="V24" s="113"/>
    </row>
    <row r="25" spans="1:22" x14ac:dyDescent="0.2">
      <c r="A25" s="113"/>
      <c r="B25" s="457">
        <f t="shared" si="1"/>
        <v>8</v>
      </c>
      <c r="C25" s="458">
        <f t="shared" si="2"/>
        <v>0</v>
      </c>
      <c r="D25" s="458">
        <f t="shared" si="5"/>
        <v>0</v>
      </c>
      <c r="E25" s="458">
        <f>IF(B25="","-",SUM($D$18:D25))</f>
        <v>0</v>
      </c>
      <c r="F25" s="458">
        <f t="shared" si="3"/>
        <v>0</v>
      </c>
      <c r="G25" s="458">
        <f>IF(B25="","-",SUM($F$18:F25))</f>
        <v>0</v>
      </c>
      <c r="H25" s="458">
        <f t="shared" si="4"/>
        <v>0</v>
      </c>
      <c r="I25" s="159"/>
      <c r="J25" s="113"/>
      <c r="K25" s="113"/>
      <c r="M25" s="113"/>
      <c r="N25" s="113"/>
      <c r="O25" s="113"/>
      <c r="P25" s="113"/>
      <c r="Q25" s="113"/>
      <c r="R25" s="113"/>
      <c r="S25" s="113"/>
      <c r="T25" s="113"/>
      <c r="U25" s="113"/>
      <c r="V25" s="113"/>
    </row>
    <row r="26" spans="1:22" x14ac:dyDescent="0.2">
      <c r="A26" s="113"/>
      <c r="B26" s="457">
        <f t="shared" si="1"/>
        <v>9</v>
      </c>
      <c r="C26" s="458">
        <f t="shared" si="2"/>
        <v>0</v>
      </c>
      <c r="D26" s="458">
        <f t="shared" si="5"/>
        <v>0</v>
      </c>
      <c r="E26" s="458">
        <f>IF(B26="","-",SUM($D$18:D26))</f>
        <v>0</v>
      </c>
      <c r="F26" s="458">
        <f t="shared" si="3"/>
        <v>0</v>
      </c>
      <c r="G26" s="458">
        <f>IF(B26="","-",SUM($F$18:F26))</f>
        <v>0</v>
      </c>
      <c r="H26" s="458">
        <f t="shared" si="4"/>
        <v>0</v>
      </c>
      <c r="I26" s="159"/>
      <c r="J26" s="113"/>
      <c r="K26" s="113"/>
      <c r="M26" s="113"/>
      <c r="N26" s="113"/>
      <c r="O26" s="113"/>
      <c r="P26" s="113"/>
      <c r="Q26" s="113"/>
      <c r="R26" s="113"/>
      <c r="S26" s="113"/>
      <c r="T26" s="113"/>
      <c r="U26" s="113"/>
      <c r="V26" s="113"/>
    </row>
    <row r="27" spans="1:22" x14ac:dyDescent="0.2">
      <c r="A27" s="113"/>
      <c r="B27" s="457">
        <f t="shared" si="1"/>
        <v>10</v>
      </c>
      <c r="C27" s="458">
        <f t="shared" si="2"/>
        <v>0</v>
      </c>
      <c r="D27" s="458">
        <f t="shared" si="5"/>
        <v>0</v>
      </c>
      <c r="E27" s="458">
        <f>IF(B27="","-",SUM($D$18:D27))</f>
        <v>0</v>
      </c>
      <c r="F27" s="458">
        <f t="shared" si="3"/>
        <v>0</v>
      </c>
      <c r="G27" s="458">
        <f>IF(B27="","-",SUM($F$18:F27))</f>
        <v>0</v>
      </c>
      <c r="H27" s="458">
        <f t="shared" si="4"/>
        <v>0</v>
      </c>
      <c r="I27" s="159"/>
      <c r="J27" s="113"/>
      <c r="K27" s="113"/>
      <c r="M27" s="113"/>
      <c r="N27" s="113"/>
      <c r="O27" s="113"/>
      <c r="P27" s="113"/>
      <c r="Q27" s="113"/>
      <c r="R27" s="113"/>
      <c r="S27" s="113"/>
      <c r="T27" s="113"/>
      <c r="U27" s="113"/>
      <c r="V27" s="113"/>
    </row>
    <row r="28" spans="1:22" x14ac:dyDescent="0.2">
      <c r="A28" s="113"/>
      <c r="B28" s="457">
        <f t="shared" si="1"/>
        <v>11</v>
      </c>
      <c r="C28" s="458">
        <f t="shared" si="2"/>
        <v>0</v>
      </c>
      <c r="D28" s="458">
        <f t="shared" si="5"/>
        <v>0</v>
      </c>
      <c r="E28" s="458">
        <f>IF(B28="","-",SUM($D$18:D28))</f>
        <v>0</v>
      </c>
      <c r="F28" s="458">
        <f t="shared" si="3"/>
        <v>0</v>
      </c>
      <c r="G28" s="458">
        <f>IF(B28="","-",SUM($F$18:F28))</f>
        <v>0</v>
      </c>
      <c r="H28" s="458">
        <f t="shared" si="4"/>
        <v>0</v>
      </c>
      <c r="I28" s="159"/>
      <c r="J28" s="113"/>
      <c r="K28" s="113"/>
      <c r="M28" s="113"/>
      <c r="N28" s="113"/>
      <c r="O28" s="113"/>
      <c r="P28" s="113"/>
      <c r="Q28" s="113"/>
      <c r="R28" s="113"/>
      <c r="S28" s="113"/>
      <c r="T28" s="113"/>
      <c r="U28" s="113"/>
      <c r="V28" s="113"/>
    </row>
    <row r="29" spans="1:22" x14ac:dyDescent="0.2">
      <c r="A29" s="113"/>
      <c r="B29" s="459">
        <f t="shared" si="1"/>
        <v>12</v>
      </c>
      <c r="C29" s="460">
        <f t="shared" si="2"/>
        <v>0</v>
      </c>
      <c r="D29" s="460">
        <f t="shared" si="5"/>
        <v>0</v>
      </c>
      <c r="E29" s="460">
        <f>IF(B29="","-",SUM($D$18:D29))</f>
        <v>0</v>
      </c>
      <c r="F29" s="460">
        <f t="shared" si="3"/>
        <v>0</v>
      </c>
      <c r="G29" s="460">
        <f>IF(B29="","-",SUM($F$18:F29))</f>
        <v>0</v>
      </c>
      <c r="H29" s="460">
        <f t="shared" si="4"/>
        <v>0</v>
      </c>
      <c r="I29" s="10"/>
      <c r="J29" s="113"/>
      <c r="K29" s="113"/>
      <c r="M29" s="113"/>
      <c r="N29" s="113"/>
      <c r="O29" s="113"/>
      <c r="P29" s="113"/>
      <c r="Q29" s="113"/>
      <c r="R29" s="113"/>
      <c r="S29" s="113"/>
      <c r="T29" s="113"/>
      <c r="U29" s="113"/>
      <c r="V29" s="113"/>
    </row>
    <row r="30" spans="1:22" x14ac:dyDescent="0.2">
      <c r="A30" s="113"/>
      <c r="B30" s="457">
        <f t="shared" ref="B30:B82" si="6">IF(B29&gt;=$D$5*12,"",B29+1)</f>
        <v>13</v>
      </c>
      <c r="C30" s="458">
        <f t="shared" si="2"/>
        <v>0</v>
      </c>
      <c r="D30" s="458">
        <f t="shared" si="5"/>
        <v>0</v>
      </c>
      <c r="E30" s="458">
        <f>IF(B30="","-",SUM($D$18:D30))</f>
        <v>0</v>
      </c>
      <c r="F30" s="458">
        <f t="shared" si="3"/>
        <v>0</v>
      </c>
      <c r="G30" s="458">
        <f>IF(B30="","-",SUM($F$18:F30))</f>
        <v>0</v>
      </c>
      <c r="H30" s="458">
        <f t="shared" si="4"/>
        <v>0</v>
      </c>
      <c r="I30" s="159"/>
      <c r="J30" s="113"/>
      <c r="K30" s="113"/>
      <c r="M30" s="113"/>
      <c r="N30" s="113"/>
      <c r="O30" s="113"/>
      <c r="P30" s="113"/>
      <c r="Q30" s="113"/>
      <c r="R30" s="113"/>
      <c r="S30" s="113"/>
      <c r="T30" s="113"/>
      <c r="U30" s="113"/>
      <c r="V30" s="113"/>
    </row>
    <row r="31" spans="1:22" x14ac:dyDescent="0.2">
      <c r="A31" s="113"/>
      <c r="B31" s="457">
        <f t="shared" si="6"/>
        <v>14</v>
      </c>
      <c r="C31" s="458">
        <f t="shared" si="2"/>
        <v>0</v>
      </c>
      <c r="D31" s="458">
        <f t="shared" si="5"/>
        <v>0</v>
      </c>
      <c r="E31" s="458">
        <f>IF(B31="","-",SUM($D$18:D31))</f>
        <v>0</v>
      </c>
      <c r="F31" s="458">
        <f t="shared" si="3"/>
        <v>0</v>
      </c>
      <c r="G31" s="458">
        <f>IF(B31="","-",SUM($F$18:F31))</f>
        <v>0</v>
      </c>
      <c r="H31" s="458">
        <f t="shared" si="4"/>
        <v>0</v>
      </c>
      <c r="I31" s="159"/>
      <c r="J31" s="113"/>
      <c r="K31" s="113"/>
      <c r="M31" s="113"/>
      <c r="N31" s="113"/>
      <c r="O31" s="113"/>
      <c r="P31" s="113"/>
      <c r="Q31" s="113"/>
      <c r="R31" s="113"/>
      <c r="S31" s="113"/>
      <c r="T31" s="113"/>
      <c r="U31" s="113"/>
      <c r="V31" s="113"/>
    </row>
    <row r="32" spans="1:22" x14ac:dyDescent="0.2">
      <c r="A32" s="113"/>
      <c r="B32" s="457">
        <f t="shared" si="6"/>
        <v>15</v>
      </c>
      <c r="C32" s="458">
        <f t="shared" si="2"/>
        <v>0</v>
      </c>
      <c r="D32" s="458">
        <f t="shared" si="5"/>
        <v>0</v>
      </c>
      <c r="E32" s="458">
        <f>IF(B32="","-",SUM($D$18:D32))</f>
        <v>0</v>
      </c>
      <c r="F32" s="458">
        <f t="shared" si="3"/>
        <v>0</v>
      </c>
      <c r="G32" s="458">
        <f>IF(B32="","-",SUM($F$18:F32))</f>
        <v>0</v>
      </c>
      <c r="H32" s="458">
        <f t="shared" si="4"/>
        <v>0</v>
      </c>
      <c r="I32" s="159"/>
      <c r="J32" s="113"/>
      <c r="K32" s="113"/>
      <c r="M32" s="113"/>
      <c r="N32" s="113"/>
      <c r="O32" s="113"/>
      <c r="P32" s="113"/>
      <c r="Q32" s="113"/>
      <c r="R32" s="113"/>
      <c r="S32" s="113"/>
      <c r="T32" s="113"/>
      <c r="U32" s="113"/>
      <c r="V32" s="113"/>
    </row>
    <row r="33" spans="1:22" x14ac:dyDescent="0.2">
      <c r="A33" s="113"/>
      <c r="B33" s="457">
        <f t="shared" si="6"/>
        <v>16</v>
      </c>
      <c r="C33" s="458">
        <f t="shared" si="2"/>
        <v>0</v>
      </c>
      <c r="D33" s="458">
        <f t="shared" si="5"/>
        <v>0</v>
      </c>
      <c r="E33" s="458">
        <f>IF(B33="","-",SUM($D$18:D33))</f>
        <v>0</v>
      </c>
      <c r="F33" s="458">
        <f t="shared" si="3"/>
        <v>0</v>
      </c>
      <c r="G33" s="458">
        <f>IF(B33="","-",SUM($F$18:F33))</f>
        <v>0</v>
      </c>
      <c r="H33" s="458">
        <f t="shared" si="4"/>
        <v>0</v>
      </c>
      <c r="I33" s="159"/>
      <c r="J33" s="113"/>
      <c r="K33" s="113"/>
      <c r="M33" s="113"/>
      <c r="N33" s="113"/>
      <c r="O33" s="113"/>
      <c r="P33" s="113"/>
      <c r="Q33" s="113"/>
      <c r="R33" s="113"/>
      <c r="S33" s="113"/>
      <c r="T33" s="113"/>
      <c r="U33" s="113"/>
      <c r="V33" s="113"/>
    </row>
    <row r="34" spans="1:22" x14ac:dyDescent="0.2">
      <c r="A34" s="113"/>
      <c r="B34" s="457">
        <f t="shared" si="6"/>
        <v>17</v>
      </c>
      <c r="C34" s="458">
        <f t="shared" si="2"/>
        <v>0</v>
      </c>
      <c r="D34" s="458">
        <f t="shared" si="5"/>
        <v>0</v>
      </c>
      <c r="E34" s="458">
        <f>IF(B34="","-",SUM($D$18:D34))</f>
        <v>0</v>
      </c>
      <c r="F34" s="458">
        <f t="shared" si="3"/>
        <v>0</v>
      </c>
      <c r="G34" s="458">
        <f>IF(B34="","-",SUM($F$18:F34))</f>
        <v>0</v>
      </c>
      <c r="H34" s="458">
        <f t="shared" si="4"/>
        <v>0</v>
      </c>
      <c r="I34" s="159"/>
      <c r="J34" s="113"/>
      <c r="K34" s="113"/>
      <c r="M34" s="113"/>
      <c r="N34" s="113"/>
      <c r="O34" s="113"/>
      <c r="P34" s="113"/>
      <c r="Q34" s="113"/>
      <c r="R34" s="113"/>
      <c r="S34" s="113"/>
      <c r="T34" s="113"/>
      <c r="U34" s="113"/>
      <c r="V34" s="113"/>
    </row>
    <row r="35" spans="1:22" x14ac:dyDescent="0.2">
      <c r="A35" s="113"/>
      <c r="B35" s="457">
        <f t="shared" si="6"/>
        <v>18</v>
      </c>
      <c r="C35" s="458">
        <f t="shared" si="2"/>
        <v>0</v>
      </c>
      <c r="D35" s="458">
        <f t="shared" si="5"/>
        <v>0</v>
      </c>
      <c r="E35" s="458">
        <f>IF(B35="","-",SUM($D$18:D35))</f>
        <v>0</v>
      </c>
      <c r="F35" s="458">
        <f t="shared" si="3"/>
        <v>0</v>
      </c>
      <c r="G35" s="458">
        <f>IF(B35="","-",SUM($F$18:F35))</f>
        <v>0</v>
      </c>
      <c r="H35" s="458">
        <f t="shared" si="4"/>
        <v>0</v>
      </c>
      <c r="I35" s="159"/>
      <c r="J35" s="113"/>
      <c r="K35" s="113"/>
      <c r="M35" s="113"/>
      <c r="N35" s="113"/>
      <c r="O35" s="113"/>
      <c r="P35" s="113"/>
      <c r="Q35" s="113"/>
      <c r="R35" s="113"/>
      <c r="S35" s="113"/>
      <c r="T35" s="113"/>
      <c r="U35" s="113"/>
      <c r="V35" s="113"/>
    </row>
    <row r="36" spans="1:22" x14ac:dyDescent="0.2">
      <c r="A36" s="113"/>
      <c r="B36" s="457">
        <f t="shared" si="6"/>
        <v>19</v>
      </c>
      <c r="C36" s="458">
        <f t="shared" si="2"/>
        <v>0</v>
      </c>
      <c r="D36" s="458">
        <f t="shared" si="5"/>
        <v>0</v>
      </c>
      <c r="E36" s="458">
        <f>IF(B36="","-",SUM($D$18:D36))</f>
        <v>0</v>
      </c>
      <c r="F36" s="458">
        <f t="shared" si="3"/>
        <v>0</v>
      </c>
      <c r="G36" s="458">
        <f>IF(B36="","-",SUM($F$18:F36))</f>
        <v>0</v>
      </c>
      <c r="H36" s="458">
        <f t="shared" si="4"/>
        <v>0</v>
      </c>
      <c r="I36" s="159"/>
      <c r="J36" s="113"/>
      <c r="K36" s="113"/>
      <c r="M36" s="113"/>
      <c r="N36" s="113"/>
      <c r="O36" s="113"/>
      <c r="P36" s="113"/>
      <c r="Q36" s="113"/>
      <c r="R36" s="113"/>
      <c r="S36" s="113"/>
      <c r="T36" s="113"/>
      <c r="U36" s="113"/>
      <c r="V36" s="113"/>
    </row>
    <row r="37" spans="1:22" x14ac:dyDescent="0.2">
      <c r="A37" s="113"/>
      <c r="B37" s="457">
        <f t="shared" si="6"/>
        <v>20</v>
      </c>
      <c r="C37" s="458">
        <f t="shared" si="2"/>
        <v>0</v>
      </c>
      <c r="D37" s="458">
        <f t="shared" si="5"/>
        <v>0</v>
      </c>
      <c r="E37" s="458">
        <f>IF(B37="","-",SUM($D$18:D37))</f>
        <v>0</v>
      </c>
      <c r="F37" s="458">
        <f t="shared" si="3"/>
        <v>0</v>
      </c>
      <c r="G37" s="458">
        <f>IF(B37="","-",SUM($F$18:F37))</f>
        <v>0</v>
      </c>
      <c r="H37" s="458">
        <f t="shared" si="4"/>
        <v>0</v>
      </c>
      <c r="I37" s="159"/>
      <c r="J37" s="113"/>
      <c r="K37" s="113"/>
      <c r="M37" s="113"/>
      <c r="N37" s="113"/>
      <c r="O37" s="113"/>
      <c r="P37" s="113"/>
      <c r="Q37" s="113"/>
      <c r="R37" s="113"/>
      <c r="S37" s="113"/>
      <c r="T37" s="113"/>
      <c r="U37" s="113"/>
      <c r="V37" s="113"/>
    </row>
    <row r="38" spans="1:22" x14ac:dyDescent="0.2">
      <c r="A38" s="113"/>
      <c r="B38" s="457">
        <f t="shared" si="6"/>
        <v>21</v>
      </c>
      <c r="C38" s="458">
        <f t="shared" si="2"/>
        <v>0</v>
      </c>
      <c r="D38" s="458">
        <f t="shared" si="5"/>
        <v>0</v>
      </c>
      <c r="E38" s="458">
        <f>IF(B38="","-",SUM($D$18:D38))</f>
        <v>0</v>
      </c>
      <c r="F38" s="458">
        <f t="shared" si="3"/>
        <v>0</v>
      </c>
      <c r="G38" s="458">
        <f>IF(B38="","-",SUM($F$18:F38))</f>
        <v>0</v>
      </c>
      <c r="H38" s="458">
        <f t="shared" si="4"/>
        <v>0</v>
      </c>
      <c r="I38" s="159"/>
      <c r="J38" s="113"/>
      <c r="K38" s="113"/>
      <c r="M38" s="113"/>
      <c r="N38" s="113"/>
      <c r="O38" s="113"/>
      <c r="P38" s="113"/>
      <c r="Q38" s="113"/>
      <c r="R38" s="113"/>
      <c r="S38" s="113"/>
      <c r="T38" s="113"/>
      <c r="U38" s="113"/>
      <c r="V38" s="113"/>
    </row>
    <row r="39" spans="1:22" x14ac:dyDescent="0.2">
      <c r="A39" s="113"/>
      <c r="B39" s="457">
        <f t="shared" si="6"/>
        <v>22</v>
      </c>
      <c r="C39" s="458">
        <f t="shared" si="2"/>
        <v>0</v>
      </c>
      <c r="D39" s="458">
        <f t="shared" si="5"/>
        <v>0</v>
      </c>
      <c r="E39" s="458">
        <f>IF(B39="","-",SUM($D$18:D39))</f>
        <v>0</v>
      </c>
      <c r="F39" s="458">
        <f t="shared" si="3"/>
        <v>0</v>
      </c>
      <c r="G39" s="458">
        <f>IF(B39="","-",SUM($F$18:F39))</f>
        <v>0</v>
      </c>
      <c r="H39" s="458">
        <f t="shared" si="4"/>
        <v>0</v>
      </c>
      <c r="I39" s="159"/>
      <c r="J39" s="113"/>
      <c r="K39" s="113"/>
      <c r="M39" s="113"/>
      <c r="N39" s="113"/>
      <c r="O39" s="113"/>
      <c r="P39" s="113"/>
      <c r="Q39" s="113"/>
      <c r="R39" s="113"/>
      <c r="S39" s="113"/>
      <c r="T39" s="113"/>
      <c r="U39" s="113"/>
      <c r="V39" s="113"/>
    </row>
    <row r="40" spans="1:22" x14ac:dyDescent="0.2">
      <c r="A40" s="113"/>
      <c r="B40" s="457">
        <f t="shared" si="6"/>
        <v>23</v>
      </c>
      <c r="C40" s="458">
        <f t="shared" si="2"/>
        <v>0</v>
      </c>
      <c r="D40" s="458">
        <f t="shared" si="5"/>
        <v>0</v>
      </c>
      <c r="E40" s="458">
        <f>IF(B40="","-",SUM($D$18:D40))</f>
        <v>0</v>
      </c>
      <c r="F40" s="458">
        <f t="shared" si="3"/>
        <v>0</v>
      </c>
      <c r="G40" s="458">
        <f>IF(B40="","-",SUM($F$18:F40))</f>
        <v>0</v>
      </c>
      <c r="H40" s="458">
        <f t="shared" si="4"/>
        <v>0</v>
      </c>
      <c r="I40" s="159"/>
      <c r="J40" s="113"/>
      <c r="K40" s="113"/>
      <c r="M40" s="113"/>
      <c r="N40" s="113"/>
      <c r="O40" s="113"/>
      <c r="P40" s="113"/>
      <c r="Q40" s="113"/>
      <c r="R40" s="113"/>
      <c r="S40" s="113"/>
      <c r="T40" s="113"/>
      <c r="U40" s="113"/>
      <c r="V40" s="113"/>
    </row>
    <row r="41" spans="1:22" x14ac:dyDescent="0.2">
      <c r="A41" s="113"/>
      <c r="B41" s="459">
        <f t="shared" si="6"/>
        <v>24</v>
      </c>
      <c r="C41" s="460">
        <f t="shared" si="2"/>
        <v>0</v>
      </c>
      <c r="D41" s="460">
        <f t="shared" si="5"/>
        <v>0</v>
      </c>
      <c r="E41" s="460">
        <f>IF(B41="","-",SUM($D$18:D41))</f>
        <v>0</v>
      </c>
      <c r="F41" s="460">
        <f t="shared" si="3"/>
        <v>0</v>
      </c>
      <c r="G41" s="460">
        <f>IF(B41="","-",SUM($F$18:F41))</f>
        <v>0</v>
      </c>
      <c r="H41" s="460">
        <f t="shared" si="4"/>
        <v>0</v>
      </c>
      <c r="I41" s="10"/>
      <c r="J41" s="113"/>
      <c r="K41" s="461"/>
      <c r="M41" s="113"/>
      <c r="N41" s="113"/>
      <c r="O41" s="113"/>
      <c r="P41" s="113"/>
      <c r="Q41" s="113"/>
      <c r="R41" s="113"/>
      <c r="S41" s="113"/>
      <c r="T41" s="113"/>
      <c r="U41" s="113"/>
      <c r="V41" s="113"/>
    </row>
    <row r="42" spans="1:22" x14ac:dyDescent="0.2">
      <c r="A42" s="113"/>
      <c r="B42" s="457">
        <f t="shared" si="6"/>
        <v>25</v>
      </c>
      <c r="C42" s="458">
        <f t="shared" si="2"/>
        <v>0</v>
      </c>
      <c r="D42" s="458">
        <f t="shared" si="5"/>
        <v>0</v>
      </c>
      <c r="E42" s="458">
        <f>IF(B42="","-",SUM($D$18:D42))</f>
        <v>0</v>
      </c>
      <c r="F42" s="458">
        <f t="shared" si="3"/>
        <v>0</v>
      </c>
      <c r="G42" s="458">
        <f>IF(B42="","-",SUM($F$18:F42))</f>
        <v>0</v>
      </c>
      <c r="H42" s="458">
        <f t="shared" si="4"/>
        <v>0</v>
      </c>
      <c r="I42" s="159"/>
      <c r="J42" s="113"/>
      <c r="K42" s="113"/>
      <c r="M42" s="113"/>
      <c r="N42" s="113"/>
      <c r="O42" s="113"/>
      <c r="P42" s="113"/>
      <c r="Q42" s="113"/>
      <c r="R42" s="113"/>
      <c r="S42" s="113"/>
      <c r="T42" s="113"/>
      <c r="U42" s="113"/>
      <c r="V42" s="113"/>
    </row>
    <row r="43" spans="1:22" x14ac:dyDescent="0.2">
      <c r="A43" s="113"/>
      <c r="B43" s="457">
        <f t="shared" si="6"/>
        <v>26</v>
      </c>
      <c r="C43" s="458">
        <f t="shared" si="2"/>
        <v>0</v>
      </c>
      <c r="D43" s="458">
        <f t="shared" si="5"/>
        <v>0</v>
      </c>
      <c r="E43" s="458">
        <f>IF(B43="","-",SUM($D$18:D43))</f>
        <v>0</v>
      </c>
      <c r="F43" s="458">
        <f t="shared" si="3"/>
        <v>0</v>
      </c>
      <c r="G43" s="458">
        <f>IF(B43="","-",SUM($F$18:F43))</f>
        <v>0</v>
      </c>
      <c r="H43" s="458">
        <f t="shared" si="4"/>
        <v>0</v>
      </c>
      <c r="I43" s="159"/>
      <c r="J43" s="113"/>
      <c r="K43" s="113"/>
      <c r="M43" s="113"/>
      <c r="N43" s="113"/>
      <c r="O43" s="113"/>
      <c r="P43" s="113"/>
      <c r="Q43" s="113"/>
      <c r="R43" s="113"/>
      <c r="S43" s="113"/>
      <c r="T43" s="113"/>
      <c r="U43" s="113"/>
      <c r="V43" s="113"/>
    </row>
    <row r="44" spans="1:22" x14ac:dyDescent="0.2">
      <c r="A44" s="113"/>
      <c r="B44" s="457">
        <f t="shared" si="6"/>
        <v>27</v>
      </c>
      <c r="C44" s="458">
        <f t="shared" si="2"/>
        <v>0</v>
      </c>
      <c r="D44" s="458">
        <f t="shared" si="5"/>
        <v>0</v>
      </c>
      <c r="E44" s="458">
        <f>IF(B44="","-",SUM($D$18:D44))</f>
        <v>0</v>
      </c>
      <c r="F44" s="458">
        <f t="shared" si="3"/>
        <v>0</v>
      </c>
      <c r="G44" s="458">
        <f>IF(B44="","-",SUM($F$18:F44))</f>
        <v>0</v>
      </c>
      <c r="H44" s="458">
        <f t="shared" si="4"/>
        <v>0</v>
      </c>
      <c r="I44" s="159"/>
      <c r="J44" s="113"/>
      <c r="K44" s="113"/>
      <c r="M44" s="113"/>
      <c r="N44" s="113"/>
      <c r="O44" s="113"/>
      <c r="P44" s="113"/>
      <c r="Q44" s="113"/>
      <c r="R44" s="113"/>
      <c r="S44" s="113"/>
      <c r="T44" s="113"/>
      <c r="U44" s="113"/>
      <c r="V44" s="113"/>
    </row>
    <row r="45" spans="1:22" x14ac:dyDescent="0.2">
      <c r="A45" s="113"/>
      <c r="B45" s="457">
        <f t="shared" si="6"/>
        <v>28</v>
      </c>
      <c r="C45" s="458">
        <f t="shared" si="2"/>
        <v>0</v>
      </c>
      <c r="D45" s="458">
        <f t="shared" si="5"/>
        <v>0</v>
      </c>
      <c r="E45" s="458">
        <f>IF(B45="","-",SUM($D$18:D45))</f>
        <v>0</v>
      </c>
      <c r="F45" s="458">
        <f t="shared" si="3"/>
        <v>0</v>
      </c>
      <c r="G45" s="458">
        <f>IF(B45="","-",SUM($F$18:F45))</f>
        <v>0</v>
      </c>
      <c r="H45" s="458">
        <f t="shared" si="4"/>
        <v>0</v>
      </c>
      <c r="I45" s="159"/>
      <c r="J45" s="113"/>
      <c r="K45" s="113"/>
      <c r="M45" s="113"/>
      <c r="N45" s="113"/>
      <c r="O45" s="113"/>
      <c r="P45" s="113"/>
      <c r="Q45" s="113"/>
      <c r="R45" s="113"/>
      <c r="S45" s="113"/>
      <c r="T45" s="113"/>
      <c r="U45" s="113"/>
      <c r="V45" s="113"/>
    </row>
    <row r="46" spans="1:22" x14ac:dyDescent="0.2">
      <c r="A46" s="113"/>
      <c r="B46" s="457">
        <f t="shared" si="6"/>
        <v>29</v>
      </c>
      <c r="C46" s="458">
        <f t="shared" si="2"/>
        <v>0</v>
      </c>
      <c r="D46" s="458">
        <f t="shared" si="5"/>
        <v>0</v>
      </c>
      <c r="E46" s="458">
        <f>IF(B46="","-",SUM($D$18:D46))</f>
        <v>0</v>
      </c>
      <c r="F46" s="458">
        <f t="shared" si="3"/>
        <v>0</v>
      </c>
      <c r="G46" s="458">
        <f>IF(B46="","-",SUM($F$18:F46))</f>
        <v>0</v>
      </c>
      <c r="H46" s="458">
        <f t="shared" si="4"/>
        <v>0</v>
      </c>
      <c r="I46" s="159"/>
      <c r="J46" s="113"/>
      <c r="K46" s="113"/>
      <c r="M46" s="113"/>
      <c r="N46" s="113"/>
      <c r="O46" s="113"/>
      <c r="P46" s="113"/>
      <c r="Q46" s="113"/>
      <c r="R46" s="113"/>
      <c r="S46" s="113"/>
      <c r="T46" s="113"/>
      <c r="U46" s="113"/>
      <c r="V46" s="113"/>
    </row>
    <row r="47" spans="1:22" x14ac:dyDescent="0.2">
      <c r="A47" s="113"/>
      <c r="B47" s="457">
        <f t="shared" si="6"/>
        <v>30</v>
      </c>
      <c r="C47" s="458">
        <f t="shared" si="2"/>
        <v>0</v>
      </c>
      <c r="D47" s="458">
        <f t="shared" si="5"/>
        <v>0</v>
      </c>
      <c r="E47" s="458">
        <f>IF(B47="","-",SUM($D$18:D47))</f>
        <v>0</v>
      </c>
      <c r="F47" s="458">
        <f t="shared" si="3"/>
        <v>0</v>
      </c>
      <c r="G47" s="458">
        <f>IF(B47="","-",SUM($F$18:F47))</f>
        <v>0</v>
      </c>
      <c r="H47" s="458">
        <f t="shared" si="4"/>
        <v>0</v>
      </c>
      <c r="I47" s="159"/>
      <c r="J47" s="113"/>
      <c r="K47" s="113"/>
      <c r="M47" s="113"/>
      <c r="N47" s="113"/>
      <c r="O47" s="113"/>
      <c r="P47" s="113"/>
      <c r="Q47" s="113"/>
      <c r="R47" s="113"/>
      <c r="S47" s="113"/>
      <c r="T47" s="113"/>
      <c r="U47" s="113"/>
      <c r="V47" s="113"/>
    </row>
    <row r="48" spans="1:22" x14ac:dyDescent="0.2">
      <c r="A48" s="113"/>
      <c r="B48" s="457">
        <f t="shared" si="6"/>
        <v>31</v>
      </c>
      <c r="C48" s="458">
        <f t="shared" si="2"/>
        <v>0</v>
      </c>
      <c r="D48" s="458">
        <f t="shared" si="5"/>
        <v>0</v>
      </c>
      <c r="E48" s="458">
        <f>IF(B48="","-",SUM($D$18:D48))</f>
        <v>0</v>
      </c>
      <c r="F48" s="458">
        <f t="shared" si="3"/>
        <v>0</v>
      </c>
      <c r="G48" s="458">
        <f>IF(B48="","-",SUM($F$18:F48))</f>
        <v>0</v>
      </c>
      <c r="H48" s="458">
        <f t="shared" si="4"/>
        <v>0</v>
      </c>
      <c r="I48" s="159"/>
      <c r="J48" s="113"/>
      <c r="K48" s="113"/>
      <c r="M48" s="113"/>
      <c r="N48" s="113"/>
      <c r="O48" s="113"/>
      <c r="P48" s="113"/>
      <c r="Q48" s="113"/>
      <c r="R48" s="113"/>
      <c r="S48" s="113"/>
      <c r="T48" s="113"/>
      <c r="U48" s="113"/>
      <c r="V48" s="113"/>
    </row>
    <row r="49" spans="1:22" x14ac:dyDescent="0.2">
      <c r="A49" s="113"/>
      <c r="B49" s="457">
        <f t="shared" si="6"/>
        <v>32</v>
      </c>
      <c r="C49" s="458">
        <f t="shared" si="2"/>
        <v>0</v>
      </c>
      <c r="D49" s="458">
        <f t="shared" si="5"/>
        <v>0</v>
      </c>
      <c r="E49" s="458">
        <f>IF(B49="","-",SUM($D$18:D49))</f>
        <v>0</v>
      </c>
      <c r="F49" s="458">
        <f t="shared" si="3"/>
        <v>0</v>
      </c>
      <c r="G49" s="458">
        <f>IF(B49="","-",SUM($F$18:F49))</f>
        <v>0</v>
      </c>
      <c r="H49" s="458">
        <f t="shared" si="4"/>
        <v>0</v>
      </c>
      <c r="I49" s="159"/>
      <c r="J49" s="113"/>
      <c r="K49" s="113"/>
      <c r="M49" s="113"/>
      <c r="N49" s="113"/>
      <c r="O49" s="113"/>
      <c r="P49" s="113"/>
      <c r="Q49" s="113"/>
      <c r="R49" s="113"/>
      <c r="S49" s="113"/>
      <c r="T49" s="113"/>
      <c r="U49" s="113"/>
      <c r="V49" s="113"/>
    </row>
    <row r="50" spans="1:22" x14ac:dyDescent="0.2">
      <c r="A50" s="113"/>
      <c r="B50" s="457">
        <f t="shared" si="6"/>
        <v>33</v>
      </c>
      <c r="C50" s="458">
        <f t="shared" si="2"/>
        <v>0</v>
      </c>
      <c r="D50" s="458">
        <f t="shared" si="5"/>
        <v>0</v>
      </c>
      <c r="E50" s="458">
        <f>IF(B50="","-",SUM($D$18:D50))</f>
        <v>0</v>
      </c>
      <c r="F50" s="458">
        <f t="shared" si="3"/>
        <v>0</v>
      </c>
      <c r="G50" s="458">
        <f>IF(B50="","-",SUM($F$18:F50))</f>
        <v>0</v>
      </c>
      <c r="H50" s="458">
        <f t="shared" si="4"/>
        <v>0</v>
      </c>
      <c r="I50" s="159"/>
      <c r="J50" s="113"/>
      <c r="K50" s="113"/>
      <c r="M50" s="113"/>
      <c r="N50" s="113"/>
      <c r="O50" s="113"/>
      <c r="P50" s="113"/>
      <c r="Q50" s="113"/>
      <c r="R50" s="113"/>
      <c r="S50" s="113"/>
      <c r="T50" s="113"/>
      <c r="U50" s="113"/>
      <c r="V50" s="113"/>
    </row>
    <row r="51" spans="1:22" x14ac:dyDescent="0.2">
      <c r="A51" s="113"/>
      <c r="B51" s="457">
        <f t="shared" si="6"/>
        <v>34</v>
      </c>
      <c r="C51" s="458">
        <f t="shared" si="2"/>
        <v>0</v>
      </c>
      <c r="D51" s="458">
        <f t="shared" si="5"/>
        <v>0</v>
      </c>
      <c r="E51" s="458">
        <f>IF(B51="","-",SUM($D$18:D51))</f>
        <v>0</v>
      </c>
      <c r="F51" s="458">
        <f t="shared" si="3"/>
        <v>0</v>
      </c>
      <c r="G51" s="458">
        <f>IF(B51="","-",SUM($F$18:F51))</f>
        <v>0</v>
      </c>
      <c r="H51" s="458">
        <f t="shared" si="4"/>
        <v>0</v>
      </c>
      <c r="I51" s="159"/>
      <c r="J51" s="113"/>
      <c r="K51" s="113"/>
      <c r="M51" s="113"/>
      <c r="N51" s="113"/>
      <c r="O51" s="113"/>
      <c r="P51" s="113"/>
      <c r="Q51" s="113"/>
      <c r="R51" s="113"/>
      <c r="S51" s="113"/>
      <c r="T51" s="113"/>
      <c r="U51" s="113"/>
      <c r="V51" s="113"/>
    </row>
    <row r="52" spans="1:22" x14ac:dyDescent="0.2">
      <c r="A52" s="113"/>
      <c r="B52" s="457">
        <f t="shared" si="6"/>
        <v>35</v>
      </c>
      <c r="C52" s="458">
        <f t="shared" si="2"/>
        <v>0</v>
      </c>
      <c r="D52" s="458">
        <f t="shared" si="5"/>
        <v>0</v>
      </c>
      <c r="E52" s="458">
        <f>IF(B52="","-",SUM($D$18:D52))</f>
        <v>0</v>
      </c>
      <c r="F52" s="458">
        <f t="shared" si="3"/>
        <v>0</v>
      </c>
      <c r="G52" s="458">
        <f>IF(B52="","-",SUM($F$18:F52))</f>
        <v>0</v>
      </c>
      <c r="H52" s="458">
        <f t="shared" si="4"/>
        <v>0</v>
      </c>
      <c r="I52" s="159"/>
      <c r="J52" s="113"/>
      <c r="K52" s="113"/>
      <c r="M52" s="113"/>
      <c r="N52" s="113"/>
      <c r="O52" s="113"/>
      <c r="P52" s="113"/>
      <c r="Q52" s="113"/>
      <c r="R52" s="113"/>
      <c r="S52" s="113"/>
      <c r="T52" s="113"/>
      <c r="U52" s="113"/>
      <c r="V52" s="113"/>
    </row>
    <row r="53" spans="1:22" x14ac:dyDescent="0.2">
      <c r="A53" s="113"/>
      <c r="B53" s="459">
        <f t="shared" si="6"/>
        <v>36</v>
      </c>
      <c r="C53" s="460">
        <f t="shared" si="2"/>
        <v>0</v>
      </c>
      <c r="D53" s="460">
        <f t="shared" si="5"/>
        <v>0</v>
      </c>
      <c r="E53" s="460">
        <f>IF(B53="","-",SUM($D$18:D53))</f>
        <v>0</v>
      </c>
      <c r="F53" s="460">
        <f t="shared" si="3"/>
        <v>0</v>
      </c>
      <c r="G53" s="460">
        <f>IF(B53="","-",SUM($F$18:F53))</f>
        <v>0</v>
      </c>
      <c r="H53" s="460">
        <f t="shared" si="4"/>
        <v>0</v>
      </c>
      <c r="I53" s="10"/>
      <c r="J53" s="113"/>
      <c r="K53" s="113"/>
      <c r="M53" s="113"/>
      <c r="N53" s="113"/>
      <c r="O53" s="113"/>
      <c r="P53" s="113"/>
      <c r="Q53" s="113"/>
      <c r="R53" s="113"/>
      <c r="S53" s="113"/>
      <c r="T53" s="113"/>
      <c r="U53" s="113"/>
      <c r="V53" s="113"/>
    </row>
    <row r="54" spans="1:22" x14ac:dyDescent="0.2">
      <c r="A54" s="113"/>
      <c r="B54" s="457">
        <f t="shared" si="6"/>
        <v>37</v>
      </c>
      <c r="C54" s="458">
        <f t="shared" si="2"/>
        <v>0</v>
      </c>
      <c r="D54" s="458">
        <f t="shared" si="5"/>
        <v>0</v>
      </c>
      <c r="E54" s="458">
        <f>IF(B54="","-",SUM($D$18:D54))</f>
        <v>0</v>
      </c>
      <c r="F54" s="458">
        <f t="shared" si="3"/>
        <v>0</v>
      </c>
      <c r="G54" s="458">
        <f>IF(B54="","-",SUM($F$18:F54))</f>
        <v>0</v>
      </c>
      <c r="H54" s="458">
        <f t="shared" si="4"/>
        <v>0</v>
      </c>
      <c r="I54" s="159"/>
      <c r="J54" s="113"/>
      <c r="K54" s="113"/>
      <c r="M54" s="113"/>
      <c r="N54" s="113"/>
      <c r="O54" s="113"/>
      <c r="P54" s="113"/>
      <c r="Q54" s="113"/>
      <c r="R54" s="113"/>
      <c r="S54" s="113"/>
      <c r="T54" s="113"/>
      <c r="U54" s="113"/>
      <c r="V54" s="113"/>
    </row>
    <row r="55" spans="1:22" x14ac:dyDescent="0.2">
      <c r="A55" s="113"/>
      <c r="B55" s="457">
        <f t="shared" si="6"/>
        <v>38</v>
      </c>
      <c r="C55" s="458">
        <f t="shared" si="2"/>
        <v>0</v>
      </c>
      <c r="D55" s="458">
        <f t="shared" si="5"/>
        <v>0</v>
      </c>
      <c r="E55" s="458">
        <f>IF(B55="","-",SUM($D$18:D55))</f>
        <v>0</v>
      </c>
      <c r="F55" s="458">
        <f t="shared" si="3"/>
        <v>0</v>
      </c>
      <c r="G55" s="458">
        <f>IF(B55="","-",SUM($F$18:F55))</f>
        <v>0</v>
      </c>
      <c r="H55" s="458">
        <f t="shared" si="4"/>
        <v>0</v>
      </c>
      <c r="I55" s="159"/>
      <c r="J55" s="113"/>
      <c r="K55" s="113"/>
      <c r="M55" s="113"/>
      <c r="N55" s="113"/>
      <c r="O55" s="113"/>
      <c r="P55" s="113"/>
      <c r="Q55" s="113"/>
      <c r="R55" s="113"/>
      <c r="S55" s="113"/>
      <c r="T55" s="113"/>
      <c r="U55" s="113"/>
      <c r="V55" s="113"/>
    </row>
    <row r="56" spans="1:22" x14ac:dyDescent="0.2">
      <c r="A56" s="113"/>
      <c r="B56" s="457">
        <f t="shared" si="6"/>
        <v>39</v>
      </c>
      <c r="C56" s="458">
        <f t="shared" si="2"/>
        <v>0</v>
      </c>
      <c r="D56" s="458">
        <f t="shared" si="5"/>
        <v>0</v>
      </c>
      <c r="E56" s="458">
        <f>IF(B56="","-",SUM($D$18:D56))</f>
        <v>0</v>
      </c>
      <c r="F56" s="458">
        <f t="shared" si="3"/>
        <v>0</v>
      </c>
      <c r="G56" s="458">
        <f>IF(B56="","-",SUM($F$18:F56))</f>
        <v>0</v>
      </c>
      <c r="H56" s="458">
        <f t="shared" si="4"/>
        <v>0</v>
      </c>
      <c r="I56" s="159"/>
      <c r="J56" s="113"/>
      <c r="K56" s="113"/>
      <c r="M56" s="113"/>
      <c r="N56" s="113"/>
      <c r="O56" s="113"/>
      <c r="P56" s="113"/>
      <c r="Q56" s="113"/>
      <c r="R56" s="113"/>
      <c r="S56" s="113"/>
      <c r="T56" s="113"/>
      <c r="U56" s="113"/>
      <c r="V56" s="113"/>
    </row>
    <row r="57" spans="1:22" x14ac:dyDescent="0.2">
      <c r="A57" s="113"/>
      <c r="B57" s="457">
        <f t="shared" si="6"/>
        <v>40</v>
      </c>
      <c r="C57" s="458">
        <f t="shared" si="2"/>
        <v>0</v>
      </c>
      <c r="D57" s="458">
        <f t="shared" si="5"/>
        <v>0</v>
      </c>
      <c r="E57" s="458">
        <f>IF(B57="","-",SUM($D$18:D57))</f>
        <v>0</v>
      </c>
      <c r="F57" s="458">
        <f t="shared" si="3"/>
        <v>0</v>
      </c>
      <c r="G57" s="458">
        <f>IF(B57="","-",SUM($F$18:F57))</f>
        <v>0</v>
      </c>
      <c r="H57" s="458">
        <f t="shared" si="4"/>
        <v>0</v>
      </c>
      <c r="I57" s="159"/>
      <c r="J57" s="113"/>
      <c r="K57" s="113"/>
      <c r="M57" s="113"/>
      <c r="N57" s="113"/>
      <c r="O57" s="113"/>
      <c r="P57" s="113"/>
      <c r="Q57" s="113"/>
      <c r="R57" s="113"/>
      <c r="S57" s="113"/>
      <c r="T57" s="113"/>
      <c r="U57" s="113"/>
      <c r="V57" s="113"/>
    </row>
    <row r="58" spans="1:22" x14ac:dyDescent="0.2">
      <c r="A58" s="113"/>
      <c r="B58" s="457">
        <f t="shared" si="6"/>
        <v>41</v>
      </c>
      <c r="C58" s="458">
        <f t="shared" si="2"/>
        <v>0</v>
      </c>
      <c r="D58" s="458">
        <f t="shared" si="5"/>
        <v>0</v>
      </c>
      <c r="E58" s="458">
        <f>IF(B58="","-",SUM($D$18:D58))</f>
        <v>0</v>
      </c>
      <c r="F58" s="458">
        <f t="shared" si="3"/>
        <v>0</v>
      </c>
      <c r="G58" s="458">
        <f>IF(B58="","-",SUM($F$18:F58))</f>
        <v>0</v>
      </c>
      <c r="H58" s="458">
        <f t="shared" si="4"/>
        <v>0</v>
      </c>
      <c r="I58" s="159"/>
      <c r="J58" s="113"/>
      <c r="K58" s="113"/>
      <c r="M58" s="113"/>
      <c r="N58" s="113"/>
      <c r="O58" s="113"/>
      <c r="P58" s="113"/>
      <c r="Q58" s="113"/>
      <c r="R58" s="113"/>
      <c r="S58" s="113"/>
      <c r="T58" s="113"/>
      <c r="U58" s="113"/>
      <c r="V58" s="113"/>
    </row>
    <row r="59" spans="1:22" x14ac:dyDescent="0.2">
      <c r="A59" s="113"/>
      <c r="B59" s="457">
        <f t="shared" si="6"/>
        <v>42</v>
      </c>
      <c r="C59" s="458">
        <f t="shared" si="2"/>
        <v>0</v>
      </c>
      <c r="D59" s="458">
        <f t="shared" si="5"/>
        <v>0</v>
      </c>
      <c r="E59" s="458">
        <f>IF(B59="","-",SUM($D$18:D59))</f>
        <v>0</v>
      </c>
      <c r="F59" s="458">
        <f t="shared" si="3"/>
        <v>0</v>
      </c>
      <c r="G59" s="458">
        <f>IF(B59="","-",SUM($F$18:F59))</f>
        <v>0</v>
      </c>
      <c r="H59" s="458">
        <f t="shared" si="4"/>
        <v>0</v>
      </c>
      <c r="I59" s="159"/>
      <c r="J59" s="113"/>
      <c r="K59" s="113"/>
      <c r="M59" s="113"/>
      <c r="N59" s="113"/>
      <c r="O59" s="113"/>
      <c r="P59" s="113"/>
      <c r="Q59" s="113"/>
      <c r="R59" s="113"/>
      <c r="S59" s="113"/>
      <c r="T59" s="113"/>
      <c r="U59" s="113"/>
      <c r="V59" s="113"/>
    </row>
    <row r="60" spans="1:22" x14ac:dyDescent="0.2">
      <c r="A60" s="113"/>
      <c r="B60" s="457">
        <f t="shared" si="6"/>
        <v>43</v>
      </c>
      <c r="C60" s="458">
        <f t="shared" si="2"/>
        <v>0</v>
      </c>
      <c r="D60" s="458">
        <f t="shared" si="5"/>
        <v>0</v>
      </c>
      <c r="E60" s="458">
        <f>IF(B60="","-",SUM($D$18:D60))</f>
        <v>0</v>
      </c>
      <c r="F60" s="458">
        <f t="shared" si="3"/>
        <v>0</v>
      </c>
      <c r="G60" s="458">
        <f>IF(B60="","-",SUM($F$18:F60))</f>
        <v>0</v>
      </c>
      <c r="H60" s="458">
        <f t="shared" si="4"/>
        <v>0</v>
      </c>
      <c r="I60" s="159"/>
      <c r="J60" s="113"/>
      <c r="K60" s="113"/>
      <c r="M60" s="113"/>
      <c r="N60" s="113"/>
      <c r="O60" s="113"/>
      <c r="P60" s="113"/>
      <c r="Q60" s="113"/>
      <c r="R60" s="113"/>
      <c r="S60" s="113"/>
      <c r="T60" s="113"/>
      <c r="U60" s="113"/>
      <c r="V60" s="113"/>
    </row>
    <row r="61" spans="1:22" x14ac:dyDescent="0.2">
      <c r="A61" s="113"/>
      <c r="B61" s="457">
        <f t="shared" si="6"/>
        <v>44</v>
      </c>
      <c r="C61" s="458">
        <f t="shared" si="2"/>
        <v>0</v>
      </c>
      <c r="D61" s="458">
        <f t="shared" si="5"/>
        <v>0</v>
      </c>
      <c r="E61" s="458">
        <f>IF(B61="","-",SUM($D$18:D61))</f>
        <v>0</v>
      </c>
      <c r="F61" s="458">
        <f t="shared" si="3"/>
        <v>0</v>
      </c>
      <c r="G61" s="458">
        <f>IF(B61="","-",SUM($F$18:F61))</f>
        <v>0</v>
      </c>
      <c r="H61" s="458">
        <f t="shared" si="4"/>
        <v>0</v>
      </c>
      <c r="I61" s="159"/>
      <c r="J61" s="113"/>
      <c r="K61" s="113"/>
      <c r="M61" s="113"/>
      <c r="N61" s="113"/>
      <c r="O61" s="113"/>
      <c r="P61" s="113"/>
      <c r="Q61" s="113"/>
      <c r="R61" s="113"/>
      <c r="S61" s="113"/>
      <c r="T61" s="113"/>
      <c r="U61" s="113"/>
      <c r="V61" s="113"/>
    </row>
    <row r="62" spans="1:22" x14ac:dyDescent="0.2">
      <c r="A62" s="113"/>
      <c r="B62" s="457">
        <f t="shared" si="6"/>
        <v>45</v>
      </c>
      <c r="C62" s="458">
        <f t="shared" si="2"/>
        <v>0</v>
      </c>
      <c r="D62" s="458">
        <f t="shared" si="5"/>
        <v>0</v>
      </c>
      <c r="E62" s="458">
        <f>IF(B62="","-",SUM($D$18:D62))</f>
        <v>0</v>
      </c>
      <c r="F62" s="458">
        <f t="shared" si="3"/>
        <v>0</v>
      </c>
      <c r="G62" s="458">
        <f>IF(B62="","-",SUM($F$18:F62))</f>
        <v>0</v>
      </c>
      <c r="H62" s="458">
        <f t="shared" si="4"/>
        <v>0</v>
      </c>
      <c r="I62" s="159"/>
      <c r="J62" s="113"/>
      <c r="K62" s="113"/>
      <c r="M62" s="113"/>
      <c r="N62" s="113"/>
      <c r="O62" s="113"/>
      <c r="P62" s="113"/>
      <c r="Q62" s="113"/>
      <c r="R62" s="113"/>
      <c r="S62" s="113"/>
      <c r="T62" s="113"/>
      <c r="U62" s="113"/>
      <c r="V62" s="113"/>
    </row>
    <row r="63" spans="1:22" x14ac:dyDescent="0.2">
      <c r="A63" s="113"/>
      <c r="B63" s="457">
        <f t="shared" si="6"/>
        <v>46</v>
      </c>
      <c r="C63" s="458">
        <f t="shared" si="2"/>
        <v>0</v>
      </c>
      <c r="D63" s="458">
        <f t="shared" si="5"/>
        <v>0</v>
      </c>
      <c r="E63" s="458">
        <f>IF(B63="","-",SUM($D$18:D63))</f>
        <v>0</v>
      </c>
      <c r="F63" s="458">
        <f t="shared" si="3"/>
        <v>0</v>
      </c>
      <c r="G63" s="458">
        <f>IF(B63="","-",SUM($F$18:F63))</f>
        <v>0</v>
      </c>
      <c r="H63" s="458">
        <f t="shared" si="4"/>
        <v>0</v>
      </c>
      <c r="I63" s="159"/>
      <c r="J63" s="113"/>
      <c r="K63" s="113"/>
      <c r="M63" s="113"/>
      <c r="N63" s="113"/>
      <c r="O63" s="113"/>
      <c r="P63" s="113"/>
      <c r="Q63" s="113"/>
      <c r="R63" s="113"/>
      <c r="S63" s="113"/>
      <c r="T63" s="113"/>
      <c r="U63" s="113"/>
      <c r="V63" s="113"/>
    </row>
    <row r="64" spans="1:22" x14ac:dyDescent="0.2">
      <c r="A64" s="113"/>
      <c r="B64" s="457">
        <f t="shared" si="6"/>
        <v>47</v>
      </c>
      <c r="C64" s="458">
        <f t="shared" si="2"/>
        <v>0</v>
      </c>
      <c r="D64" s="458">
        <f t="shared" si="5"/>
        <v>0</v>
      </c>
      <c r="E64" s="458">
        <f>IF(B64="","-",SUM($D$18:D64))</f>
        <v>0</v>
      </c>
      <c r="F64" s="458">
        <f t="shared" si="3"/>
        <v>0</v>
      </c>
      <c r="G64" s="458">
        <f>IF(B64="","-",SUM($F$18:F64))</f>
        <v>0</v>
      </c>
      <c r="H64" s="458">
        <f t="shared" si="4"/>
        <v>0</v>
      </c>
      <c r="I64" s="159"/>
      <c r="J64" s="113"/>
      <c r="K64" s="113"/>
      <c r="M64" s="113"/>
      <c r="N64" s="113"/>
      <c r="O64" s="113"/>
      <c r="P64" s="113"/>
      <c r="Q64" s="113"/>
      <c r="R64" s="113"/>
      <c r="S64" s="113"/>
      <c r="T64" s="113"/>
      <c r="U64" s="113"/>
      <c r="V64" s="113"/>
    </row>
    <row r="65" spans="1:22" x14ac:dyDescent="0.2">
      <c r="A65" s="113"/>
      <c r="B65" s="459">
        <f>IF(B64&gt;=$D$5*12,"",B64+1)</f>
        <v>48</v>
      </c>
      <c r="C65" s="460">
        <f t="shared" si="2"/>
        <v>0</v>
      </c>
      <c r="D65" s="460">
        <f>IF(B65="","-",$D$4/12*H64)</f>
        <v>0</v>
      </c>
      <c r="E65" s="460">
        <f>IF(B65="","-",SUM($D$18:D65))</f>
        <v>0</v>
      </c>
      <c r="F65" s="460">
        <f t="shared" si="3"/>
        <v>0</v>
      </c>
      <c r="G65" s="460">
        <f>IF(B65="","-",SUM($F$18:F65))</f>
        <v>0</v>
      </c>
      <c r="H65" s="460">
        <f t="shared" si="4"/>
        <v>0</v>
      </c>
      <c r="I65" s="10"/>
      <c r="J65" s="113"/>
      <c r="K65" s="113"/>
      <c r="M65" s="113"/>
      <c r="N65" s="113"/>
      <c r="O65" s="113"/>
      <c r="P65" s="113"/>
      <c r="Q65" s="113"/>
      <c r="R65" s="113"/>
      <c r="S65" s="113"/>
      <c r="T65" s="113"/>
      <c r="U65" s="113"/>
      <c r="V65" s="113"/>
    </row>
    <row r="66" spans="1:22" x14ac:dyDescent="0.2">
      <c r="A66" s="113"/>
      <c r="B66" s="457">
        <f t="shared" si="6"/>
        <v>49</v>
      </c>
      <c r="C66" s="458">
        <f t="shared" si="2"/>
        <v>0</v>
      </c>
      <c r="D66" s="458">
        <f t="shared" si="5"/>
        <v>0</v>
      </c>
      <c r="E66" s="458">
        <f>IF(B66="","-",SUM($D$18:D66))</f>
        <v>0</v>
      </c>
      <c r="F66" s="458">
        <f t="shared" si="3"/>
        <v>0</v>
      </c>
      <c r="G66" s="458">
        <f>IF(B66="","-",SUM($F$18:F66))</f>
        <v>0</v>
      </c>
      <c r="H66" s="458">
        <f t="shared" si="4"/>
        <v>0</v>
      </c>
      <c r="I66" s="159"/>
      <c r="J66" s="113"/>
      <c r="K66" s="113"/>
      <c r="M66" s="113"/>
      <c r="N66" s="113"/>
      <c r="O66" s="113"/>
      <c r="P66" s="113"/>
      <c r="Q66" s="113"/>
      <c r="R66" s="113"/>
      <c r="S66" s="113"/>
      <c r="T66" s="113"/>
      <c r="U66" s="113"/>
      <c r="V66" s="113"/>
    </row>
    <row r="67" spans="1:22" x14ac:dyDescent="0.2">
      <c r="A67" s="113"/>
      <c r="B67" s="457">
        <f t="shared" si="6"/>
        <v>50</v>
      </c>
      <c r="C67" s="458">
        <f t="shared" si="2"/>
        <v>0</v>
      </c>
      <c r="D67" s="458">
        <f t="shared" si="5"/>
        <v>0</v>
      </c>
      <c r="E67" s="458">
        <f>IF(B67="","-",SUM($D$18:D67))</f>
        <v>0</v>
      </c>
      <c r="F67" s="458">
        <f t="shared" si="3"/>
        <v>0</v>
      </c>
      <c r="G67" s="458">
        <f>IF(B67="","-",SUM($F$18:F67))</f>
        <v>0</v>
      </c>
      <c r="H67" s="458">
        <f t="shared" si="4"/>
        <v>0</v>
      </c>
      <c r="I67" s="159"/>
      <c r="J67" s="113"/>
      <c r="K67" s="113"/>
      <c r="M67" s="113"/>
      <c r="N67" s="113"/>
      <c r="O67" s="113"/>
      <c r="P67" s="113"/>
      <c r="Q67" s="113"/>
      <c r="R67" s="113"/>
      <c r="S67" s="113"/>
      <c r="T67" s="113"/>
      <c r="U67" s="113"/>
      <c r="V67" s="113"/>
    </row>
    <row r="68" spans="1:22" x14ac:dyDescent="0.2">
      <c r="A68" s="113"/>
      <c r="B68" s="457">
        <f t="shared" si="6"/>
        <v>51</v>
      </c>
      <c r="C68" s="458">
        <f t="shared" si="2"/>
        <v>0</v>
      </c>
      <c r="D68" s="458">
        <f t="shared" si="5"/>
        <v>0</v>
      </c>
      <c r="E68" s="458">
        <f>IF(B68="","-",SUM($D$18:D68))</f>
        <v>0</v>
      </c>
      <c r="F68" s="458">
        <f t="shared" si="3"/>
        <v>0</v>
      </c>
      <c r="G68" s="458">
        <f>IF(B68="","-",SUM($F$18:F68))</f>
        <v>0</v>
      </c>
      <c r="H68" s="458">
        <f t="shared" si="4"/>
        <v>0</v>
      </c>
      <c r="I68" s="159"/>
      <c r="J68" s="113"/>
      <c r="K68" s="113"/>
      <c r="M68" s="113"/>
      <c r="N68" s="113"/>
      <c r="O68" s="113"/>
      <c r="P68" s="113"/>
      <c r="Q68" s="113"/>
      <c r="R68" s="113"/>
      <c r="S68" s="113"/>
      <c r="T68" s="113"/>
      <c r="U68" s="113"/>
      <c r="V68" s="113"/>
    </row>
    <row r="69" spans="1:22" x14ac:dyDescent="0.2">
      <c r="A69" s="113"/>
      <c r="B69" s="457">
        <f t="shared" si="6"/>
        <v>52</v>
      </c>
      <c r="C69" s="458">
        <f t="shared" si="2"/>
        <v>0</v>
      </c>
      <c r="D69" s="458">
        <f t="shared" si="5"/>
        <v>0</v>
      </c>
      <c r="E69" s="458">
        <f>IF(B69="","-",SUM($D$18:D69))</f>
        <v>0</v>
      </c>
      <c r="F69" s="458">
        <f t="shared" si="3"/>
        <v>0</v>
      </c>
      <c r="G69" s="458">
        <f>IF(B69="","-",SUM($F$18:F69))</f>
        <v>0</v>
      </c>
      <c r="H69" s="458">
        <f t="shared" si="4"/>
        <v>0</v>
      </c>
      <c r="I69" s="159"/>
      <c r="J69" s="113"/>
      <c r="K69" s="113"/>
      <c r="M69" s="113"/>
      <c r="N69" s="113"/>
      <c r="O69" s="113"/>
      <c r="P69" s="113"/>
      <c r="Q69" s="113"/>
      <c r="R69" s="113"/>
      <c r="S69" s="113"/>
      <c r="T69" s="113"/>
      <c r="U69" s="113"/>
      <c r="V69" s="113"/>
    </row>
    <row r="70" spans="1:22" x14ac:dyDescent="0.2">
      <c r="A70" s="113"/>
      <c r="B70" s="457">
        <f t="shared" si="6"/>
        <v>53</v>
      </c>
      <c r="C70" s="458">
        <f t="shared" si="2"/>
        <v>0</v>
      </c>
      <c r="D70" s="458">
        <f t="shared" si="5"/>
        <v>0</v>
      </c>
      <c r="E70" s="458">
        <f>IF(B70="","-",SUM($D$18:D70))</f>
        <v>0</v>
      </c>
      <c r="F70" s="458">
        <f t="shared" si="3"/>
        <v>0</v>
      </c>
      <c r="G70" s="458">
        <f>IF(B70="","-",SUM($F$18:F70))</f>
        <v>0</v>
      </c>
      <c r="H70" s="458">
        <f t="shared" si="4"/>
        <v>0</v>
      </c>
      <c r="I70" s="159"/>
      <c r="J70" s="113"/>
      <c r="K70" s="113"/>
      <c r="M70" s="113"/>
      <c r="N70" s="113"/>
      <c r="O70" s="113"/>
      <c r="P70" s="113"/>
      <c r="Q70" s="113"/>
      <c r="R70" s="113"/>
      <c r="S70" s="113"/>
      <c r="T70" s="113"/>
      <c r="U70" s="113"/>
      <c r="V70" s="113"/>
    </row>
    <row r="71" spans="1:22" x14ac:dyDescent="0.2">
      <c r="A71" s="113"/>
      <c r="B71" s="457">
        <f t="shared" si="6"/>
        <v>54</v>
      </c>
      <c r="C71" s="458">
        <f t="shared" si="2"/>
        <v>0</v>
      </c>
      <c r="D71" s="458">
        <f t="shared" si="5"/>
        <v>0</v>
      </c>
      <c r="E71" s="458">
        <f>IF(B71="","-",SUM($D$18:D71))</f>
        <v>0</v>
      </c>
      <c r="F71" s="458">
        <f t="shared" si="3"/>
        <v>0</v>
      </c>
      <c r="G71" s="458">
        <f>IF(B71="","-",SUM($F$18:F71))</f>
        <v>0</v>
      </c>
      <c r="H71" s="458">
        <f t="shared" si="4"/>
        <v>0</v>
      </c>
      <c r="I71" s="159"/>
      <c r="J71" s="113"/>
      <c r="K71" s="113"/>
      <c r="M71" s="113"/>
      <c r="N71" s="113"/>
      <c r="O71" s="113"/>
      <c r="P71" s="113"/>
      <c r="Q71" s="113"/>
      <c r="R71" s="113"/>
      <c r="S71" s="113"/>
      <c r="T71" s="113"/>
      <c r="U71" s="113"/>
      <c r="V71" s="113"/>
    </row>
    <row r="72" spans="1:22" x14ac:dyDescent="0.2">
      <c r="A72" s="113"/>
      <c r="B72" s="457">
        <f t="shared" si="6"/>
        <v>55</v>
      </c>
      <c r="C72" s="458">
        <f t="shared" si="2"/>
        <v>0</v>
      </c>
      <c r="D72" s="458">
        <f t="shared" si="5"/>
        <v>0</v>
      </c>
      <c r="E72" s="458">
        <f>IF(B72="","-",SUM($D$18:D72))</f>
        <v>0</v>
      </c>
      <c r="F72" s="458">
        <f t="shared" si="3"/>
        <v>0</v>
      </c>
      <c r="G72" s="458">
        <f>IF(B72="","-",SUM($F$18:F72))</f>
        <v>0</v>
      </c>
      <c r="H72" s="458">
        <f t="shared" si="4"/>
        <v>0</v>
      </c>
      <c r="I72" s="159"/>
      <c r="J72" s="113"/>
      <c r="K72" s="113"/>
      <c r="M72" s="113"/>
      <c r="N72" s="113"/>
      <c r="O72" s="113"/>
      <c r="P72" s="113"/>
      <c r="Q72" s="113"/>
      <c r="R72" s="113"/>
      <c r="S72" s="113"/>
      <c r="T72" s="113"/>
      <c r="U72" s="113"/>
      <c r="V72" s="113"/>
    </row>
    <row r="73" spans="1:22" x14ac:dyDescent="0.2">
      <c r="A73" s="113"/>
      <c r="B73" s="457">
        <f t="shared" si="6"/>
        <v>56</v>
      </c>
      <c r="C73" s="458">
        <f t="shared" si="2"/>
        <v>0</v>
      </c>
      <c r="D73" s="458">
        <f t="shared" si="5"/>
        <v>0</v>
      </c>
      <c r="E73" s="458">
        <f>IF(B73="","-",SUM($D$18:D73))</f>
        <v>0</v>
      </c>
      <c r="F73" s="458">
        <f t="shared" si="3"/>
        <v>0</v>
      </c>
      <c r="G73" s="458">
        <f>IF(B73="","-",SUM($F$18:F73))</f>
        <v>0</v>
      </c>
      <c r="H73" s="458">
        <f t="shared" si="4"/>
        <v>0</v>
      </c>
      <c r="I73" s="159"/>
      <c r="J73" s="113"/>
      <c r="K73" s="113"/>
      <c r="M73" s="113"/>
      <c r="N73" s="113"/>
      <c r="O73" s="113"/>
      <c r="P73" s="113"/>
      <c r="Q73" s="113"/>
      <c r="R73" s="113"/>
      <c r="S73" s="113"/>
      <c r="T73" s="113"/>
      <c r="U73" s="113"/>
      <c r="V73" s="113"/>
    </row>
    <row r="74" spans="1:22" x14ac:dyDescent="0.2">
      <c r="A74" s="113"/>
      <c r="B74" s="457">
        <f t="shared" si="6"/>
        <v>57</v>
      </c>
      <c r="C74" s="458">
        <f t="shared" si="2"/>
        <v>0</v>
      </c>
      <c r="D74" s="458">
        <f t="shared" si="5"/>
        <v>0</v>
      </c>
      <c r="E74" s="458">
        <f>IF(B74="","-",SUM($D$18:D74))</f>
        <v>0</v>
      </c>
      <c r="F74" s="458">
        <f t="shared" si="3"/>
        <v>0</v>
      </c>
      <c r="G74" s="458">
        <f>IF(B74="","-",SUM($F$18:F74))</f>
        <v>0</v>
      </c>
      <c r="H74" s="458">
        <f t="shared" si="4"/>
        <v>0</v>
      </c>
      <c r="I74" s="159"/>
      <c r="J74" s="113"/>
      <c r="K74" s="113"/>
      <c r="M74" s="113"/>
      <c r="N74" s="113"/>
      <c r="O74" s="113"/>
      <c r="P74" s="113"/>
      <c r="Q74" s="113"/>
      <c r="R74" s="113"/>
      <c r="S74" s="113"/>
      <c r="T74" s="113"/>
      <c r="U74" s="113"/>
      <c r="V74" s="113"/>
    </row>
    <row r="75" spans="1:22" x14ac:dyDescent="0.2">
      <c r="A75" s="113"/>
      <c r="B75" s="457">
        <f t="shared" si="6"/>
        <v>58</v>
      </c>
      <c r="C75" s="458">
        <f t="shared" si="2"/>
        <v>0</v>
      </c>
      <c r="D75" s="458">
        <f t="shared" si="5"/>
        <v>0</v>
      </c>
      <c r="E75" s="458">
        <f>IF(B75="","-",SUM($D$18:D75))</f>
        <v>0</v>
      </c>
      <c r="F75" s="458">
        <f t="shared" si="3"/>
        <v>0</v>
      </c>
      <c r="G75" s="458">
        <f>IF(B75="","-",SUM($F$18:F75))</f>
        <v>0</v>
      </c>
      <c r="H75" s="458">
        <f t="shared" si="4"/>
        <v>0</v>
      </c>
      <c r="I75" s="159"/>
      <c r="J75" s="113"/>
      <c r="K75" s="113"/>
      <c r="M75" s="113"/>
      <c r="N75" s="113"/>
      <c r="O75" s="113"/>
      <c r="P75" s="113"/>
      <c r="Q75" s="113"/>
      <c r="R75" s="113"/>
      <c r="S75" s="113"/>
      <c r="T75" s="113"/>
      <c r="U75" s="113"/>
      <c r="V75" s="113"/>
    </row>
    <row r="76" spans="1:22" x14ac:dyDescent="0.2">
      <c r="A76" s="113"/>
      <c r="B76" s="457">
        <f t="shared" si="6"/>
        <v>59</v>
      </c>
      <c r="C76" s="458">
        <f t="shared" si="2"/>
        <v>0</v>
      </c>
      <c r="D76" s="458">
        <f t="shared" si="5"/>
        <v>0</v>
      </c>
      <c r="E76" s="458">
        <f>IF(B76="","-",SUM($D$18:D76))</f>
        <v>0</v>
      </c>
      <c r="F76" s="458">
        <f t="shared" si="3"/>
        <v>0</v>
      </c>
      <c r="G76" s="458">
        <f>IF(B76="","-",SUM($F$18:F76))</f>
        <v>0</v>
      </c>
      <c r="H76" s="458">
        <f t="shared" si="4"/>
        <v>0</v>
      </c>
      <c r="I76" s="159"/>
      <c r="J76" s="113"/>
      <c r="K76" s="113"/>
      <c r="M76" s="113"/>
      <c r="N76" s="113"/>
      <c r="O76" s="113"/>
      <c r="P76" s="113"/>
      <c r="Q76" s="113"/>
      <c r="R76" s="113"/>
      <c r="S76" s="113"/>
      <c r="T76" s="113"/>
      <c r="U76" s="113"/>
      <c r="V76" s="113"/>
    </row>
    <row r="77" spans="1:22" x14ac:dyDescent="0.2">
      <c r="A77" s="113"/>
      <c r="B77" s="459">
        <f>IF(B76&gt;=$D$5*12,"",B76+1)</f>
        <v>60</v>
      </c>
      <c r="C77" s="460">
        <f t="shared" si="2"/>
        <v>0</v>
      </c>
      <c r="D77" s="460">
        <f>IF(B77="","-",$D$4/12*H76)</f>
        <v>0</v>
      </c>
      <c r="E77" s="460">
        <f>IF(B77="","-",SUM($D$18:D77))</f>
        <v>0</v>
      </c>
      <c r="F77" s="460">
        <f t="shared" si="3"/>
        <v>0</v>
      </c>
      <c r="G77" s="460">
        <f>IF(B77="","-",SUM($F$18:F77))</f>
        <v>0</v>
      </c>
      <c r="H77" s="460">
        <f t="shared" si="4"/>
        <v>0</v>
      </c>
      <c r="I77" s="10"/>
      <c r="J77" s="113"/>
      <c r="K77" s="113"/>
      <c r="M77" s="113"/>
      <c r="N77" s="113"/>
      <c r="O77" s="113"/>
      <c r="P77" s="113"/>
      <c r="Q77" s="113"/>
      <c r="R77" s="113"/>
      <c r="S77" s="113"/>
      <c r="T77" s="113"/>
      <c r="U77" s="113"/>
      <c r="V77" s="113"/>
    </row>
    <row r="78" spans="1:22" x14ac:dyDescent="0.2">
      <c r="A78" s="113"/>
      <c r="B78" s="457">
        <f t="shared" si="6"/>
        <v>61</v>
      </c>
      <c r="C78" s="458">
        <f t="shared" si="2"/>
        <v>0</v>
      </c>
      <c r="D78" s="458">
        <f t="shared" si="5"/>
        <v>0</v>
      </c>
      <c r="E78" s="458">
        <f>IF(B78="","-",SUM($D$18:D78))</f>
        <v>0</v>
      </c>
      <c r="F78" s="458">
        <f t="shared" si="3"/>
        <v>0</v>
      </c>
      <c r="G78" s="458">
        <f>IF(B78="","-",SUM($F$18:F78))</f>
        <v>0</v>
      </c>
      <c r="H78" s="458">
        <f t="shared" si="4"/>
        <v>0</v>
      </c>
      <c r="I78" s="159"/>
      <c r="J78" s="113"/>
      <c r="K78" s="113"/>
      <c r="M78" s="113"/>
      <c r="N78" s="113"/>
      <c r="O78" s="113"/>
      <c r="P78" s="113"/>
      <c r="Q78" s="113"/>
      <c r="R78" s="113"/>
      <c r="S78" s="113"/>
      <c r="T78" s="113"/>
      <c r="U78" s="113"/>
      <c r="V78" s="113"/>
    </row>
    <row r="79" spans="1:22" x14ac:dyDescent="0.2">
      <c r="A79" s="113"/>
      <c r="B79" s="457">
        <f t="shared" si="6"/>
        <v>62</v>
      </c>
      <c r="C79" s="458">
        <f t="shared" si="2"/>
        <v>0</v>
      </c>
      <c r="D79" s="458">
        <f t="shared" si="5"/>
        <v>0</v>
      </c>
      <c r="E79" s="458">
        <f>IF(B79="","-",SUM($D$18:D79))</f>
        <v>0</v>
      </c>
      <c r="F79" s="458">
        <f t="shared" si="3"/>
        <v>0</v>
      </c>
      <c r="G79" s="458">
        <f>IF(B79="","-",SUM($F$18:F79))</f>
        <v>0</v>
      </c>
      <c r="H79" s="458">
        <f t="shared" si="4"/>
        <v>0</v>
      </c>
      <c r="I79" s="159"/>
      <c r="J79" s="113"/>
      <c r="K79" s="113"/>
      <c r="M79" s="113"/>
      <c r="N79" s="113"/>
      <c r="O79" s="113"/>
      <c r="P79" s="113"/>
      <c r="Q79" s="113"/>
      <c r="R79" s="113"/>
      <c r="S79" s="113"/>
      <c r="T79" s="113"/>
      <c r="U79" s="113"/>
      <c r="V79" s="113"/>
    </row>
    <row r="80" spans="1:22" x14ac:dyDescent="0.2">
      <c r="A80" s="113"/>
      <c r="B80" s="457">
        <f t="shared" si="6"/>
        <v>63</v>
      </c>
      <c r="C80" s="458">
        <f t="shared" si="2"/>
        <v>0</v>
      </c>
      <c r="D80" s="458">
        <f t="shared" si="5"/>
        <v>0</v>
      </c>
      <c r="E80" s="458">
        <f>IF(B80="","-",SUM($D$18:D80))</f>
        <v>0</v>
      </c>
      <c r="F80" s="458">
        <f t="shared" si="3"/>
        <v>0</v>
      </c>
      <c r="G80" s="458">
        <f>IF(B80="","-",SUM($F$18:F80))</f>
        <v>0</v>
      </c>
      <c r="H80" s="458">
        <f t="shared" si="4"/>
        <v>0</v>
      </c>
      <c r="I80" s="159"/>
      <c r="J80" s="113"/>
      <c r="K80" s="113"/>
      <c r="M80" s="113"/>
      <c r="N80" s="113"/>
      <c r="O80" s="113"/>
      <c r="P80" s="113"/>
      <c r="Q80" s="113"/>
      <c r="R80" s="113"/>
      <c r="S80" s="113"/>
      <c r="T80" s="113"/>
      <c r="U80" s="113"/>
      <c r="V80" s="113"/>
    </row>
    <row r="81" spans="1:22" x14ac:dyDescent="0.2">
      <c r="A81" s="113"/>
      <c r="B81" s="457">
        <f t="shared" si="6"/>
        <v>64</v>
      </c>
      <c r="C81" s="458">
        <f t="shared" si="2"/>
        <v>0</v>
      </c>
      <c r="D81" s="458">
        <f t="shared" si="5"/>
        <v>0</v>
      </c>
      <c r="E81" s="458">
        <f>IF(B81="","-",SUM($D$18:D81))</f>
        <v>0</v>
      </c>
      <c r="F81" s="458">
        <f t="shared" si="3"/>
        <v>0</v>
      </c>
      <c r="G81" s="458">
        <f>IF(B81="","-",SUM($F$18:F81))</f>
        <v>0</v>
      </c>
      <c r="H81" s="458">
        <f t="shared" si="4"/>
        <v>0</v>
      </c>
      <c r="I81" s="159"/>
      <c r="J81" s="113"/>
      <c r="K81" s="113"/>
      <c r="M81" s="113"/>
      <c r="N81" s="113"/>
      <c r="O81" s="113"/>
      <c r="P81" s="113"/>
      <c r="Q81" s="113"/>
      <c r="R81" s="113"/>
      <c r="S81" s="113"/>
      <c r="T81" s="113"/>
      <c r="U81" s="113"/>
      <c r="V81" s="113"/>
    </row>
    <row r="82" spans="1:22" x14ac:dyDescent="0.2">
      <c r="A82" s="113"/>
      <c r="B82" s="457">
        <f t="shared" si="6"/>
        <v>65</v>
      </c>
      <c r="C82" s="458">
        <f t="shared" ref="C82:C145" si="7">IF(B82="","-",IF(B82&lt;=$D$6,D82,  $D$7))</f>
        <v>0</v>
      </c>
      <c r="D82" s="458">
        <f t="shared" si="5"/>
        <v>0</v>
      </c>
      <c r="E82" s="458">
        <f>IF(B82="","-",SUM($D$18:D82))</f>
        <v>0</v>
      </c>
      <c r="F82" s="458">
        <f t="shared" ref="F82:F145" si="8">IF(B82="","-",C82-D82)</f>
        <v>0</v>
      </c>
      <c r="G82" s="458">
        <f>IF(B82="","-",SUM($F$18:F82))</f>
        <v>0</v>
      </c>
      <c r="H82" s="458">
        <f t="shared" ref="H82:H145" si="9">IF(B82="","-",H81-F82)</f>
        <v>0</v>
      </c>
      <c r="I82" s="159"/>
      <c r="J82" s="113"/>
      <c r="K82" s="113"/>
      <c r="M82" s="113"/>
      <c r="N82" s="113"/>
      <c r="O82" s="113"/>
      <c r="P82" s="113"/>
      <c r="Q82" s="113"/>
      <c r="R82" s="113"/>
      <c r="S82" s="113"/>
      <c r="T82" s="113"/>
      <c r="U82" s="113"/>
      <c r="V82" s="113"/>
    </row>
    <row r="83" spans="1:22" x14ac:dyDescent="0.2">
      <c r="A83" s="113"/>
      <c r="B83" s="457">
        <f t="shared" ref="B83:B146" si="10">IF(B82&gt;=$D$5*12,"",B82+1)</f>
        <v>66</v>
      </c>
      <c r="C83" s="458">
        <f t="shared" si="7"/>
        <v>0</v>
      </c>
      <c r="D83" s="458">
        <f t="shared" ref="D83:D146" si="11">IF(B83="","-",$D$4/12*H82)</f>
        <v>0</v>
      </c>
      <c r="E83" s="458">
        <f>IF(B83="","-",SUM($D$18:D83))</f>
        <v>0</v>
      </c>
      <c r="F83" s="458">
        <f t="shared" si="8"/>
        <v>0</v>
      </c>
      <c r="G83" s="458">
        <f>IF(B83="","-",SUM($F$18:F83))</f>
        <v>0</v>
      </c>
      <c r="H83" s="458">
        <f t="shared" si="9"/>
        <v>0</v>
      </c>
      <c r="I83" s="159"/>
      <c r="J83" s="113"/>
      <c r="K83" s="113"/>
      <c r="M83" s="113"/>
      <c r="N83" s="113"/>
      <c r="O83" s="113"/>
      <c r="P83" s="113"/>
      <c r="Q83" s="113"/>
      <c r="R83" s="113"/>
      <c r="S83" s="113"/>
      <c r="T83" s="113"/>
      <c r="U83" s="113"/>
      <c r="V83" s="113"/>
    </row>
    <row r="84" spans="1:22" x14ac:dyDescent="0.2">
      <c r="A84" s="113"/>
      <c r="B84" s="457">
        <f t="shared" si="10"/>
        <v>67</v>
      </c>
      <c r="C84" s="458">
        <f t="shared" si="7"/>
        <v>0</v>
      </c>
      <c r="D84" s="458">
        <f t="shared" si="11"/>
        <v>0</v>
      </c>
      <c r="E84" s="458">
        <f>IF(B84="","-",SUM($D$18:D84))</f>
        <v>0</v>
      </c>
      <c r="F84" s="458">
        <f t="shared" si="8"/>
        <v>0</v>
      </c>
      <c r="G84" s="458">
        <f>IF(B84="","-",SUM($F$18:F84))</f>
        <v>0</v>
      </c>
      <c r="H84" s="458">
        <f t="shared" si="9"/>
        <v>0</v>
      </c>
      <c r="I84" s="159"/>
      <c r="J84" s="113"/>
      <c r="K84" s="113"/>
      <c r="M84" s="113"/>
      <c r="N84" s="113"/>
      <c r="O84" s="113"/>
      <c r="P84" s="113"/>
      <c r="Q84" s="113"/>
      <c r="R84" s="113"/>
      <c r="S84" s="113"/>
      <c r="T84" s="113"/>
      <c r="U84" s="113"/>
      <c r="V84" s="113"/>
    </row>
    <row r="85" spans="1:22" x14ac:dyDescent="0.2">
      <c r="A85" s="113"/>
      <c r="B85" s="457">
        <f t="shared" si="10"/>
        <v>68</v>
      </c>
      <c r="C85" s="458">
        <f t="shared" si="7"/>
        <v>0</v>
      </c>
      <c r="D85" s="458">
        <f t="shared" si="11"/>
        <v>0</v>
      </c>
      <c r="E85" s="458">
        <f>IF(B85="","-",SUM($D$18:D85))</f>
        <v>0</v>
      </c>
      <c r="F85" s="458">
        <f t="shared" si="8"/>
        <v>0</v>
      </c>
      <c r="G85" s="458">
        <f>IF(B85="","-",SUM($F$18:F85))</f>
        <v>0</v>
      </c>
      <c r="H85" s="458">
        <f t="shared" si="9"/>
        <v>0</v>
      </c>
      <c r="I85" s="159"/>
      <c r="J85" s="113"/>
      <c r="K85" s="113"/>
      <c r="M85" s="113"/>
      <c r="N85" s="113"/>
      <c r="O85" s="113"/>
      <c r="P85" s="113"/>
      <c r="Q85" s="113"/>
      <c r="R85" s="113"/>
      <c r="S85" s="113"/>
      <c r="T85" s="113"/>
      <c r="U85" s="113"/>
      <c r="V85" s="113"/>
    </row>
    <row r="86" spans="1:22" x14ac:dyDescent="0.2">
      <c r="A86" s="113"/>
      <c r="B86" s="457">
        <f t="shared" si="10"/>
        <v>69</v>
      </c>
      <c r="C86" s="458">
        <f t="shared" si="7"/>
        <v>0</v>
      </c>
      <c r="D86" s="458">
        <f t="shared" si="11"/>
        <v>0</v>
      </c>
      <c r="E86" s="458">
        <f>IF(B86="","-",SUM($D$18:D86))</f>
        <v>0</v>
      </c>
      <c r="F86" s="458">
        <f t="shared" si="8"/>
        <v>0</v>
      </c>
      <c r="G86" s="458">
        <f>IF(B86="","-",SUM($F$18:F86))</f>
        <v>0</v>
      </c>
      <c r="H86" s="458">
        <f t="shared" si="9"/>
        <v>0</v>
      </c>
      <c r="I86" s="159"/>
      <c r="J86" s="113"/>
      <c r="K86" s="113"/>
      <c r="M86" s="113"/>
      <c r="N86" s="113"/>
      <c r="O86" s="113"/>
      <c r="P86" s="113"/>
      <c r="Q86" s="113"/>
      <c r="R86" s="113"/>
      <c r="S86" s="113"/>
      <c r="T86" s="113"/>
      <c r="U86" s="113"/>
      <c r="V86" s="113"/>
    </row>
    <row r="87" spans="1:22" x14ac:dyDescent="0.2">
      <c r="A87" s="113"/>
      <c r="B87" s="457">
        <f t="shared" si="10"/>
        <v>70</v>
      </c>
      <c r="C87" s="458">
        <f t="shared" si="7"/>
        <v>0</v>
      </c>
      <c r="D87" s="458">
        <f t="shared" si="11"/>
        <v>0</v>
      </c>
      <c r="E87" s="458">
        <f>IF(B87="","-",SUM($D$18:D87))</f>
        <v>0</v>
      </c>
      <c r="F87" s="458">
        <f t="shared" si="8"/>
        <v>0</v>
      </c>
      <c r="G87" s="458">
        <f>IF(B87="","-",SUM($F$18:F87))</f>
        <v>0</v>
      </c>
      <c r="H87" s="458">
        <f t="shared" si="9"/>
        <v>0</v>
      </c>
      <c r="I87" s="159"/>
      <c r="J87" s="113"/>
      <c r="K87" s="113"/>
      <c r="M87" s="113"/>
      <c r="N87" s="113"/>
      <c r="O87" s="113"/>
      <c r="P87" s="113"/>
      <c r="Q87" s="113"/>
      <c r="R87" s="113"/>
      <c r="S87" s="113"/>
      <c r="T87" s="113"/>
      <c r="U87" s="113"/>
      <c r="V87" s="113"/>
    </row>
    <row r="88" spans="1:22" x14ac:dyDescent="0.2">
      <c r="A88" s="113"/>
      <c r="B88" s="457">
        <f t="shared" si="10"/>
        <v>71</v>
      </c>
      <c r="C88" s="458">
        <f t="shared" si="7"/>
        <v>0</v>
      </c>
      <c r="D88" s="458">
        <f t="shared" si="11"/>
        <v>0</v>
      </c>
      <c r="E88" s="458">
        <f>IF(B88="","-",SUM($D$18:D88))</f>
        <v>0</v>
      </c>
      <c r="F88" s="458">
        <f t="shared" si="8"/>
        <v>0</v>
      </c>
      <c r="G88" s="458">
        <f>IF(B88="","-",SUM($F$18:F88))</f>
        <v>0</v>
      </c>
      <c r="H88" s="458">
        <f t="shared" si="9"/>
        <v>0</v>
      </c>
      <c r="I88" s="159"/>
      <c r="J88" s="113"/>
      <c r="K88" s="113"/>
      <c r="M88" s="113"/>
      <c r="N88" s="113"/>
      <c r="O88" s="113"/>
      <c r="P88" s="113"/>
      <c r="Q88" s="113"/>
      <c r="R88" s="113"/>
      <c r="S88" s="113"/>
      <c r="T88" s="113"/>
      <c r="U88" s="113"/>
      <c r="V88" s="113"/>
    </row>
    <row r="89" spans="1:22" x14ac:dyDescent="0.2">
      <c r="A89" s="113"/>
      <c r="B89" s="459">
        <f t="shared" si="10"/>
        <v>72</v>
      </c>
      <c r="C89" s="460">
        <f t="shared" si="7"/>
        <v>0</v>
      </c>
      <c r="D89" s="460">
        <f t="shared" si="11"/>
        <v>0</v>
      </c>
      <c r="E89" s="460">
        <f>IF(B89="","-",SUM($D$18:D89))</f>
        <v>0</v>
      </c>
      <c r="F89" s="460">
        <f t="shared" si="8"/>
        <v>0</v>
      </c>
      <c r="G89" s="460">
        <f>IF(B89="","-",SUM($F$18:F89))</f>
        <v>0</v>
      </c>
      <c r="H89" s="460">
        <f t="shared" si="9"/>
        <v>0</v>
      </c>
      <c r="I89" s="10"/>
      <c r="J89" s="113"/>
      <c r="K89" s="113"/>
      <c r="M89" s="113"/>
      <c r="N89" s="113"/>
      <c r="O89" s="113"/>
      <c r="P89" s="113"/>
      <c r="Q89" s="113"/>
      <c r="R89" s="113"/>
      <c r="S89" s="113"/>
      <c r="T89" s="113"/>
      <c r="U89" s="113"/>
      <c r="V89" s="113"/>
    </row>
    <row r="90" spans="1:22" x14ac:dyDescent="0.2">
      <c r="A90" s="113"/>
      <c r="B90" s="457">
        <f t="shared" si="10"/>
        <v>73</v>
      </c>
      <c r="C90" s="458">
        <f t="shared" si="7"/>
        <v>0</v>
      </c>
      <c r="D90" s="458">
        <f t="shared" si="11"/>
        <v>0</v>
      </c>
      <c r="E90" s="458">
        <f>IF(B90="","-",SUM($D$18:D90))</f>
        <v>0</v>
      </c>
      <c r="F90" s="458">
        <f t="shared" si="8"/>
        <v>0</v>
      </c>
      <c r="G90" s="458">
        <f>IF(B90="","-",SUM($F$18:F90))</f>
        <v>0</v>
      </c>
      <c r="H90" s="458">
        <f t="shared" si="9"/>
        <v>0</v>
      </c>
      <c r="I90" s="159"/>
      <c r="J90" s="113"/>
      <c r="K90" s="113"/>
      <c r="M90" s="113"/>
      <c r="N90" s="113"/>
      <c r="O90" s="113"/>
      <c r="P90" s="113"/>
      <c r="Q90" s="113"/>
      <c r="R90" s="113"/>
      <c r="S90" s="113"/>
      <c r="T90" s="113"/>
      <c r="U90" s="113"/>
      <c r="V90" s="113"/>
    </row>
    <row r="91" spans="1:22" x14ac:dyDescent="0.2">
      <c r="A91" s="113"/>
      <c r="B91" s="457">
        <f t="shared" si="10"/>
        <v>74</v>
      </c>
      <c r="C91" s="458">
        <f t="shared" si="7"/>
        <v>0</v>
      </c>
      <c r="D91" s="458">
        <f t="shared" si="11"/>
        <v>0</v>
      </c>
      <c r="E91" s="458">
        <f>IF(B91="","-",SUM($D$18:D91))</f>
        <v>0</v>
      </c>
      <c r="F91" s="458">
        <f t="shared" si="8"/>
        <v>0</v>
      </c>
      <c r="G91" s="458">
        <f>IF(B91="","-",SUM($F$18:F91))</f>
        <v>0</v>
      </c>
      <c r="H91" s="458">
        <f t="shared" si="9"/>
        <v>0</v>
      </c>
      <c r="I91" s="159"/>
      <c r="J91" s="113"/>
      <c r="K91" s="113"/>
      <c r="M91" s="113"/>
      <c r="N91" s="113"/>
      <c r="O91" s="113"/>
      <c r="P91" s="113"/>
      <c r="Q91" s="113"/>
      <c r="R91" s="113"/>
      <c r="S91" s="113"/>
      <c r="T91" s="113"/>
      <c r="U91" s="113"/>
      <c r="V91" s="113"/>
    </row>
    <row r="92" spans="1:22" x14ac:dyDescent="0.2">
      <c r="A92" s="113"/>
      <c r="B92" s="457">
        <f t="shared" si="10"/>
        <v>75</v>
      </c>
      <c r="C92" s="458">
        <f t="shared" si="7"/>
        <v>0</v>
      </c>
      <c r="D92" s="458">
        <f t="shared" si="11"/>
        <v>0</v>
      </c>
      <c r="E92" s="458">
        <f>IF(B92="","-",SUM($D$18:D92))</f>
        <v>0</v>
      </c>
      <c r="F92" s="458">
        <f t="shared" si="8"/>
        <v>0</v>
      </c>
      <c r="G92" s="458">
        <f>IF(B92="","-",SUM($F$18:F92))</f>
        <v>0</v>
      </c>
      <c r="H92" s="458">
        <f t="shared" si="9"/>
        <v>0</v>
      </c>
      <c r="I92" s="159"/>
      <c r="J92" s="113"/>
      <c r="K92" s="113"/>
      <c r="M92" s="113"/>
      <c r="N92" s="113"/>
      <c r="O92" s="113"/>
      <c r="P92" s="113"/>
      <c r="Q92" s="113"/>
      <c r="R92" s="113"/>
      <c r="S92" s="113"/>
      <c r="T92" s="113"/>
      <c r="U92" s="113"/>
      <c r="V92" s="113"/>
    </row>
    <row r="93" spans="1:22" x14ac:dyDescent="0.2">
      <c r="A93" s="113"/>
      <c r="B93" s="457">
        <f t="shared" si="10"/>
        <v>76</v>
      </c>
      <c r="C93" s="458">
        <f t="shared" si="7"/>
        <v>0</v>
      </c>
      <c r="D93" s="458">
        <f t="shared" si="11"/>
        <v>0</v>
      </c>
      <c r="E93" s="458">
        <f>IF(B93="","-",SUM($D$18:D93))</f>
        <v>0</v>
      </c>
      <c r="F93" s="458">
        <f t="shared" si="8"/>
        <v>0</v>
      </c>
      <c r="G93" s="458">
        <f>IF(B93="","-",SUM($F$18:F93))</f>
        <v>0</v>
      </c>
      <c r="H93" s="458">
        <f t="shared" si="9"/>
        <v>0</v>
      </c>
      <c r="I93" s="159"/>
      <c r="J93" s="113"/>
      <c r="K93" s="113"/>
      <c r="M93" s="113"/>
      <c r="N93" s="113"/>
      <c r="O93" s="113"/>
      <c r="P93" s="113"/>
      <c r="Q93" s="113"/>
      <c r="R93" s="113"/>
      <c r="S93" s="113"/>
      <c r="T93" s="113"/>
      <c r="U93" s="113"/>
      <c r="V93" s="113"/>
    </row>
    <row r="94" spans="1:22" x14ac:dyDescent="0.2">
      <c r="A94" s="113"/>
      <c r="B94" s="457">
        <f t="shared" si="10"/>
        <v>77</v>
      </c>
      <c r="C94" s="458">
        <f t="shared" si="7"/>
        <v>0</v>
      </c>
      <c r="D94" s="458">
        <f t="shared" si="11"/>
        <v>0</v>
      </c>
      <c r="E94" s="458">
        <f>IF(B94="","-",SUM($D$18:D94))</f>
        <v>0</v>
      </c>
      <c r="F94" s="458">
        <f t="shared" si="8"/>
        <v>0</v>
      </c>
      <c r="G94" s="458">
        <f>IF(B94="","-",SUM($F$18:F94))</f>
        <v>0</v>
      </c>
      <c r="H94" s="458">
        <f t="shared" si="9"/>
        <v>0</v>
      </c>
      <c r="I94" s="159"/>
      <c r="J94" s="113"/>
      <c r="K94" s="113"/>
      <c r="M94" s="113"/>
      <c r="N94" s="113"/>
      <c r="O94" s="113"/>
      <c r="P94" s="113"/>
      <c r="Q94" s="113"/>
      <c r="R94" s="113"/>
      <c r="S94" s="113"/>
      <c r="T94" s="113"/>
      <c r="U94" s="113"/>
      <c r="V94" s="113"/>
    </row>
    <row r="95" spans="1:22" x14ac:dyDescent="0.2">
      <c r="A95" s="113"/>
      <c r="B95" s="457">
        <f t="shared" si="10"/>
        <v>78</v>
      </c>
      <c r="C95" s="458">
        <f t="shared" si="7"/>
        <v>0</v>
      </c>
      <c r="D95" s="458">
        <f t="shared" si="11"/>
        <v>0</v>
      </c>
      <c r="E95" s="458">
        <f>IF(B95="","-",SUM($D$18:D95))</f>
        <v>0</v>
      </c>
      <c r="F95" s="458">
        <f t="shared" si="8"/>
        <v>0</v>
      </c>
      <c r="G95" s="458">
        <f>IF(B95="","-",SUM($F$18:F95))</f>
        <v>0</v>
      </c>
      <c r="H95" s="458">
        <f t="shared" si="9"/>
        <v>0</v>
      </c>
      <c r="I95" s="159"/>
      <c r="J95" s="113"/>
      <c r="K95" s="113"/>
      <c r="M95" s="113"/>
      <c r="N95" s="113"/>
      <c r="O95" s="113"/>
      <c r="P95" s="113"/>
      <c r="Q95" s="113"/>
      <c r="R95" s="113"/>
      <c r="S95" s="113"/>
      <c r="T95" s="113"/>
      <c r="U95" s="113"/>
      <c r="V95" s="113"/>
    </row>
    <row r="96" spans="1:22" x14ac:dyDescent="0.2">
      <c r="A96" s="113"/>
      <c r="B96" s="457">
        <f t="shared" si="10"/>
        <v>79</v>
      </c>
      <c r="C96" s="458">
        <f t="shared" si="7"/>
        <v>0</v>
      </c>
      <c r="D96" s="458">
        <f t="shared" si="11"/>
        <v>0</v>
      </c>
      <c r="E96" s="458">
        <f>IF(B96="","-",SUM($D$18:D96))</f>
        <v>0</v>
      </c>
      <c r="F96" s="458">
        <f t="shared" si="8"/>
        <v>0</v>
      </c>
      <c r="G96" s="458">
        <f>IF(B96="","-",SUM($F$18:F96))</f>
        <v>0</v>
      </c>
      <c r="H96" s="458">
        <f t="shared" si="9"/>
        <v>0</v>
      </c>
      <c r="I96" s="159"/>
      <c r="J96" s="113"/>
      <c r="K96" s="113"/>
      <c r="M96" s="113"/>
      <c r="N96" s="113"/>
      <c r="O96" s="113"/>
      <c r="P96" s="113"/>
      <c r="Q96" s="113"/>
      <c r="R96" s="113"/>
      <c r="S96" s="113"/>
      <c r="T96" s="113"/>
      <c r="U96" s="113"/>
      <c r="V96" s="113"/>
    </row>
    <row r="97" spans="1:22" x14ac:dyDescent="0.2">
      <c r="A97" s="113"/>
      <c r="B97" s="457">
        <f t="shared" si="10"/>
        <v>80</v>
      </c>
      <c r="C97" s="458">
        <f t="shared" si="7"/>
        <v>0</v>
      </c>
      <c r="D97" s="458">
        <f t="shared" si="11"/>
        <v>0</v>
      </c>
      <c r="E97" s="458">
        <f>IF(B97="","-",SUM($D$18:D97))</f>
        <v>0</v>
      </c>
      <c r="F97" s="458">
        <f t="shared" si="8"/>
        <v>0</v>
      </c>
      <c r="G97" s="458">
        <f>IF(B97="","-",SUM($F$18:F97))</f>
        <v>0</v>
      </c>
      <c r="H97" s="458">
        <f t="shared" si="9"/>
        <v>0</v>
      </c>
      <c r="I97" s="159"/>
      <c r="J97" s="113"/>
      <c r="K97" s="113"/>
      <c r="M97" s="113"/>
      <c r="N97" s="113"/>
      <c r="O97" s="113"/>
      <c r="P97" s="113"/>
      <c r="Q97" s="113"/>
      <c r="R97" s="113"/>
      <c r="S97" s="113"/>
      <c r="T97" s="113"/>
      <c r="U97" s="113"/>
      <c r="V97" s="113"/>
    </row>
    <row r="98" spans="1:22" x14ac:dyDescent="0.2">
      <c r="A98" s="113"/>
      <c r="B98" s="457">
        <f t="shared" si="10"/>
        <v>81</v>
      </c>
      <c r="C98" s="458">
        <f t="shared" si="7"/>
        <v>0</v>
      </c>
      <c r="D98" s="458">
        <f t="shared" si="11"/>
        <v>0</v>
      </c>
      <c r="E98" s="458">
        <f>IF(B98="","-",SUM($D$18:D98))</f>
        <v>0</v>
      </c>
      <c r="F98" s="458">
        <f t="shared" si="8"/>
        <v>0</v>
      </c>
      <c r="G98" s="458">
        <f>IF(B98="","-",SUM($F$18:F98))</f>
        <v>0</v>
      </c>
      <c r="H98" s="458">
        <f t="shared" si="9"/>
        <v>0</v>
      </c>
      <c r="I98" s="159"/>
      <c r="J98" s="113"/>
      <c r="K98" s="113"/>
      <c r="M98" s="113"/>
      <c r="N98" s="113"/>
      <c r="O98" s="113"/>
      <c r="P98" s="113"/>
      <c r="Q98" s="113"/>
      <c r="R98" s="113"/>
      <c r="S98" s="113"/>
      <c r="T98" s="113"/>
      <c r="U98" s="113"/>
      <c r="V98" s="113"/>
    </row>
    <row r="99" spans="1:22" x14ac:dyDescent="0.2">
      <c r="A99" s="113"/>
      <c r="B99" s="457">
        <f t="shared" si="10"/>
        <v>82</v>
      </c>
      <c r="C99" s="458">
        <f t="shared" si="7"/>
        <v>0</v>
      </c>
      <c r="D99" s="458">
        <f t="shared" si="11"/>
        <v>0</v>
      </c>
      <c r="E99" s="458">
        <f>IF(B99="","-",SUM($D$18:D99))</f>
        <v>0</v>
      </c>
      <c r="F99" s="458">
        <f t="shared" si="8"/>
        <v>0</v>
      </c>
      <c r="G99" s="458">
        <f>IF(B99="","-",SUM($F$18:F99))</f>
        <v>0</v>
      </c>
      <c r="H99" s="458">
        <f t="shared" si="9"/>
        <v>0</v>
      </c>
      <c r="I99" s="159"/>
      <c r="J99" s="113"/>
      <c r="K99" s="113"/>
      <c r="M99" s="113"/>
      <c r="N99" s="113"/>
      <c r="O99" s="113"/>
      <c r="P99" s="113"/>
      <c r="Q99" s="113"/>
      <c r="R99" s="113"/>
      <c r="S99" s="113"/>
      <c r="T99" s="113"/>
      <c r="U99" s="113"/>
      <c r="V99" s="113"/>
    </row>
    <row r="100" spans="1:22" x14ac:dyDescent="0.2">
      <c r="A100" s="113"/>
      <c r="B100" s="457">
        <f t="shared" si="10"/>
        <v>83</v>
      </c>
      <c r="C100" s="458">
        <f t="shared" si="7"/>
        <v>0</v>
      </c>
      <c r="D100" s="458">
        <f t="shared" si="11"/>
        <v>0</v>
      </c>
      <c r="E100" s="458">
        <f>IF(B100="","-",SUM($D$18:D100))</f>
        <v>0</v>
      </c>
      <c r="F100" s="458">
        <f t="shared" si="8"/>
        <v>0</v>
      </c>
      <c r="G100" s="458">
        <f>IF(B100="","-",SUM($F$18:F100))</f>
        <v>0</v>
      </c>
      <c r="H100" s="458">
        <f t="shared" si="9"/>
        <v>0</v>
      </c>
      <c r="I100" s="159"/>
      <c r="J100" s="113"/>
      <c r="K100" s="113"/>
      <c r="M100" s="113"/>
      <c r="N100" s="113"/>
      <c r="O100" s="113"/>
      <c r="P100" s="113"/>
      <c r="Q100" s="113"/>
      <c r="R100" s="113"/>
      <c r="S100" s="113"/>
      <c r="T100" s="113"/>
      <c r="U100" s="113"/>
      <c r="V100" s="113"/>
    </row>
    <row r="101" spans="1:22" x14ac:dyDescent="0.2">
      <c r="A101" s="113"/>
      <c r="B101" s="459">
        <f t="shared" si="10"/>
        <v>84</v>
      </c>
      <c r="C101" s="460">
        <f t="shared" si="7"/>
        <v>0</v>
      </c>
      <c r="D101" s="460">
        <f t="shared" si="11"/>
        <v>0</v>
      </c>
      <c r="E101" s="460">
        <f>IF(B101="","-",SUM($D$18:D101))</f>
        <v>0</v>
      </c>
      <c r="F101" s="460">
        <f t="shared" si="8"/>
        <v>0</v>
      </c>
      <c r="G101" s="460">
        <f>IF(B101="","-",SUM($F$18:F101))</f>
        <v>0</v>
      </c>
      <c r="H101" s="460">
        <f t="shared" si="9"/>
        <v>0</v>
      </c>
      <c r="I101" s="10"/>
      <c r="J101" s="113"/>
      <c r="K101" s="113"/>
      <c r="M101" s="113"/>
      <c r="N101" s="113"/>
      <c r="O101" s="113"/>
      <c r="P101" s="113"/>
      <c r="Q101" s="113"/>
      <c r="R101" s="113"/>
      <c r="S101" s="113"/>
      <c r="T101" s="113"/>
      <c r="U101" s="113"/>
      <c r="V101" s="113"/>
    </row>
    <row r="102" spans="1:22" x14ac:dyDescent="0.2">
      <c r="A102" s="113"/>
      <c r="B102" s="457">
        <f t="shared" si="10"/>
        <v>85</v>
      </c>
      <c r="C102" s="458">
        <f t="shared" si="7"/>
        <v>0</v>
      </c>
      <c r="D102" s="458">
        <f t="shared" si="11"/>
        <v>0</v>
      </c>
      <c r="E102" s="458">
        <f>IF(B102="","-",SUM($D$18:D102))</f>
        <v>0</v>
      </c>
      <c r="F102" s="458">
        <f t="shared" si="8"/>
        <v>0</v>
      </c>
      <c r="G102" s="458">
        <f>IF(B102="","-",SUM($F$18:F102))</f>
        <v>0</v>
      </c>
      <c r="H102" s="458">
        <f t="shared" si="9"/>
        <v>0</v>
      </c>
      <c r="I102" s="159"/>
      <c r="J102" s="113"/>
      <c r="K102" s="113"/>
      <c r="M102" s="113"/>
      <c r="N102" s="113"/>
      <c r="O102" s="113"/>
      <c r="P102" s="113"/>
      <c r="Q102" s="113"/>
      <c r="R102" s="113"/>
      <c r="S102" s="113"/>
      <c r="T102" s="113"/>
      <c r="U102" s="113"/>
      <c r="V102" s="113"/>
    </row>
    <row r="103" spans="1:22" x14ac:dyDescent="0.2">
      <c r="A103" s="113"/>
      <c r="B103" s="457">
        <f t="shared" si="10"/>
        <v>86</v>
      </c>
      <c r="C103" s="458">
        <f t="shared" si="7"/>
        <v>0</v>
      </c>
      <c r="D103" s="458">
        <f t="shared" si="11"/>
        <v>0</v>
      </c>
      <c r="E103" s="458">
        <f>IF(B103="","-",SUM($D$18:D103))</f>
        <v>0</v>
      </c>
      <c r="F103" s="458">
        <f t="shared" si="8"/>
        <v>0</v>
      </c>
      <c r="G103" s="458">
        <f>IF(B103="","-",SUM($F$18:F103))</f>
        <v>0</v>
      </c>
      <c r="H103" s="458">
        <f t="shared" si="9"/>
        <v>0</v>
      </c>
      <c r="I103" s="159"/>
      <c r="J103" s="113"/>
      <c r="K103" s="113"/>
      <c r="M103" s="113"/>
      <c r="N103" s="113"/>
      <c r="O103" s="113"/>
      <c r="P103" s="113"/>
      <c r="Q103" s="113"/>
      <c r="R103" s="113"/>
      <c r="S103" s="113"/>
      <c r="T103" s="113"/>
      <c r="U103" s="113"/>
      <c r="V103" s="113"/>
    </row>
    <row r="104" spans="1:22" x14ac:dyDescent="0.2">
      <c r="A104" s="113"/>
      <c r="B104" s="457">
        <f t="shared" si="10"/>
        <v>87</v>
      </c>
      <c r="C104" s="458">
        <f t="shared" si="7"/>
        <v>0</v>
      </c>
      <c r="D104" s="458">
        <f t="shared" si="11"/>
        <v>0</v>
      </c>
      <c r="E104" s="458">
        <f>IF(B104="","-",SUM($D$18:D104))</f>
        <v>0</v>
      </c>
      <c r="F104" s="458">
        <f t="shared" si="8"/>
        <v>0</v>
      </c>
      <c r="G104" s="458">
        <f>IF(B104="","-",SUM($F$18:F104))</f>
        <v>0</v>
      </c>
      <c r="H104" s="458">
        <f t="shared" si="9"/>
        <v>0</v>
      </c>
      <c r="I104" s="159"/>
      <c r="J104" s="113"/>
      <c r="K104" s="113"/>
      <c r="M104" s="113"/>
      <c r="N104" s="113"/>
      <c r="O104" s="113"/>
      <c r="P104" s="113"/>
      <c r="Q104" s="113"/>
      <c r="R104" s="113"/>
      <c r="S104" s="113"/>
      <c r="T104" s="113"/>
      <c r="U104" s="113"/>
      <c r="V104" s="113"/>
    </row>
    <row r="105" spans="1:22" x14ac:dyDescent="0.2">
      <c r="A105" s="113"/>
      <c r="B105" s="457">
        <f t="shared" si="10"/>
        <v>88</v>
      </c>
      <c r="C105" s="458">
        <f t="shared" si="7"/>
        <v>0</v>
      </c>
      <c r="D105" s="458">
        <f t="shared" si="11"/>
        <v>0</v>
      </c>
      <c r="E105" s="458">
        <f>IF(B105="","-",SUM($D$18:D105))</f>
        <v>0</v>
      </c>
      <c r="F105" s="458">
        <f t="shared" si="8"/>
        <v>0</v>
      </c>
      <c r="G105" s="458">
        <f>IF(B105="","-",SUM($F$18:F105))</f>
        <v>0</v>
      </c>
      <c r="H105" s="458">
        <f t="shared" si="9"/>
        <v>0</v>
      </c>
      <c r="I105" s="159"/>
      <c r="J105" s="113"/>
      <c r="K105" s="113"/>
      <c r="M105" s="113"/>
      <c r="N105" s="113"/>
      <c r="O105" s="113"/>
      <c r="P105" s="113"/>
      <c r="Q105" s="113"/>
      <c r="R105" s="113"/>
      <c r="S105" s="113"/>
      <c r="T105" s="113"/>
      <c r="U105" s="113"/>
      <c r="V105" s="113"/>
    </row>
    <row r="106" spans="1:22" x14ac:dyDescent="0.2">
      <c r="A106" s="113"/>
      <c r="B106" s="457">
        <f t="shared" si="10"/>
        <v>89</v>
      </c>
      <c r="C106" s="458">
        <f t="shared" si="7"/>
        <v>0</v>
      </c>
      <c r="D106" s="458">
        <f t="shared" si="11"/>
        <v>0</v>
      </c>
      <c r="E106" s="458">
        <f>IF(B106="","-",SUM($D$18:D106))</f>
        <v>0</v>
      </c>
      <c r="F106" s="458">
        <f t="shared" si="8"/>
        <v>0</v>
      </c>
      <c r="G106" s="458">
        <f>IF(B106="","-",SUM($F$18:F106))</f>
        <v>0</v>
      </c>
      <c r="H106" s="458">
        <f t="shared" si="9"/>
        <v>0</v>
      </c>
      <c r="I106" s="159"/>
      <c r="J106" s="113"/>
      <c r="K106" s="113"/>
      <c r="M106" s="113"/>
      <c r="N106" s="113"/>
      <c r="O106" s="113"/>
      <c r="P106" s="113"/>
      <c r="Q106" s="113"/>
      <c r="R106" s="113"/>
      <c r="S106" s="113"/>
      <c r="T106" s="113"/>
      <c r="U106" s="113"/>
      <c r="V106" s="113"/>
    </row>
    <row r="107" spans="1:22" x14ac:dyDescent="0.2">
      <c r="A107" s="113"/>
      <c r="B107" s="457">
        <f t="shared" si="10"/>
        <v>90</v>
      </c>
      <c r="C107" s="458">
        <f t="shared" si="7"/>
        <v>0</v>
      </c>
      <c r="D107" s="458">
        <f t="shared" si="11"/>
        <v>0</v>
      </c>
      <c r="E107" s="458">
        <f>IF(B107="","-",SUM($D$18:D107))</f>
        <v>0</v>
      </c>
      <c r="F107" s="458">
        <f t="shared" si="8"/>
        <v>0</v>
      </c>
      <c r="G107" s="458">
        <f>IF(B107="","-",SUM($F$18:F107))</f>
        <v>0</v>
      </c>
      <c r="H107" s="458">
        <f t="shared" si="9"/>
        <v>0</v>
      </c>
      <c r="I107" s="159"/>
      <c r="J107" s="113"/>
      <c r="K107" s="113"/>
      <c r="M107" s="113"/>
      <c r="N107" s="113"/>
      <c r="O107" s="113"/>
      <c r="P107" s="113"/>
      <c r="Q107" s="113"/>
      <c r="R107" s="113"/>
      <c r="S107" s="113"/>
      <c r="T107" s="113"/>
      <c r="U107" s="113"/>
      <c r="V107" s="113"/>
    </row>
    <row r="108" spans="1:22" x14ac:dyDescent="0.2">
      <c r="A108" s="113"/>
      <c r="B108" s="457">
        <f t="shared" si="10"/>
        <v>91</v>
      </c>
      <c r="C108" s="458">
        <f t="shared" si="7"/>
        <v>0</v>
      </c>
      <c r="D108" s="458">
        <f t="shared" si="11"/>
        <v>0</v>
      </c>
      <c r="E108" s="458">
        <f>IF(B108="","-",SUM($D$18:D108))</f>
        <v>0</v>
      </c>
      <c r="F108" s="458">
        <f t="shared" si="8"/>
        <v>0</v>
      </c>
      <c r="G108" s="458">
        <f>IF(B108="","-",SUM($F$18:F108))</f>
        <v>0</v>
      </c>
      <c r="H108" s="458">
        <f t="shared" si="9"/>
        <v>0</v>
      </c>
      <c r="I108" s="159"/>
      <c r="J108" s="113"/>
      <c r="K108" s="113"/>
      <c r="M108" s="113"/>
      <c r="N108" s="113"/>
      <c r="O108" s="113"/>
      <c r="P108" s="113"/>
      <c r="Q108" s="113"/>
      <c r="R108" s="113"/>
      <c r="S108" s="113"/>
      <c r="T108" s="113"/>
      <c r="U108" s="113"/>
      <c r="V108" s="113"/>
    </row>
    <row r="109" spans="1:22" x14ac:dyDescent="0.2">
      <c r="A109" s="113"/>
      <c r="B109" s="457">
        <f t="shared" si="10"/>
        <v>92</v>
      </c>
      <c r="C109" s="458">
        <f t="shared" si="7"/>
        <v>0</v>
      </c>
      <c r="D109" s="458">
        <f t="shared" si="11"/>
        <v>0</v>
      </c>
      <c r="E109" s="458">
        <f>IF(B109="","-",SUM($D$18:D109))</f>
        <v>0</v>
      </c>
      <c r="F109" s="458">
        <f t="shared" si="8"/>
        <v>0</v>
      </c>
      <c r="G109" s="458">
        <f>IF(B109="","-",SUM($F$18:F109))</f>
        <v>0</v>
      </c>
      <c r="H109" s="458">
        <f t="shared" si="9"/>
        <v>0</v>
      </c>
      <c r="I109" s="159"/>
      <c r="J109" s="113"/>
      <c r="K109" s="113"/>
      <c r="M109" s="113"/>
      <c r="N109" s="113"/>
      <c r="O109" s="113"/>
      <c r="P109" s="113"/>
      <c r="Q109" s="113"/>
      <c r="R109" s="113"/>
      <c r="S109" s="113"/>
      <c r="T109" s="113"/>
      <c r="U109" s="113"/>
      <c r="V109" s="113"/>
    </row>
    <row r="110" spans="1:22" x14ac:dyDescent="0.2">
      <c r="A110" s="113"/>
      <c r="B110" s="457">
        <f t="shared" si="10"/>
        <v>93</v>
      </c>
      <c r="C110" s="458">
        <f t="shared" si="7"/>
        <v>0</v>
      </c>
      <c r="D110" s="458">
        <f t="shared" si="11"/>
        <v>0</v>
      </c>
      <c r="E110" s="458">
        <f>IF(B110="","-",SUM($D$18:D110))</f>
        <v>0</v>
      </c>
      <c r="F110" s="458">
        <f t="shared" si="8"/>
        <v>0</v>
      </c>
      <c r="G110" s="458">
        <f>IF(B110="","-",SUM($F$18:F110))</f>
        <v>0</v>
      </c>
      <c r="H110" s="458">
        <f t="shared" si="9"/>
        <v>0</v>
      </c>
      <c r="I110" s="159"/>
      <c r="J110" s="113"/>
      <c r="K110" s="113"/>
      <c r="M110" s="113"/>
      <c r="N110" s="113"/>
      <c r="O110" s="113"/>
      <c r="P110" s="113"/>
      <c r="Q110" s="113"/>
      <c r="R110" s="113"/>
      <c r="S110" s="113"/>
      <c r="T110" s="113"/>
      <c r="U110" s="113"/>
      <c r="V110" s="113"/>
    </row>
    <row r="111" spans="1:22" x14ac:dyDescent="0.2">
      <c r="A111" s="113"/>
      <c r="B111" s="457">
        <f t="shared" si="10"/>
        <v>94</v>
      </c>
      <c r="C111" s="458">
        <f t="shared" si="7"/>
        <v>0</v>
      </c>
      <c r="D111" s="458">
        <f t="shared" si="11"/>
        <v>0</v>
      </c>
      <c r="E111" s="458">
        <f>IF(B111="","-",SUM($D$18:D111))</f>
        <v>0</v>
      </c>
      <c r="F111" s="458">
        <f t="shared" si="8"/>
        <v>0</v>
      </c>
      <c r="G111" s="458">
        <f>IF(B111="","-",SUM($F$18:F111))</f>
        <v>0</v>
      </c>
      <c r="H111" s="458">
        <f t="shared" si="9"/>
        <v>0</v>
      </c>
      <c r="I111" s="159"/>
      <c r="J111" s="113"/>
      <c r="K111" s="113"/>
      <c r="M111" s="113"/>
      <c r="N111" s="113"/>
      <c r="O111" s="113"/>
      <c r="P111" s="113"/>
      <c r="Q111" s="113"/>
      <c r="R111" s="113"/>
      <c r="S111" s="113"/>
      <c r="T111" s="113"/>
      <c r="U111" s="113"/>
      <c r="V111" s="113"/>
    </row>
    <row r="112" spans="1:22" x14ac:dyDescent="0.2">
      <c r="A112" s="113"/>
      <c r="B112" s="457">
        <f t="shared" si="10"/>
        <v>95</v>
      </c>
      <c r="C112" s="458">
        <f t="shared" si="7"/>
        <v>0</v>
      </c>
      <c r="D112" s="458">
        <f t="shared" si="11"/>
        <v>0</v>
      </c>
      <c r="E112" s="458">
        <f>IF(B112="","-",SUM($D$18:D112))</f>
        <v>0</v>
      </c>
      <c r="F112" s="458">
        <f t="shared" si="8"/>
        <v>0</v>
      </c>
      <c r="G112" s="458">
        <f>IF(B112="","-",SUM($F$18:F112))</f>
        <v>0</v>
      </c>
      <c r="H112" s="458">
        <f t="shared" si="9"/>
        <v>0</v>
      </c>
      <c r="I112" s="159"/>
      <c r="J112" s="113"/>
      <c r="K112" s="113"/>
      <c r="M112" s="113"/>
      <c r="N112" s="113"/>
      <c r="O112" s="113"/>
      <c r="P112" s="113"/>
      <c r="Q112" s="113"/>
      <c r="R112" s="113"/>
      <c r="S112" s="113"/>
      <c r="T112" s="113"/>
      <c r="U112" s="113"/>
      <c r="V112" s="113"/>
    </row>
    <row r="113" spans="1:22" x14ac:dyDescent="0.2">
      <c r="A113" s="113"/>
      <c r="B113" s="459">
        <f t="shared" si="10"/>
        <v>96</v>
      </c>
      <c r="C113" s="460">
        <f t="shared" si="7"/>
        <v>0</v>
      </c>
      <c r="D113" s="460">
        <f t="shared" si="11"/>
        <v>0</v>
      </c>
      <c r="E113" s="462">
        <f>IF(B113="","-",SUM($D$18:D113))</f>
        <v>0</v>
      </c>
      <c r="F113" s="462">
        <f t="shared" si="8"/>
        <v>0</v>
      </c>
      <c r="G113" s="462">
        <f>IF(B113="","-",SUM($F$18:F113))</f>
        <v>0</v>
      </c>
      <c r="H113" s="462">
        <f t="shared" si="9"/>
        <v>0</v>
      </c>
      <c r="I113" s="10"/>
      <c r="J113" s="113"/>
      <c r="K113" s="113"/>
      <c r="M113" s="113"/>
      <c r="N113" s="113"/>
      <c r="O113" s="113"/>
      <c r="P113" s="113"/>
      <c r="Q113" s="113"/>
      <c r="R113" s="113"/>
      <c r="S113" s="113"/>
      <c r="T113" s="113"/>
      <c r="U113" s="113"/>
      <c r="V113" s="113"/>
    </row>
    <row r="114" spans="1:22" x14ac:dyDescent="0.2">
      <c r="A114" s="113"/>
      <c r="B114" s="457">
        <f t="shared" si="10"/>
        <v>97</v>
      </c>
      <c r="C114" s="458">
        <f t="shared" si="7"/>
        <v>0</v>
      </c>
      <c r="D114" s="458">
        <f t="shared" si="11"/>
        <v>0</v>
      </c>
      <c r="E114" s="458">
        <f>IF(B114="","-",SUM($D$18:D114))</f>
        <v>0</v>
      </c>
      <c r="F114" s="458">
        <f t="shared" si="8"/>
        <v>0</v>
      </c>
      <c r="G114" s="458">
        <f>IF(B114="","-",SUM($F$18:F114))</f>
        <v>0</v>
      </c>
      <c r="H114" s="458">
        <f t="shared" si="9"/>
        <v>0</v>
      </c>
      <c r="I114" s="77"/>
      <c r="J114" s="113"/>
      <c r="K114" s="113"/>
      <c r="M114" s="113"/>
      <c r="N114" s="113"/>
      <c r="O114" s="113"/>
      <c r="P114" s="113"/>
      <c r="Q114" s="113"/>
      <c r="R114" s="113"/>
      <c r="S114" s="113"/>
      <c r="T114" s="113"/>
      <c r="U114" s="113"/>
      <c r="V114" s="113"/>
    </row>
    <row r="115" spans="1:22" x14ac:dyDescent="0.2">
      <c r="A115" s="113"/>
      <c r="B115" s="457">
        <f t="shared" si="10"/>
        <v>98</v>
      </c>
      <c r="C115" s="458">
        <f t="shared" si="7"/>
        <v>0</v>
      </c>
      <c r="D115" s="458">
        <f t="shared" si="11"/>
        <v>0</v>
      </c>
      <c r="E115" s="458">
        <f>IF(B115="","-",SUM($D$18:D115))</f>
        <v>0</v>
      </c>
      <c r="F115" s="458">
        <f t="shared" si="8"/>
        <v>0</v>
      </c>
      <c r="G115" s="458">
        <f>IF(B115="","-",SUM($F$18:F115))</f>
        <v>0</v>
      </c>
      <c r="H115" s="458">
        <f t="shared" si="9"/>
        <v>0</v>
      </c>
      <c r="I115" s="159"/>
      <c r="J115" s="113"/>
      <c r="K115" s="113"/>
      <c r="M115" s="113"/>
      <c r="N115" s="113"/>
      <c r="O115" s="113"/>
      <c r="P115" s="113"/>
      <c r="Q115" s="113"/>
      <c r="R115" s="113"/>
      <c r="S115" s="113"/>
      <c r="T115" s="113"/>
      <c r="U115" s="113"/>
      <c r="V115" s="113"/>
    </row>
    <row r="116" spans="1:22" x14ac:dyDescent="0.2">
      <c r="A116" s="113"/>
      <c r="B116" s="457">
        <f t="shared" si="10"/>
        <v>99</v>
      </c>
      <c r="C116" s="458">
        <f t="shared" si="7"/>
        <v>0</v>
      </c>
      <c r="D116" s="458">
        <f t="shared" si="11"/>
        <v>0</v>
      </c>
      <c r="E116" s="458">
        <f>IF(B116="","-",SUM($D$18:D116))</f>
        <v>0</v>
      </c>
      <c r="F116" s="458">
        <f t="shared" si="8"/>
        <v>0</v>
      </c>
      <c r="G116" s="458">
        <f>IF(B116="","-",SUM($F$18:F116))</f>
        <v>0</v>
      </c>
      <c r="H116" s="458">
        <f t="shared" si="9"/>
        <v>0</v>
      </c>
      <c r="I116" s="159"/>
      <c r="J116" s="113"/>
      <c r="K116" s="113"/>
      <c r="M116" s="113"/>
      <c r="N116" s="113"/>
      <c r="O116" s="113"/>
      <c r="P116" s="113"/>
      <c r="Q116" s="113"/>
      <c r="R116" s="113"/>
      <c r="S116" s="113"/>
      <c r="T116" s="113"/>
      <c r="U116" s="113"/>
      <c r="V116" s="113"/>
    </row>
    <row r="117" spans="1:22" x14ac:dyDescent="0.2">
      <c r="A117" s="113"/>
      <c r="B117" s="457">
        <f t="shared" si="10"/>
        <v>100</v>
      </c>
      <c r="C117" s="458">
        <f t="shared" si="7"/>
        <v>0</v>
      </c>
      <c r="D117" s="458">
        <f t="shared" si="11"/>
        <v>0</v>
      </c>
      <c r="E117" s="458">
        <f>IF(B117="","-",SUM($D$18:D117))</f>
        <v>0</v>
      </c>
      <c r="F117" s="458">
        <f t="shared" si="8"/>
        <v>0</v>
      </c>
      <c r="G117" s="458">
        <f>IF(B117="","-",SUM($F$18:F117))</f>
        <v>0</v>
      </c>
      <c r="H117" s="458">
        <f t="shared" si="9"/>
        <v>0</v>
      </c>
      <c r="I117" s="159"/>
      <c r="J117" s="113"/>
      <c r="K117" s="113"/>
      <c r="M117" s="113"/>
      <c r="N117" s="113"/>
      <c r="O117" s="113"/>
      <c r="P117" s="113"/>
      <c r="Q117" s="113"/>
      <c r="R117" s="113"/>
      <c r="S117" s="113"/>
      <c r="T117" s="113"/>
      <c r="U117" s="113"/>
      <c r="V117" s="113"/>
    </row>
    <row r="118" spans="1:22" x14ac:dyDescent="0.2">
      <c r="A118" s="113"/>
      <c r="B118" s="457">
        <f t="shared" si="10"/>
        <v>101</v>
      </c>
      <c r="C118" s="458">
        <f t="shared" si="7"/>
        <v>0</v>
      </c>
      <c r="D118" s="458">
        <f t="shared" si="11"/>
        <v>0</v>
      </c>
      <c r="E118" s="458">
        <f>IF(B118="","-",SUM($D$18:D118))</f>
        <v>0</v>
      </c>
      <c r="F118" s="458">
        <f t="shared" si="8"/>
        <v>0</v>
      </c>
      <c r="G118" s="458">
        <f>IF(B118="","-",SUM($F$18:F118))</f>
        <v>0</v>
      </c>
      <c r="H118" s="458">
        <f t="shared" si="9"/>
        <v>0</v>
      </c>
      <c r="I118" s="159"/>
      <c r="J118" s="113"/>
      <c r="K118" s="113"/>
      <c r="M118" s="113"/>
      <c r="N118" s="113"/>
      <c r="O118" s="113"/>
      <c r="P118" s="113"/>
      <c r="Q118" s="113"/>
      <c r="R118" s="113"/>
      <c r="S118" s="113"/>
      <c r="T118" s="113"/>
      <c r="U118" s="113"/>
      <c r="V118" s="113"/>
    </row>
    <row r="119" spans="1:22" x14ac:dyDescent="0.2">
      <c r="A119" s="113"/>
      <c r="B119" s="457">
        <f t="shared" si="10"/>
        <v>102</v>
      </c>
      <c r="C119" s="458">
        <f t="shared" si="7"/>
        <v>0</v>
      </c>
      <c r="D119" s="458">
        <f t="shared" si="11"/>
        <v>0</v>
      </c>
      <c r="E119" s="458">
        <f>IF(B119="","-",SUM($D$18:D119))</f>
        <v>0</v>
      </c>
      <c r="F119" s="458">
        <f t="shared" si="8"/>
        <v>0</v>
      </c>
      <c r="G119" s="458">
        <f>IF(B119="","-",SUM($F$18:F119))</f>
        <v>0</v>
      </c>
      <c r="H119" s="458">
        <f t="shared" si="9"/>
        <v>0</v>
      </c>
      <c r="I119" s="159"/>
      <c r="J119" s="113"/>
      <c r="K119" s="113"/>
      <c r="M119" s="113"/>
      <c r="N119" s="113"/>
      <c r="O119" s="113"/>
      <c r="P119" s="113"/>
      <c r="Q119" s="113"/>
      <c r="R119" s="113"/>
      <c r="S119" s="113"/>
      <c r="T119" s="113"/>
      <c r="U119" s="113"/>
      <c r="V119" s="113"/>
    </row>
    <row r="120" spans="1:22" x14ac:dyDescent="0.2">
      <c r="A120" s="113"/>
      <c r="B120" s="457">
        <f t="shared" si="10"/>
        <v>103</v>
      </c>
      <c r="C120" s="458">
        <f t="shared" si="7"/>
        <v>0</v>
      </c>
      <c r="D120" s="458">
        <f t="shared" si="11"/>
        <v>0</v>
      </c>
      <c r="E120" s="458">
        <f>IF(B120="","-",SUM($D$18:D120))</f>
        <v>0</v>
      </c>
      <c r="F120" s="458">
        <f t="shared" si="8"/>
        <v>0</v>
      </c>
      <c r="G120" s="458">
        <f>IF(B120="","-",SUM($F$18:F120))</f>
        <v>0</v>
      </c>
      <c r="H120" s="458">
        <f t="shared" si="9"/>
        <v>0</v>
      </c>
      <c r="I120" s="159"/>
      <c r="J120" s="113"/>
      <c r="K120" s="113"/>
      <c r="M120" s="113"/>
      <c r="N120" s="113"/>
      <c r="O120" s="113"/>
      <c r="P120" s="113"/>
      <c r="Q120" s="113"/>
      <c r="R120" s="113"/>
      <c r="S120" s="113"/>
      <c r="T120" s="113"/>
      <c r="U120" s="113"/>
      <c r="V120" s="113"/>
    </row>
    <row r="121" spans="1:22" x14ac:dyDescent="0.2">
      <c r="A121" s="113"/>
      <c r="B121" s="457">
        <f t="shared" si="10"/>
        <v>104</v>
      </c>
      <c r="C121" s="458">
        <f t="shared" si="7"/>
        <v>0</v>
      </c>
      <c r="D121" s="458">
        <f t="shared" si="11"/>
        <v>0</v>
      </c>
      <c r="E121" s="458">
        <f>IF(B121="","-",SUM($D$18:D121))</f>
        <v>0</v>
      </c>
      <c r="F121" s="458">
        <f t="shared" si="8"/>
        <v>0</v>
      </c>
      <c r="G121" s="458">
        <f>IF(B121="","-",SUM($F$18:F121))</f>
        <v>0</v>
      </c>
      <c r="H121" s="458">
        <f t="shared" si="9"/>
        <v>0</v>
      </c>
      <c r="I121" s="159"/>
      <c r="J121" s="113"/>
      <c r="K121" s="113"/>
      <c r="M121" s="113"/>
      <c r="N121" s="113"/>
      <c r="O121" s="113"/>
      <c r="P121" s="113"/>
      <c r="Q121" s="113"/>
      <c r="R121" s="113"/>
      <c r="S121" s="113"/>
      <c r="T121" s="113"/>
      <c r="U121" s="113"/>
      <c r="V121" s="113"/>
    </row>
    <row r="122" spans="1:22" x14ac:dyDescent="0.2">
      <c r="A122" s="113"/>
      <c r="B122" s="457">
        <f t="shared" si="10"/>
        <v>105</v>
      </c>
      <c r="C122" s="458">
        <f t="shared" si="7"/>
        <v>0</v>
      </c>
      <c r="D122" s="458">
        <f t="shared" si="11"/>
        <v>0</v>
      </c>
      <c r="E122" s="458">
        <f>IF(B122="","-",SUM($D$18:D122))</f>
        <v>0</v>
      </c>
      <c r="F122" s="458">
        <f t="shared" si="8"/>
        <v>0</v>
      </c>
      <c r="G122" s="458">
        <f>IF(B122="","-",SUM($F$18:F122))</f>
        <v>0</v>
      </c>
      <c r="H122" s="458">
        <f t="shared" si="9"/>
        <v>0</v>
      </c>
      <c r="I122" s="159"/>
      <c r="J122" s="113"/>
      <c r="K122" s="113"/>
      <c r="M122" s="113"/>
      <c r="N122" s="113"/>
      <c r="O122" s="113"/>
      <c r="P122" s="113"/>
      <c r="Q122" s="113"/>
      <c r="R122" s="113"/>
      <c r="S122" s="113"/>
      <c r="T122" s="113"/>
      <c r="U122" s="113"/>
      <c r="V122" s="113"/>
    </row>
    <row r="123" spans="1:22" x14ac:dyDescent="0.2">
      <c r="A123" s="113"/>
      <c r="B123" s="457">
        <f t="shared" si="10"/>
        <v>106</v>
      </c>
      <c r="C123" s="458">
        <f t="shared" si="7"/>
        <v>0</v>
      </c>
      <c r="D123" s="458">
        <f t="shared" si="11"/>
        <v>0</v>
      </c>
      <c r="E123" s="458">
        <f>IF(B123="","-",SUM($D$18:D123))</f>
        <v>0</v>
      </c>
      <c r="F123" s="458">
        <f t="shared" si="8"/>
        <v>0</v>
      </c>
      <c r="G123" s="458">
        <f>IF(B123="","-",SUM($F$18:F123))</f>
        <v>0</v>
      </c>
      <c r="H123" s="458">
        <f t="shared" si="9"/>
        <v>0</v>
      </c>
      <c r="I123" s="159"/>
      <c r="J123" s="113"/>
      <c r="K123" s="113"/>
      <c r="M123" s="113"/>
      <c r="N123" s="113"/>
      <c r="O123" s="113"/>
      <c r="P123" s="113"/>
      <c r="Q123" s="113"/>
      <c r="R123" s="113"/>
      <c r="S123" s="113"/>
      <c r="T123" s="113"/>
      <c r="U123" s="113"/>
      <c r="V123" s="113"/>
    </row>
    <row r="124" spans="1:22" x14ac:dyDescent="0.2">
      <c r="A124" s="113"/>
      <c r="B124" s="457">
        <f t="shared" si="10"/>
        <v>107</v>
      </c>
      <c r="C124" s="458">
        <f t="shared" si="7"/>
        <v>0</v>
      </c>
      <c r="D124" s="458">
        <f t="shared" si="11"/>
        <v>0</v>
      </c>
      <c r="E124" s="458">
        <f>IF(B124="","-",SUM($D$18:D124))</f>
        <v>0</v>
      </c>
      <c r="F124" s="458">
        <f t="shared" si="8"/>
        <v>0</v>
      </c>
      <c r="G124" s="458">
        <f>IF(B124="","-",SUM($F$18:F124))</f>
        <v>0</v>
      </c>
      <c r="H124" s="458">
        <f t="shared" si="9"/>
        <v>0</v>
      </c>
      <c r="I124" s="159"/>
      <c r="J124" s="113"/>
      <c r="K124" s="113"/>
      <c r="M124" s="113"/>
      <c r="N124" s="113"/>
      <c r="O124" s="113"/>
      <c r="P124" s="113"/>
      <c r="Q124" s="113"/>
      <c r="R124" s="113"/>
      <c r="S124" s="113"/>
      <c r="T124" s="113"/>
      <c r="U124" s="113"/>
      <c r="V124" s="113"/>
    </row>
    <row r="125" spans="1:22" x14ac:dyDescent="0.2">
      <c r="A125" s="113"/>
      <c r="B125" s="459">
        <f t="shared" si="10"/>
        <v>108</v>
      </c>
      <c r="C125" s="460">
        <f t="shared" si="7"/>
        <v>0</v>
      </c>
      <c r="D125" s="460">
        <f t="shared" si="11"/>
        <v>0</v>
      </c>
      <c r="E125" s="462">
        <f>IF(B125="","-",SUM($D$18:D125))</f>
        <v>0</v>
      </c>
      <c r="F125" s="462">
        <f t="shared" si="8"/>
        <v>0</v>
      </c>
      <c r="G125" s="462">
        <f>IF(B125="","-",SUM($F$18:F125))</f>
        <v>0</v>
      </c>
      <c r="H125" s="462">
        <f t="shared" si="9"/>
        <v>0</v>
      </c>
      <c r="I125" s="10"/>
      <c r="J125" s="113"/>
      <c r="K125" s="113"/>
      <c r="M125" s="113"/>
      <c r="N125" s="113"/>
      <c r="O125" s="113"/>
      <c r="P125" s="113"/>
      <c r="Q125" s="113"/>
      <c r="R125" s="113"/>
      <c r="S125" s="113"/>
      <c r="T125" s="113"/>
      <c r="U125" s="113"/>
      <c r="V125" s="113"/>
    </row>
    <row r="126" spans="1:22" x14ac:dyDescent="0.2">
      <c r="A126" s="113"/>
      <c r="B126" s="457">
        <f t="shared" si="10"/>
        <v>109</v>
      </c>
      <c r="C126" s="458">
        <f t="shared" si="7"/>
        <v>0</v>
      </c>
      <c r="D126" s="458">
        <f t="shared" si="11"/>
        <v>0</v>
      </c>
      <c r="E126" s="458">
        <f>IF(B126="","-",SUM($D$18:D126))</f>
        <v>0</v>
      </c>
      <c r="F126" s="458">
        <f t="shared" si="8"/>
        <v>0</v>
      </c>
      <c r="G126" s="458">
        <f>IF(B126="","-",SUM($F$18:F126))</f>
        <v>0</v>
      </c>
      <c r="H126" s="458">
        <f t="shared" si="9"/>
        <v>0</v>
      </c>
      <c r="I126" s="159"/>
      <c r="J126" s="113"/>
      <c r="K126" s="113"/>
      <c r="M126" s="113"/>
      <c r="N126" s="113"/>
      <c r="O126" s="113"/>
      <c r="P126" s="113"/>
      <c r="Q126" s="113"/>
      <c r="R126" s="113"/>
      <c r="S126" s="113"/>
      <c r="T126" s="113"/>
      <c r="U126" s="113"/>
      <c r="V126" s="113"/>
    </row>
    <row r="127" spans="1:22" x14ac:dyDescent="0.2">
      <c r="A127" s="113"/>
      <c r="B127" s="457">
        <f t="shared" si="10"/>
        <v>110</v>
      </c>
      <c r="C127" s="458">
        <f t="shared" si="7"/>
        <v>0</v>
      </c>
      <c r="D127" s="458">
        <f t="shared" si="11"/>
        <v>0</v>
      </c>
      <c r="E127" s="458">
        <f>IF(B127="","-",SUM($D$18:D127))</f>
        <v>0</v>
      </c>
      <c r="F127" s="458">
        <f t="shared" si="8"/>
        <v>0</v>
      </c>
      <c r="G127" s="458">
        <f>IF(B127="","-",SUM($F$18:F127))</f>
        <v>0</v>
      </c>
      <c r="H127" s="458">
        <f t="shared" si="9"/>
        <v>0</v>
      </c>
      <c r="I127" s="159"/>
      <c r="J127" s="113"/>
      <c r="K127" s="113"/>
      <c r="M127" s="113"/>
      <c r="N127" s="113"/>
      <c r="O127" s="113"/>
      <c r="P127" s="113"/>
      <c r="Q127" s="113"/>
      <c r="R127" s="113"/>
      <c r="S127" s="113"/>
      <c r="T127" s="113"/>
      <c r="U127" s="113"/>
      <c r="V127" s="113"/>
    </row>
    <row r="128" spans="1:22" x14ac:dyDescent="0.2">
      <c r="A128" s="113"/>
      <c r="B128" s="457">
        <f t="shared" si="10"/>
        <v>111</v>
      </c>
      <c r="C128" s="458">
        <f t="shared" si="7"/>
        <v>0</v>
      </c>
      <c r="D128" s="458">
        <f t="shared" si="11"/>
        <v>0</v>
      </c>
      <c r="E128" s="458">
        <f>IF(B128="","-",SUM($D$18:D128))</f>
        <v>0</v>
      </c>
      <c r="F128" s="458">
        <f t="shared" si="8"/>
        <v>0</v>
      </c>
      <c r="G128" s="458">
        <f>IF(B128="","-",SUM($F$18:F128))</f>
        <v>0</v>
      </c>
      <c r="H128" s="458">
        <f t="shared" si="9"/>
        <v>0</v>
      </c>
      <c r="I128" s="159"/>
      <c r="J128" s="113"/>
      <c r="K128" s="113"/>
      <c r="M128" s="113"/>
      <c r="N128" s="113"/>
      <c r="O128" s="113"/>
      <c r="P128" s="113"/>
      <c r="Q128" s="113"/>
      <c r="R128" s="113"/>
      <c r="S128" s="113"/>
      <c r="T128" s="113"/>
      <c r="U128" s="113"/>
      <c r="V128" s="113"/>
    </row>
    <row r="129" spans="1:22" x14ac:dyDescent="0.2">
      <c r="A129" s="113"/>
      <c r="B129" s="457">
        <f t="shared" si="10"/>
        <v>112</v>
      </c>
      <c r="C129" s="458">
        <f t="shared" si="7"/>
        <v>0</v>
      </c>
      <c r="D129" s="458">
        <f t="shared" si="11"/>
        <v>0</v>
      </c>
      <c r="E129" s="458">
        <f>IF(B129="","-",SUM($D$18:D129))</f>
        <v>0</v>
      </c>
      <c r="F129" s="458">
        <f t="shared" si="8"/>
        <v>0</v>
      </c>
      <c r="G129" s="458">
        <f>IF(B129="","-",SUM($F$18:F129))</f>
        <v>0</v>
      </c>
      <c r="H129" s="458">
        <f t="shared" si="9"/>
        <v>0</v>
      </c>
      <c r="I129" s="159"/>
      <c r="J129" s="113"/>
      <c r="K129" s="113"/>
      <c r="M129" s="113"/>
      <c r="N129" s="113"/>
      <c r="O129" s="113"/>
      <c r="P129" s="113"/>
      <c r="Q129" s="113"/>
      <c r="R129" s="113"/>
      <c r="S129" s="113"/>
      <c r="T129" s="113"/>
      <c r="U129" s="113"/>
      <c r="V129" s="113"/>
    </row>
    <row r="130" spans="1:22" x14ac:dyDescent="0.2">
      <c r="A130" s="113"/>
      <c r="B130" s="457">
        <f t="shared" si="10"/>
        <v>113</v>
      </c>
      <c r="C130" s="458">
        <f t="shared" si="7"/>
        <v>0</v>
      </c>
      <c r="D130" s="458">
        <f t="shared" si="11"/>
        <v>0</v>
      </c>
      <c r="E130" s="458">
        <f>IF(B130="","-",SUM($D$18:D130))</f>
        <v>0</v>
      </c>
      <c r="F130" s="458">
        <f t="shared" si="8"/>
        <v>0</v>
      </c>
      <c r="G130" s="458">
        <f>IF(B130="","-",SUM($F$18:F130))</f>
        <v>0</v>
      </c>
      <c r="H130" s="458">
        <f t="shared" si="9"/>
        <v>0</v>
      </c>
      <c r="I130" s="159"/>
      <c r="J130" s="113"/>
      <c r="K130" s="113"/>
      <c r="M130" s="113"/>
      <c r="N130" s="113"/>
      <c r="O130" s="113"/>
      <c r="P130" s="113"/>
      <c r="Q130" s="113"/>
      <c r="R130" s="113"/>
      <c r="S130" s="113"/>
      <c r="T130" s="113"/>
      <c r="U130" s="113"/>
      <c r="V130" s="113"/>
    </row>
    <row r="131" spans="1:22" x14ac:dyDescent="0.2">
      <c r="A131" s="113"/>
      <c r="B131" s="457">
        <f t="shared" si="10"/>
        <v>114</v>
      </c>
      <c r="C131" s="458">
        <f t="shared" si="7"/>
        <v>0</v>
      </c>
      <c r="D131" s="458">
        <f t="shared" si="11"/>
        <v>0</v>
      </c>
      <c r="E131" s="458">
        <f>IF(B131="","-",SUM($D$18:D131))</f>
        <v>0</v>
      </c>
      <c r="F131" s="458">
        <f t="shared" si="8"/>
        <v>0</v>
      </c>
      <c r="G131" s="458">
        <f>IF(B131="","-",SUM($F$18:F131))</f>
        <v>0</v>
      </c>
      <c r="H131" s="458">
        <f t="shared" si="9"/>
        <v>0</v>
      </c>
      <c r="I131" s="159"/>
      <c r="J131" s="113"/>
      <c r="K131" s="113"/>
      <c r="M131" s="113"/>
      <c r="N131" s="113"/>
      <c r="O131" s="113"/>
      <c r="P131" s="113"/>
      <c r="Q131" s="113"/>
      <c r="R131" s="113"/>
      <c r="S131" s="113"/>
      <c r="T131" s="113"/>
      <c r="U131" s="113"/>
      <c r="V131" s="113"/>
    </row>
    <row r="132" spans="1:22" x14ac:dyDescent="0.2">
      <c r="A132" s="113"/>
      <c r="B132" s="457">
        <f t="shared" si="10"/>
        <v>115</v>
      </c>
      <c r="C132" s="458">
        <f t="shared" si="7"/>
        <v>0</v>
      </c>
      <c r="D132" s="458">
        <f t="shared" si="11"/>
        <v>0</v>
      </c>
      <c r="E132" s="458">
        <f>IF(B132="","-",SUM($D$18:D132))</f>
        <v>0</v>
      </c>
      <c r="F132" s="458">
        <f t="shared" si="8"/>
        <v>0</v>
      </c>
      <c r="G132" s="458">
        <f>IF(B132="","-",SUM($F$18:F132))</f>
        <v>0</v>
      </c>
      <c r="H132" s="458">
        <f t="shared" si="9"/>
        <v>0</v>
      </c>
      <c r="I132" s="159"/>
      <c r="J132" s="113"/>
      <c r="K132" s="113"/>
      <c r="M132" s="113"/>
      <c r="N132" s="113"/>
      <c r="O132" s="113"/>
      <c r="P132" s="113"/>
      <c r="Q132" s="113"/>
      <c r="R132" s="113"/>
      <c r="S132" s="113"/>
      <c r="T132" s="113"/>
      <c r="U132" s="113"/>
      <c r="V132" s="113"/>
    </row>
    <row r="133" spans="1:22" x14ac:dyDescent="0.2">
      <c r="A133" s="113"/>
      <c r="B133" s="457">
        <f t="shared" si="10"/>
        <v>116</v>
      </c>
      <c r="C133" s="458">
        <f t="shared" si="7"/>
        <v>0</v>
      </c>
      <c r="D133" s="458">
        <f t="shared" si="11"/>
        <v>0</v>
      </c>
      <c r="E133" s="458">
        <f>IF(B133="","-",SUM($D$18:D133))</f>
        <v>0</v>
      </c>
      <c r="F133" s="458">
        <f t="shared" si="8"/>
        <v>0</v>
      </c>
      <c r="G133" s="458">
        <f>IF(B133="","-",SUM($F$18:F133))</f>
        <v>0</v>
      </c>
      <c r="H133" s="458">
        <f t="shared" si="9"/>
        <v>0</v>
      </c>
      <c r="I133" s="159"/>
      <c r="J133" s="113"/>
      <c r="K133" s="113"/>
      <c r="M133" s="113"/>
      <c r="N133" s="113"/>
      <c r="O133" s="113"/>
      <c r="P133" s="113"/>
      <c r="Q133" s="113"/>
      <c r="R133" s="113"/>
      <c r="S133" s="113"/>
      <c r="T133" s="113"/>
      <c r="U133" s="113"/>
      <c r="V133" s="113"/>
    </row>
    <row r="134" spans="1:22" x14ac:dyDescent="0.2">
      <c r="A134" s="113"/>
      <c r="B134" s="457">
        <f t="shared" si="10"/>
        <v>117</v>
      </c>
      <c r="C134" s="458">
        <f t="shared" si="7"/>
        <v>0</v>
      </c>
      <c r="D134" s="458">
        <f t="shared" si="11"/>
        <v>0</v>
      </c>
      <c r="E134" s="458">
        <f>IF(B134="","-",SUM($D$18:D134))</f>
        <v>0</v>
      </c>
      <c r="F134" s="458">
        <f t="shared" si="8"/>
        <v>0</v>
      </c>
      <c r="G134" s="458">
        <f>IF(B134="","-",SUM($F$18:F134))</f>
        <v>0</v>
      </c>
      <c r="H134" s="458">
        <f t="shared" si="9"/>
        <v>0</v>
      </c>
      <c r="I134" s="159"/>
      <c r="J134" s="113"/>
      <c r="K134" s="113"/>
      <c r="M134" s="113"/>
      <c r="N134" s="113"/>
      <c r="O134" s="113"/>
      <c r="P134" s="113"/>
      <c r="Q134" s="113"/>
      <c r="R134" s="113"/>
      <c r="S134" s="113"/>
      <c r="T134" s="113"/>
      <c r="U134" s="113"/>
      <c r="V134" s="113"/>
    </row>
    <row r="135" spans="1:22" x14ac:dyDescent="0.2">
      <c r="A135" s="113"/>
      <c r="B135" s="457">
        <f t="shared" si="10"/>
        <v>118</v>
      </c>
      <c r="C135" s="458">
        <f t="shared" si="7"/>
        <v>0</v>
      </c>
      <c r="D135" s="458">
        <f t="shared" si="11"/>
        <v>0</v>
      </c>
      <c r="E135" s="458">
        <f>IF(B135="","-",SUM($D$18:D135))</f>
        <v>0</v>
      </c>
      <c r="F135" s="458">
        <f t="shared" si="8"/>
        <v>0</v>
      </c>
      <c r="G135" s="458">
        <f>IF(B135="","-",SUM($F$18:F135))</f>
        <v>0</v>
      </c>
      <c r="H135" s="458">
        <f t="shared" si="9"/>
        <v>0</v>
      </c>
      <c r="I135" s="159"/>
      <c r="J135" s="113"/>
      <c r="K135" s="113"/>
      <c r="M135" s="113"/>
      <c r="N135" s="113"/>
      <c r="O135" s="113"/>
      <c r="P135" s="113"/>
      <c r="Q135" s="113"/>
      <c r="R135" s="113"/>
      <c r="S135" s="113"/>
      <c r="T135" s="113"/>
      <c r="U135" s="113"/>
      <c r="V135" s="113"/>
    </row>
    <row r="136" spans="1:22" x14ac:dyDescent="0.2">
      <c r="A136" s="113"/>
      <c r="B136" s="457">
        <f t="shared" si="10"/>
        <v>119</v>
      </c>
      <c r="C136" s="458">
        <f t="shared" si="7"/>
        <v>0</v>
      </c>
      <c r="D136" s="458">
        <f t="shared" si="11"/>
        <v>0</v>
      </c>
      <c r="E136" s="458">
        <f>IF(B136="","-",SUM($D$18:D136))</f>
        <v>0</v>
      </c>
      <c r="F136" s="458">
        <f t="shared" si="8"/>
        <v>0</v>
      </c>
      <c r="G136" s="458">
        <f>IF(B136="","-",SUM($F$18:F136))</f>
        <v>0</v>
      </c>
      <c r="H136" s="458">
        <f t="shared" si="9"/>
        <v>0</v>
      </c>
      <c r="I136" s="159"/>
      <c r="J136" s="113"/>
      <c r="K136" s="113"/>
      <c r="M136" s="113"/>
      <c r="N136" s="113"/>
      <c r="O136" s="113"/>
      <c r="P136" s="113"/>
      <c r="Q136" s="113"/>
      <c r="R136" s="113"/>
      <c r="S136" s="113"/>
      <c r="T136" s="113"/>
      <c r="U136" s="113"/>
      <c r="V136" s="113"/>
    </row>
    <row r="137" spans="1:22" x14ac:dyDescent="0.2">
      <c r="A137" s="113"/>
      <c r="B137" s="459">
        <f t="shared" si="10"/>
        <v>120</v>
      </c>
      <c r="C137" s="460">
        <f t="shared" si="7"/>
        <v>0</v>
      </c>
      <c r="D137" s="460">
        <f t="shared" si="11"/>
        <v>0</v>
      </c>
      <c r="E137" s="462">
        <f>IF(B137="","-",SUM($D$18:D137))</f>
        <v>0</v>
      </c>
      <c r="F137" s="462">
        <f t="shared" si="8"/>
        <v>0</v>
      </c>
      <c r="G137" s="462">
        <f>IF(B137="","-",SUM($F$18:F137))</f>
        <v>0</v>
      </c>
      <c r="H137" s="462">
        <f t="shared" si="9"/>
        <v>0</v>
      </c>
      <c r="I137" s="10"/>
      <c r="J137" s="113"/>
      <c r="K137" s="113"/>
      <c r="M137" s="113"/>
      <c r="N137" s="113"/>
      <c r="O137" s="113"/>
      <c r="P137" s="113"/>
      <c r="Q137" s="113"/>
      <c r="R137" s="113"/>
      <c r="S137" s="113"/>
      <c r="T137" s="113"/>
      <c r="U137" s="113"/>
      <c r="V137" s="113"/>
    </row>
    <row r="138" spans="1:22" x14ac:dyDescent="0.2">
      <c r="A138" s="113"/>
      <c r="B138" s="457">
        <f t="shared" si="10"/>
        <v>121</v>
      </c>
      <c r="C138" s="458">
        <f t="shared" si="7"/>
        <v>0</v>
      </c>
      <c r="D138" s="458">
        <f t="shared" si="11"/>
        <v>0</v>
      </c>
      <c r="E138" s="458">
        <f>IF(B138="","-",SUM($D$18:D138))</f>
        <v>0</v>
      </c>
      <c r="F138" s="458">
        <f t="shared" si="8"/>
        <v>0</v>
      </c>
      <c r="G138" s="458">
        <f>IF(B138="","-",SUM($F$18:F138))</f>
        <v>0</v>
      </c>
      <c r="H138" s="458">
        <f t="shared" si="9"/>
        <v>0</v>
      </c>
      <c r="I138" s="159"/>
      <c r="J138" s="113"/>
      <c r="K138" s="113"/>
      <c r="M138" s="113"/>
      <c r="N138" s="113"/>
      <c r="O138" s="113"/>
      <c r="P138" s="113"/>
      <c r="Q138" s="113"/>
      <c r="R138" s="113"/>
      <c r="S138" s="113"/>
      <c r="T138" s="113"/>
      <c r="U138" s="113"/>
      <c r="V138" s="113"/>
    </row>
    <row r="139" spans="1:22" x14ac:dyDescent="0.2">
      <c r="A139" s="113"/>
      <c r="B139" s="457">
        <f t="shared" si="10"/>
        <v>122</v>
      </c>
      <c r="C139" s="458">
        <f t="shared" si="7"/>
        <v>0</v>
      </c>
      <c r="D139" s="458">
        <f t="shared" si="11"/>
        <v>0</v>
      </c>
      <c r="E139" s="458">
        <f>IF(B139="","-",SUM($D$18:D139))</f>
        <v>0</v>
      </c>
      <c r="F139" s="458">
        <f t="shared" si="8"/>
        <v>0</v>
      </c>
      <c r="G139" s="458">
        <f>IF(B139="","-",SUM($F$18:F139))</f>
        <v>0</v>
      </c>
      <c r="H139" s="458">
        <f t="shared" si="9"/>
        <v>0</v>
      </c>
      <c r="I139" s="159"/>
      <c r="J139" s="113"/>
      <c r="K139" s="113"/>
      <c r="M139" s="113"/>
      <c r="N139" s="113"/>
      <c r="O139" s="113"/>
      <c r="P139" s="113"/>
      <c r="Q139" s="113"/>
      <c r="R139" s="113"/>
      <c r="S139" s="113"/>
      <c r="T139" s="113"/>
      <c r="U139" s="113"/>
      <c r="V139" s="113"/>
    </row>
    <row r="140" spans="1:22" x14ac:dyDescent="0.2">
      <c r="A140" s="113"/>
      <c r="B140" s="457">
        <f t="shared" si="10"/>
        <v>123</v>
      </c>
      <c r="C140" s="458">
        <f t="shared" si="7"/>
        <v>0</v>
      </c>
      <c r="D140" s="458">
        <f t="shared" si="11"/>
        <v>0</v>
      </c>
      <c r="E140" s="458">
        <f>IF(B140="","-",SUM($D$18:D140))</f>
        <v>0</v>
      </c>
      <c r="F140" s="458">
        <f t="shared" si="8"/>
        <v>0</v>
      </c>
      <c r="G140" s="458">
        <f>IF(B140="","-",SUM($F$18:F140))</f>
        <v>0</v>
      </c>
      <c r="H140" s="458">
        <f t="shared" si="9"/>
        <v>0</v>
      </c>
      <c r="I140" s="159"/>
      <c r="J140" s="113"/>
      <c r="K140" s="113"/>
      <c r="M140" s="113"/>
      <c r="N140" s="113"/>
      <c r="O140" s="113"/>
      <c r="P140" s="113"/>
      <c r="Q140" s="113"/>
      <c r="R140" s="113"/>
      <c r="S140" s="113"/>
      <c r="T140" s="113"/>
      <c r="U140" s="113"/>
      <c r="V140" s="113"/>
    </row>
    <row r="141" spans="1:22" x14ac:dyDescent="0.2">
      <c r="A141" s="113"/>
      <c r="B141" s="457">
        <f t="shared" si="10"/>
        <v>124</v>
      </c>
      <c r="C141" s="458">
        <f t="shared" si="7"/>
        <v>0</v>
      </c>
      <c r="D141" s="458">
        <f t="shared" si="11"/>
        <v>0</v>
      </c>
      <c r="E141" s="458">
        <f>IF(B141="","-",SUM($D$18:D141))</f>
        <v>0</v>
      </c>
      <c r="F141" s="458">
        <f t="shared" si="8"/>
        <v>0</v>
      </c>
      <c r="G141" s="458">
        <f>IF(B141="","-",SUM($F$18:F141))</f>
        <v>0</v>
      </c>
      <c r="H141" s="458">
        <f t="shared" si="9"/>
        <v>0</v>
      </c>
      <c r="I141" s="159"/>
      <c r="J141" s="113"/>
      <c r="K141" s="113"/>
      <c r="M141" s="113"/>
      <c r="N141" s="113"/>
      <c r="O141" s="113"/>
      <c r="P141" s="113"/>
      <c r="Q141" s="113"/>
      <c r="R141" s="113"/>
      <c r="S141" s="113"/>
      <c r="T141" s="113"/>
      <c r="U141" s="113"/>
      <c r="V141" s="113"/>
    </row>
    <row r="142" spans="1:22" x14ac:dyDescent="0.2">
      <c r="A142" s="113"/>
      <c r="B142" s="457">
        <f t="shared" si="10"/>
        <v>125</v>
      </c>
      <c r="C142" s="458">
        <f t="shared" si="7"/>
        <v>0</v>
      </c>
      <c r="D142" s="458">
        <f t="shared" si="11"/>
        <v>0</v>
      </c>
      <c r="E142" s="458">
        <f>IF(B142="","-",SUM($D$18:D142))</f>
        <v>0</v>
      </c>
      <c r="F142" s="458">
        <f t="shared" si="8"/>
        <v>0</v>
      </c>
      <c r="G142" s="458">
        <f>IF(B142="","-",SUM($F$18:F142))</f>
        <v>0</v>
      </c>
      <c r="H142" s="458">
        <f t="shared" si="9"/>
        <v>0</v>
      </c>
      <c r="I142" s="159"/>
      <c r="J142" s="113"/>
      <c r="K142" s="113"/>
      <c r="M142" s="113"/>
      <c r="N142" s="113"/>
      <c r="O142" s="113"/>
      <c r="P142" s="113"/>
      <c r="Q142" s="113"/>
      <c r="R142" s="113"/>
      <c r="S142" s="113"/>
      <c r="T142" s="113"/>
      <c r="U142" s="113"/>
      <c r="V142" s="113"/>
    </row>
    <row r="143" spans="1:22" x14ac:dyDescent="0.2">
      <c r="A143" s="113"/>
      <c r="B143" s="457">
        <f t="shared" si="10"/>
        <v>126</v>
      </c>
      <c r="C143" s="458">
        <f t="shared" si="7"/>
        <v>0</v>
      </c>
      <c r="D143" s="458">
        <f t="shared" si="11"/>
        <v>0</v>
      </c>
      <c r="E143" s="458">
        <f>IF(B143="","-",SUM($D$18:D143))</f>
        <v>0</v>
      </c>
      <c r="F143" s="458">
        <f t="shared" si="8"/>
        <v>0</v>
      </c>
      <c r="G143" s="458">
        <f>IF(B143="","-",SUM($F$18:F143))</f>
        <v>0</v>
      </c>
      <c r="H143" s="458">
        <f t="shared" si="9"/>
        <v>0</v>
      </c>
      <c r="I143" s="159"/>
      <c r="J143" s="113"/>
      <c r="K143" s="113"/>
      <c r="M143" s="113"/>
      <c r="N143" s="113"/>
      <c r="O143" s="113"/>
      <c r="P143" s="113"/>
      <c r="Q143" s="113"/>
      <c r="R143" s="113"/>
      <c r="S143" s="113"/>
      <c r="T143" s="113"/>
      <c r="U143" s="113"/>
      <c r="V143" s="113"/>
    </row>
    <row r="144" spans="1:22" x14ac:dyDescent="0.2">
      <c r="A144" s="113"/>
      <c r="B144" s="457">
        <f t="shared" si="10"/>
        <v>127</v>
      </c>
      <c r="C144" s="458">
        <f t="shared" si="7"/>
        <v>0</v>
      </c>
      <c r="D144" s="458">
        <f t="shared" si="11"/>
        <v>0</v>
      </c>
      <c r="E144" s="458">
        <f>IF(B144="","-",SUM($D$18:D144))</f>
        <v>0</v>
      </c>
      <c r="F144" s="458">
        <f t="shared" si="8"/>
        <v>0</v>
      </c>
      <c r="G144" s="458">
        <f>IF(B144="","-",SUM($F$18:F144))</f>
        <v>0</v>
      </c>
      <c r="H144" s="458">
        <f t="shared" si="9"/>
        <v>0</v>
      </c>
      <c r="I144" s="159"/>
      <c r="J144" s="113"/>
      <c r="K144" s="113"/>
      <c r="M144" s="113"/>
      <c r="N144" s="113"/>
      <c r="O144" s="113"/>
      <c r="P144" s="113"/>
      <c r="Q144" s="113"/>
      <c r="R144" s="113"/>
      <c r="S144" s="113"/>
      <c r="T144" s="113"/>
      <c r="U144" s="113"/>
      <c r="V144" s="113"/>
    </row>
    <row r="145" spans="1:22" x14ac:dyDescent="0.2">
      <c r="A145" s="113"/>
      <c r="B145" s="457">
        <f t="shared" si="10"/>
        <v>128</v>
      </c>
      <c r="C145" s="458">
        <f t="shared" si="7"/>
        <v>0</v>
      </c>
      <c r="D145" s="458">
        <f t="shared" si="11"/>
        <v>0</v>
      </c>
      <c r="E145" s="458">
        <f>IF(B145="","-",SUM($D$18:D145))</f>
        <v>0</v>
      </c>
      <c r="F145" s="458">
        <f t="shared" si="8"/>
        <v>0</v>
      </c>
      <c r="G145" s="458">
        <f>IF(B145="","-",SUM($F$18:F145))</f>
        <v>0</v>
      </c>
      <c r="H145" s="458">
        <f t="shared" si="9"/>
        <v>0</v>
      </c>
      <c r="I145" s="159"/>
      <c r="J145" s="113"/>
      <c r="K145" s="113"/>
      <c r="M145" s="113"/>
      <c r="N145" s="113"/>
      <c r="O145" s="113"/>
      <c r="P145" s="113"/>
      <c r="Q145" s="113"/>
      <c r="R145" s="113"/>
      <c r="S145" s="113"/>
      <c r="T145" s="113"/>
      <c r="U145" s="113"/>
      <c r="V145" s="113"/>
    </row>
    <row r="146" spans="1:22" x14ac:dyDescent="0.2">
      <c r="A146" s="113"/>
      <c r="B146" s="457">
        <f t="shared" si="10"/>
        <v>129</v>
      </c>
      <c r="C146" s="458">
        <f t="shared" ref="C146:C209" si="12">IF(B146="","-",IF(B146&lt;=$D$6,D146,  $D$7))</f>
        <v>0</v>
      </c>
      <c r="D146" s="458">
        <f t="shared" si="11"/>
        <v>0</v>
      </c>
      <c r="E146" s="458">
        <f>IF(B146="","-",SUM($D$18:D146))</f>
        <v>0</v>
      </c>
      <c r="F146" s="458">
        <f t="shared" ref="F146:F209" si="13">IF(B146="","-",C146-D146)</f>
        <v>0</v>
      </c>
      <c r="G146" s="458">
        <f>IF(B146="","-",SUM($F$18:F146))</f>
        <v>0</v>
      </c>
      <c r="H146" s="458">
        <f t="shared" ref="H146:H209" si="14">IF(B146="","-",H145-F146)</f>
        <v>0</v>
      </c>
      <c r="I146" s="159"/>
      <c r="J146" s="113"/>
      <c r="K146" s="113"/>
      <c r="M146" s="113"/>
      <c r="N146" s="113"/>
      <c r="O146" s="113"/>
      <c r="P146" s="113"/>
      <c r="Q146" s="113"/>
      <c r="R146" s="113"/>
      <c r="S146" s="113"/>
      <c r="T146" s="113"/>
      <c r="U146" s="113"/>
      <c r="V146" s="113"/>
    </row>
    <row r="147" spans="1:22" x14ac:dyDescent="0.2">
      <c r="A147" s="113"/>
      <c r="B147" s="457">
        <f t="shared" ref="B147:B210" si="15">IF(B146&gt;=$D$5*12,"",B146+1)</f>
        <v>130</v>
      </c>
      <c r="C147" s="458">
        <f t="shared" si="12"/>
        <v>0</v>
      </c>
      <c r="D147" s="458">
        <f t="shared" ref="D147:D210" si="16">IF(B147="","-",$D$4/12*H146)</f>
        <v>0</v>
      </c>
      <c r="E147" s="458">
        <f>IF(B147="","-",SUM($D$18:D147))</f>
        <v>0</v>
      </c>
      <c r="F147" s="458">
        <f t="shared" si="13"/>
        <v>0</v>
      </c>
      <c r="G147" s="458">
        <f>IF(B147="","-",SUM($F$18:F147))</f>
        <v>0</v>
      </c>
      <c r="H147" s="458">
        <f t="shared" si="14"/>
        <v>0</v>
      </c>
      <c r="I147" s="159"/>
      <c r="J147" s="113"/>
      <c r="K147" s="113"/>
      <c r="M147" s="113"/>
      <c r="N147" s="113"/>
      <c r="O147" s="113"/>
      <c r="P147" s="113"/>
      <c r="Q147" s="113"/>
      <c r="R147" s="113"/>
      <c r="S147" s="113"/>
      <c r="T147" s="113"/>
      <c r="U147" s="113"/>
      <c r="V147" s="113"/>
    </row>
    <row r="148" spans="1:22" x14ac:dyDescent="0.2">
      <c r="A148" s="113"/>
      <c r="B148" s="457">
        <f t="shared" si="15"/>
        <v>131</v>
      </c>
      <c r="C148" s="458">
        <f t="shared" si="12"/>
        <v>0</v>
      </c>
      <c r="D148" s="458">
        <f t="shared" si="16"/>
        <v>0</v>
      </c>
      <c r="E148" s="458">
        <f>IF(B148="","-",SUM($D$18:D148))</f>
        <v>0</v>
      </c>
      <c r="F148" s="458">
        <f t="shared" si="13"/>
        <v>0</v>
      </c>
      <c r="G148" s="458">
        <f>IF(B148="","-",SUM($F$18:F148))</f>
        <v>0</v>
      </c>
      <c r="H148" s="458">
        <f t="shared" si="14"/>
        <v>0</v>
      </c>
      <c r="I148" s="159"/>
      <c r="J148" s="113"/>
      <c r="K148" s="113"/>
      <c r="M148" s="113"/>
      <c r="N148" s="113"/>
      <c r="O148" s="113"/>
      <c r="P148" s="113"/>
      <c r="Q148" s="113"/>
      <c r="R148" s="113"/>
      <c r="S148" s="113"/>
      <c r="T148" s="113"/>
      <c r="U148" s="113"/>
      <c r="V148" s="113"/>
    </row>
    <row r="149" spans="1:22" x14ac:dyDescent="0.2">
      <c r="A149" s="113"/>
      <c r="B149" s="457">
        <f t="shared" si="15"/>
        <v>132</v>
      </c>
      <c r="C149" s="460">
        <f t="shared" si="12"/>
        <v>0</v>
      </c>
      <c r="D149" s="458">
        <f t="shared" si="16"/>
        <v>0</v>
      </c>
      <c r="E149" s="458">
        <f>IF(B149="","-",SUM($D$18:D149))</f>
        <v>0</v>
      </c>
      <c r="F149" s="458">
        <f t="shared" si="13"/>
        <v>0</v>
      </c>
      <c r="G149" s="458">
        <f>IF(B149="","-",SUM($F$18:F149))</f>
        <v>0</v>
      </c>
      <c r="H149" s="458">
        <f t="shared" si="14"/>
        <v>0</v>
      </c>
      <c r="I149" s="159"/>
      <c r="J149" s="113"/>
      <c r="K149" s="113"/>
      <c r="M149" s="113"/>
      <c r="N149" s="113"/>
      <c r="O149" s="113"/>
      <c r="P149" s="113"/>
      <c r="Q149" s="113"/>
      <c r="R149" s="113"/>
      <c r="S149" s="113"/>
      <c r="T149" s="113"/>
      <c r="U149" s="113"/>
      <c r="V149" s="113"/>
    </row>
    <row r="150" spans="1:22" x14ac:dyDescent="0.2">
      <c r="A150" s="113"/>
      <c r="B150" s="457">
        <f t="shared" si="15"/>
        <v>133</v>
      </c>
      <c r="C150" s="458">
        <f t="shared" si="12"/>
        <v>0</v>
      </c>
      <c r="D150" s="458">
        <f t="shared" si="16"/>
        <v>0</v>
      </c>
      <c r="E150" s="458">
        <f>IF(B150="","-",SUM($D$18:D150))</f>
        <v>0</v>
      </c>
      <c r="F150" s="458">
        <f t="shared" si="13"/>
        <v>0</v>
      </c>
      <c r="G150" s="458">
        <f>IF(B150="","-",SUM($F$18:F150))</f>
        <v>0</v>
      </c>
      <c r="H150" s="458">
        <f t="shared" si="14"/>
        <v>0</v>
      </c>
      <c r="I150" s="159"/>
      <c r="J150" s="113"/>
      <c r="K150" s="113"/>
      <c r="M150" s="113"/>
      <c r="N150" s="113"/>
      <c r="O150" s="113"/>
      <c r="P150" s="113"/>
      <c r="Q150" s="113"/>
      <c r="R150" s="113"/>
      <c r="S150" s="113"/>
      <c r="T150" s="113"/>
      <c r="U150" s="113"/>
      <c r="V150" s="113"/>
    </row>
    <row r="151" spans="1:22" x14ac:dyDescent="0.2">
      <c r="A151" s="113"/>
      <c r="B151" s="457">
        <f t="shared" si="15"/>
        <v>134</v>
      </c>
      <c r="C151" s="458">
        <f t="shared" si="12"/>
        <v>0</v>
      </c>
      <c r="D151" s="458">
        <f t="shared" si="16"/>
        <v>0</v>
      </c>
      <c r="E151" s="458">
        <f>IF(B151="","-",SUM($D$18:D151))</f>
        <v>0</v>
      </c>
      <c r="F151" s="458">
        <f t="shared" si="13"/>
        <v>0</v>
      </c>
      <c r="G151" s="458">
        <f>IF(B151="","-",SUM($F$18:F151))</f>
        <v>0</v>
      </c>
      <c r="H151" s="458">
        <f t="shared" si="14"/>
        <v>0</v>
      </c>
      <c r="I151" s="159"/>
      <c r="J151" s="113"/>
      <c r="K151" s="113"/>
      <c r="M151" s="113"/>
      <c r="N151" s="113"/>
      <c r="O151" s="113"/>
      <c r="P151" s="113"/>
      <c r="Q151" s="113"/>
      <c r="R151" s="113"/>
      <c r="S151" s="113"/>
      <c r="T151" s="113"/>
      <c r="U151" s="113"/>
      <c r="V151" s="113"/>
    </row>
    <row r="152" spans="1:22" x14ac:dyDescent="0.2">
      <c r="A152" s="113"/>
      <c r="B152" s="457">
        <f t="shared" si="15"/>
        <v>135</v>
      </c>
      <c r="C152" s="458">
        <f t="shared" si="12"/>
        <v>0</v>
      </c>
      <c r="D152" s="458">
        <f t="shared" si="16"/>
        <v>0</v>
      </c>
      <c r="E152" s="458">
        <f>IF(B152="","-",SUM($D$18:D152))</f>
        <v>0</v>
      </c>
      <c r="F152" s="458">
        <f t="shared" si="13"/>
        <v>0</v>
      </c>
      <c r="G152" s="458">
        <f>IF(B152="","-",SUM($F$18:F152))</f>
        <v>0</v>
      </c>
      <c r="H152" s="458">
        <f t="shared" si="14"/>
        <v>0</v>
      </c>
      <c r="I152" s="159"/>
      <c r="J152" s="113"/>
      <c r="K152" s="113"/>
      <c r="M152" s="113"/>
      <c r="N152" s="113"/>
      <c r="O152" s="113"/>
      <c r="P152" s="113"/>
      <c r="Q152" s="113"/>
      <c r="R152" s="113"/>
      <c r="S152" s="113"/>
      <c r="T152" s="113"/>
      <c r="U152" s="113"/>
      <c r="V152" s="113"/>
    </row>
    <row r="153" spans="1:22" x14ac:dyDescent="0.2">
      <c r="A153" s="113"/>
      <c r="B153" s="457">
        <f t="shared" si="15"/>
        <v>136</v>
      </c>
      <c r="C153" s="458">
        <f t="shared" si="12"/>
        <v>0</v>
      </c>
      <c r="D153" s="458">
        <f t="shared" si="16"/>
        <v>0</v>
      </c>
      <c r="E153" s="458">
        <f>IF(B153="","-",SUM($D$18:D153))</f>
        <v>0</v>
      </c>
      <c r="F153" s="458">
        <f t="shared" si="13"/>
        <v>0</v>
      </c>
      <c r="G153" s="458">
        <f>IF(B153="","-",SUM($F$18:F153))</f>
        <v>0</v>
      </c>
      <c r="H153" s="458">
        <f t="shared" si="14"/>
        <v>0</v>
      </c>
      <c r="I153" s="159"/>
      <c r="J153" s="113"/>
      <c r="K153" s="113"/>
      <c r="M153" s="113"/>
      <c r="N153" s="113"/>
      <c r="O153" s="113"/>
      <c r="P153" s="113"/>
      <c r="Q153" s="113"/>
      <c r="R153" s="113"/>
      <c r="S153" s="113"/>
      <c r="T153" s="113"/>
      <c r="U153" s="113"/>
      <c r="V153" s="113"/>
    </row>
    <row r="154" spans="1:22" x14ac:dyDescent="0.2">
      <c r="A154" s="113"/>
      <c r="B154" s="457">
        <f t="shared" si="15"/>
        <v>137</v>
      </c>
      <c r="C154" s="458">
        <f t="shared" si="12"/>
        <v>0</v>
      </c>
      <c r="D154" s="458">
        <f t="shared" si="16"/>
        <v>0</v>
      </c>
      <c r="E154" s="458">
        <f>IF(B154="","-",SUM($D$18:D154))</f>
        <v>0</v>
      </c>
      <c r="F154" s="458">
        <f t="shared" si="13"/>
        <v>0</v>
      </c>
      <c r="G154" s="458">
        <f>IF(B154="","-",SUM($F$18:F154))</f>
        <v>0</v>
      </c>
      <c r="H154" s="458">
        <f t="shared" si="14"/>
        <v>0</v>
      </c>
      <c r="I154" s="159"/>
      <c r="J154" s="113"/>
      <c r="K154" s="113"/>
      <c r="M154" s="113"/>
      <c r="N154" s="113"/>
      <c r="O154" s="113"/>
      <c r="P154" s="113"/>
      <c r="Q154" s="113"/>
      <c r="R154" s="113"/>
      <c r="S154" s="113"/>
      <c r="T154" s="113"/>
      <c r="U154" s="113"/>
      <c r="V154" s="113"/>
    </row>
    <row r="155" spans="1:22" x14ac:dyDescent="0.2">
      <c r="A155" s="113"/>
      <c r="B155" s="457">
        <f t="shared" si="15"/>
        <v>138</v>
      </c>
      <c r="C155" s="458">
        <f t="shared" si="12"/>
        <v>0</v>
      </c>
      <c r="D155" s="458">
        <f t="shared" si="16"/>
        <v>0</v>
      </c>
      <c r="E155" s="458">
        <f>IF(B155="","-",SUM($D$18:D155))</f>
        <v>0</v>
      </c>
      <c r="F155" s="458">
        <f t="shared" si="13"/>
        <v>0</v>
      </c>
      <c r="G155" s="458">
        <f>IF(B155="","-",SUM($F$18:F155))</f>
        <v>0</v>
      </c>
      <c r="H155" s="458">
        <f t="shared" si="14"/>
        <v>0</v>
      </c>
      <c r="I155" s="159"/>
      <c r="J155" s="113"/>
      <c r="K155" s="113"/>
      <c r="M155" s="113"/>
      <c r="N155" s="113"/>
      <c r="O155" s="113"/>
      <c r="P155" s="113"/>
      <c r="Q155" s="113"/>
      <c r="R155" s="113"/>
      <c r="S155" s="113"/>
      <c r="T155" s="113"/>
      <c r="U155" s="113"/>
      <c r="V155" s="113"/>
    </row>
    <row r="156" spans="1:22" x14ac:dyDescent="0.2">
      <c r="A156" s="113"/>
      <c r="B156" s="457">
        <f t="shared" si="15"/>
        <v>139</v>
      </c>
      <c r="C156" s="458">
        <f t="shared" si="12"/>
        <v>0</v>
      </c>
      <c r="D156" s="458">
        <f t="shared" si="16"/>
        <v>0</v>
      </c>
      <c r="E156" s="458">
        <f>IF(B156="","-",SUM($D$18:D156))</f>
        <v>0</v>
      </c>
      <c r="F156" s="458">
        <f t="shared" si="13"/>
        <v>0</v>
      </c>
      <c r="G156" s="458">
        <f>IF(B156="","-",SUM($F$18:F156))</f>
        <v>0</v>
      </c>
      <c r="H156" s="458">
        <f t="shared" si="14"/>
        <v>0</v>
      </c>
      <c r="I156" s="159"/>
      <c r="J156" s="113"/>
      <c r="K156" s="113"/>
      <c r="M156" s="113"/>
      <c r="N156" s="113"/>
      <c r="O156" s="113"/>
      <c r="P156" s="113"/>
      <c r="Q156" s="113"/>
      <c r="R156" s="113"/>
      <c r="S156" s="113"/>
      <c r="T156" s="113"/>
      <c r="U156" s="113"/>
      <c r="V156" s="113"/>
    </row>
    <row r="157" spans="1:22" x14ac:dyDescent="0.2">
      <c r="A157" s="113"/>
      <c r="B157" s="457">
        <f t="shared" si="15"/>
        <v>140</v>
      </c>
      <c r="C157" s="458">
        <f t="shared" si="12"/>
        <v>0</v>
      </c>
      <c r="D157" s="458">
        <f t="shared" si="16"/>
        <v>0</v>
      </c>
      <c r="E157" s="458">
        <f>IF(B157="","-",SUM($D$18:D157))</f>
        <v>0</v>
      </c>
      <c r="F157" s="458">
        <f t="shared" si="13"/>
        <v>0</v>
      </c>
      <c r="G157" s="458">
        <f>IF(B157="","-",SUM($F$18:F157))</f>
        <v>0</v>
      </c>
      <c r="H157" s="458">
        <f t="shared" si="14"/>
        <v>0</v>
      </c>
      <c r="I157" s="159"/>
      <c r="J157" s="113"/>
      <c r="K157" s="113"/>
      <c r="M157" s="113"/>
      <c r="N157" s="113"/>
      <c r="O157" s="113"/>
      <c r="P157" s="113"/>
      <c r="Q157" s="113"/>
      <c r="R157" s="113"/>
      <c r="S157" s="113"/>
      <c r="T157" s="113"/>
      <c r="U157" s="113"/>
      <c r="V157" s="113"/>
    </row>
    <row r="158" spans="1:22" x14ac:dyDescent="0.2">
      <c r="A158" s="113"/>
      <c r="B158" s="457">
        <f t="shared" si="15"/>
        <v>141</v>
      </c>
      <c r="C158" s="458">
        <f t="shared" si="12"/>
        <v>0</v>
      </c>
      <c r="D158" s="458">
        <f t="shared" si="16"/>
        <v>0</v>
      </c>
      <c r="E158" s="458">
        <f>IF(B158="","-",SUM($D$18:D158))</f>
        <v>0</v>
      </c>
      <c r="F158" s="458">
        <f t="shared" si="13"/>
        <v>0</v>
      </c>
      <c r="G158" s="458">
        <f>IF(B158="","-",SUM($F$18:F158))</f>
        <v>0</v>
      </c>
      <c r="H158" s="458">
        <f t="shared" si="14"/>
        <v>0</v>
      </c>
      <c r="I158" s="159"/>
      <c r="J158" s="113"/>
      <c r="K158" s="113"/>
      <c r="M158" s="113"/>
      <c r="N158" s="113"/>
      <c r="O158" s="113"/>
      <c r="P158" s="113"/>
      <c r="Q158" s="113"/>
      <c r="R158" s="113"/>
      <c r="S158" s="113"/>
      <c r="T158" s="113"/>
      <c r="U158" s="113"/>
      <c r="V158" s="113"/>
    </row>
    <row r="159" spans="1:22" x14ac:dyDescent="0.2">
      <c r="A159" s="113"/>
      <c r="B159" s="457">
        <f t="shared" si="15"/>
        <v>142</v>
      </c>
      <c r="C159" s="458">
        <f t="shared" si="12"/>
        <v>0</v>
      </c>
      <c r="D159" s="458">
        <f t="shared" si="16"/>
        <v>0</v>
      </c>
      <c r="E159" s="458">
        <f>IF(B159="","-",SUM($D$18:D159))</f>
        <v>0</v>
      </c>
      <c r="F159" s="458">
        <f t="shared" si="13"/>
        <v>0</v>
      </c>
      <c r="G159" s="458">
        <f>IF(B159="","-",SUM($F$18:F159))</f>
        <v>0</v>
      </c>
      <c r="H159" s="458">
        <f t="shared" si="14"/>
        <v>0</v>
      </c>
      <c r="I159" s="159"/>
      <c r="J159" s="113"/>
      <c r="K159" s="113"/>
      <c r="M159" s="113"/>
      <c r="N159" s="113"/>
      <c r="O159" s="113"/>
      <c r="P159" s="113"/>
      <c r="Q159" s="113"/>
      <c r="R159" s="113"/>
      <c r="S159" s="113"/>
      <c r="T159" s="113"/>
      <c r="U159" s="113"/>
      <c r="V159" s="113"/>
    </row>
    <row r="160" spans="1:22" x14ac:dyDescent="0.2">
      <c r="A160" s="113"/>
      <c r="B160" s="457">
        <f t="shared" si="15"/>
        <v>143</v>
      </c>
      <c r="C160" s="458">
        <f t="shared" si="12"/>
        <v>0</v>
      </c>
      <c r="D160" s="458">
        <f t="shared" si="16"/>
        <v>0</v>
      </c>
      <c r="E160" s="458">
        <f>IF(B160="","-",SUM($D$18:D160))</f>
        <v>0</v>
      </c>
      <c r="F160" s="458">
        <f t="shared" si="13"/>
        <v>0</v>
      </c>
      <c r="G160" s="458">
        <f>IF(B160="","-",SUM($F$18:F160))</f>
        <v>0</v>
      </c>
      <c r="H160" s="458">
        <f t="shared" si="14"/>
        <v>0</v>
      </c>
      <c r="I160" s="159"/>
      <c r="J160" s="113"/>
      <c r="K160" s="113"/>
      <c r="M160" s="113"/>
      <c r="N160" s="113"/>
      <c r="O160" s="113"/>
      <c r="P160" s="113"/>
      <c r="Q160" s="113"/>
      <c r="R160" s="113"/>
      <c r="S160" s="113"/>
      <c r="T160" s="113"/>
      <c r="U160" s="113"/>
      <c r="V160" s="113"/>
    </row>
    <row r="161" spans="1:22" x14ac:dyDescent="0.2">
      <c r="A161" s="113"/>
      <c r="B161" s="457">
        <f t="shared" si="15"/>
        <v>144</v>
      </c>
      <c r="C161" s="460">
        <f t="shared" si="12"/>
        <v>0</v>
      </c>
      <c r="D161" s="458">
        <f t="shared" si="16"/>
        <v>0</v>
      </c>
      <c r="E161" s="458">
        <f>IF(B161="","-",SUM($D$18:D161))</f>
        <v>0</v>
      </c>
      <c r="F161" s="458">
        <f t="shared" si="13"/>
        <v>0</v>
      </c>
      <c r="G161" s="458">
        <f>IF(B161="","-",SUM($F$18:F161))</f>
        <v>0</v>
      </c>
      <c r="H161" s="458">
        <f t="shared" si="14"/>
        <v>0</v>
      </c>
      <c r="I161" s="159"/>
      <c r="J161" s="113"/>
      <c r="K161" s="113"/>
      <c r="M161" s="113"/>
      <c r="N161" s="113"/>
      <c r="O161" s="113"/>
      <c r="P161" s="113"/>
      <c r="Q161" s="113"/>
      <c r="R161" s="113"/>
      <c r="S161" s="113"/>
      <c r="T161" s="113"/>
      <c r="U161" s="113"/>
      <c r="V161" s="113"/>
    </row>
    <row r="162" spans="1:22" x14ac:dyDescent="0.2">
      <c r="A162" s="113"/>
      <c r="B162" s="457">
        <f t="shared" si="15"/>
        <v>145</v>
      </c>
      <c r="C162" s="458">
        <f t="shared" si="12"/>
        <v>0</v>
      </c>
      <c r="D162" s="458">
        <f t="shared" si="16"/>
        <v>0</v>
      </c>
      <c r="E162" s="458">
        <f>IF(B162="","-",SUM($D$18:D162))</f>
        <v>0</v>
      </c>
      <c r="F162" s="458">
        <f t="shared" si="13"/>
        <v>0</v>
      </c>
      <c r="G162" s="458">
        <f>IF(B162="","-",SUM($F$18:F162))</f>
        <v>0</v>
      </c>
      <c r="H162" s="458">
        <f t="shared" si="14"/>
        <v>0</v>
      </c>
      <c r="I162" s="159"/>
      <c r="J162" s="113"/>
      <c r="K162" s="113"/>
      <c r="M162" s="113"/>
      <c r="N162" s="113"/>
      <c r="O162" s="113"/>
      <c r="P162" s="113"/>
      <c r="Q162" s="113"/>
      <c r="R162" s="113"/>
      <c r="S162" s="113"/>
      <c r="T162" s="113"/>
      <c r="U162" s="113"/>
      <c r="V162" s="113"/>
    </row>
    <row r="163" spans="1:22" x14ac:dyDescent="0.2">
      <c r="A163" s="113"/>
      <c r="B163" s="457">
        <f t="shared" si="15"/>
        <v>146</v>
      </c>
      <c r="C163" s="458">
        <f t="shared" si="12"/>
        <v>0</v>
      </c>
      <c r="D163" s="458">
        <f t="shared" si="16"/>
        <v>0</v>
      </c>
      <c r="E163" s="458">
        <f>IF(B163="","-",SUM($D$18:D163))</f>
        <v>0</v>
      </c>
      <c r="F163" s="458">
        <f t="shared" si="13"/>
        <v>0</v>
      </c>
      <c r="G163" s="458">
        <f>IF(B163="","-",SUM($F$18:F163))</f>
        <v>0</v>
      </c>
      <c r="H163" s="458">
        <f t="shared" si="14"/>
        <v>0</v>
      </c>
      <c r="I163" s="159"/>
      <c r="J163" s="113"/>
      <c r="K163" s="113"/>
      <c r="M163" s="113"/>
      <c r="N163" s="113"/>
      <c r="O163" s="113"/>
      <c r="P163" s="113"/>
      <c r="Q163" s="113"/>
      <c r="R163" s="113"/>
      <c r="S163" s="113"/>
      <c r="T163" s="113"/>
      <c r="U163" s="113"/>
      <c r="V163" s="113"/>
    </row>
    <row r="164" spans="1:22" x14ac:dyDescent="0.2">
      <c r="A164" s="113"/>
      <c r="B164" s="457">
        <f t="shared" si="15"/>
        <v>147</v>
      </c>
      <c r="C164" s="458">
        <f t="shared" si="12"/>
        <v>0</v>
      </c>
      <c r="D164" s="458">
        <f t="shared" si="16"/>
        <v>0</v>
      </c>
      <c r="E164" s="458">
        <f>IF(B164="","-",SUM($D$18:D164))</f>
        <v>0</v>
      </c>
      <c r="F164" s="458">
        <f t="shared" si="13"/>
        <v>0</v>
      </c>
      <c r="G164" s="458">
        <f>IF(B164="","-",SUM($F$18:F164))</f>
        <v>0</v>
      </c>
      <c r="H164" s="458">
        <f t="shared" si="14"/>
        <v>0</v>
      </c>
      <c r="I164" s="159"/>
      <c r="J164" s="113"/>
      <c r="K164" s="113"/>
      <c r="M164" s="113"/>
      <c r="N164" s="113"/>
      <c r="O164" s="113"/>
      <c r="P164" s="113"/>
      <c r="Q164" s="113"/>
      <c r="R164" s="113"/>
      <c r="S164" s="113"/>
      <c r="T164" s="113"/>
      <c r="U164" s="113"/>
      <c r="V164" s="113"/>
    </row>
    <row r="165" spans="1:22" x14ac:dyDescent="0.2">
      <c r="A165" s="113"/>
      <c r="B165" s="457">
        <f t="shared" si="15"/>
        <v>148</v>
      </c>
      <c r="C165" s="458">
        <f t="shared" si="12"/>
        <v>0</v>
      </c>
      <c r="D165" s="458">
        <f t="shared" si="16"/>
        <v>0</v>
      </c>
      <c r="E165" s="458">
        <f>IF(B165="","-",SUM($D$18:D165))</f>
        <v>0</v>
      </c>
      <c r="F165" s="458">
        <f t="shared" si="13"/>
        <v>0</v>
      </c>
      <c r="G165" s="458">
        <f>IF(B165="","-",SUM($F$18:F165))</f>
        <v>0</v>
      </c>
      <c r="H165" s="458">
        <f t="shared" si="14"/>
        <v>0</v>
      </c>
      <c r="I165" s="159"/>
      <c r="J165" s="113"/>
      <c r="K165" s="113"/>
      <c r="M165" s="113"/>
      <c r="N165" s="113"/>
      <c r="O165" s="113"/>
      <c r="P165" s="113"/>
      <c r="Q165" s="113"/>
      <c r="R165" s="113"/>
      <c r="S165" s="113"/>
      <c r="T165" s="113"/>
      <c r="U165" s="113"/>
      <c r="V165" s="113"/>
    </row>
    <row r="166" spans="1:22" x14ac:dyDescent="0.2">
      <c r="A166" s="113"/>
      <c r="B166" s="457">
        <f t="shared" si="15"/>
        <v>149</v>
      </c>
      <c r="C166" s="458">
        <f t="shared" si="12"/>
        <v>0</v>
      </c>
      <c r="D166" s="458">
        <f t="shared" si="16"/>
        <v>0</v>
      </c>
      <c r="E166" s="458">
        <f>IF(B166="","-",SUM($D$18:D166))</f>
        <v>0</v>
      </c>
      <c r="F166" s="458">
        <f t="shared" si="13"/>
        <v>0</v>
      </c>
      <c r="G166" s="458">
        <f>IF(B166="","-",SUM($F$18:F166))</f>
        <v>0</v>
      </c>
      <c r="H166" s="458">
        <f t="shared" si="14"/>
        <v>0</v>
      </c>
      <c r="I166" s="159"/>
      <c r="J166" s="113"/>
      <c r="K166" s="113"/>
      <c r="M166" s="113"/>
      <c r="N166" s="113"/>
      <c r="O166" s="113"/>
      <c r="P166" s="113"/>
      <c r="Q166" s="113"/>
      <c r="R166" s="113"/>
      <c r="S166" s="113"/>
      <c r="T166" s="113"/>
      <c r="U166" s="113"/>
      <c r="V166" s="113"/>
    </row>
    <row r="167" spans="1:22" x14ac:dyDescent="0.2">
      <c r="A167" s="113"/>
      <c r="B167" s="457">
        <f t="shared" si="15"/>
        <v>150</v>
      </c>
      <c r="C167" s="458">
        <f t="shared" si="12"/>
        <v>0</v>
      </c>
      <c r="D167" s="458">
        <f t="shared" si="16"/>
        <v>0</v>
      </c>
      <c r="E167" s="458">
        <f>IF(B167="","-",SUM($D$18:D167))</f>
        <v>0</v>
      </c>
      <c r="F167" s="458">
        <f t="shared" si="13"/>
        <v>0</v>
      </c>
      <c r="G167" s="458">
        <f>IF(B167="","-",SUM($F$18:F167))</f>
        <v>0</v>
      </c>
      <c r="H167" s="458">
        <f t="shared" si="14"/>
        <v>0</v>
      </c>
      <c r="I167" s="159"/>
      <c r="J167" s="113"/>
      <c r="K167" s="113"/>
      <c r="M167" s="113"/>
      <c r="N167" s="113"/>
      <c r="O167" s="113"/>
      <c r="P167" s="113"/>
      <c r="Q167" s="113"/>
      <c r="R167" s="113"/>
      <c r="S167" s="113"/>
      <c r="T167" s="113"/>
      <c r="U167" s="113"/>
      <c r="V167" s="113"/>
    </row>
    <row r="168" spans="1:22" x14ac:dyDescent="0.2">
      <c r="A168" s="113"/>
      <c r="B168" s="457">
        <f t="shared" si="15"/>
        <v>151</v>
      </c>
      <c r="C168" s="458">
        <f t="shared" si="12"/>
        <v>0</v>
      </c>
      <c r="D168" s="458">
        <f t="shared" si="16"/>
        <v>0</v>
      </c>
      <c r="E168" s="458">
        <f>IF(B168="","-",SUM($D$18:D168))</f>
        <v>0</v>
      </c>
      <c r="F168" s="458">
        <f t="shared" si="13"/>
        <v>0</v>
      </c>
      <c r="G168" s="458">
        <f>IF(B168="","-",SUM($F$18:F168))</f>
        <v>0</v>
      </c>
      <c r="H168" s="458">
        <f t="shared" si="14"/>
        <v>0</v>
      </c>
      <c r="I168" s="159"/>
      <c r="J168" s="113"/>
      <c r="K168" s="113"/>
      <c r="M168" s="113"/>
      <c r="N168" s="113"/>
      <c r="O168" s="113"/>
      <c r="P168" s="113"/>
      <c r="Q168" s="113"/>
      <c r="R168" s="113"/>
      <c r="S168" s="113"/>
      <c r="T168" s="113"/>
      <c r="U168" s="113"/>
      <c r="V168" s="113"/>
    </row>
    <row r="169" spans="1:22" x14ac:dyDescent="0.2">
      <c r="A169" s="113"/>
      <c r="B169" s="457">
        <f t="shared" si="15"/>
        <v>152</v>
      </c>
      <c r="C169" s="458">
        <f t="shared" si="12"/>
        <v>0</v>
      </c>
      <c r="D169" s="458">
        <f t="shared" si="16"/>
        <v>0</v>
      </c>
      <c r="E169" s="458">
        <f>IF(B169="","-",SUM($D$18:D169))</f>
        <v>0</v>
      </c>
      <c r="F169" s="458">
        <f t="shared" si="13"/>
        <v>0</v>
      </c>
      <c r="G169" s="458">
        <f>IF(B169="","-",SUM($F$18:F169))</f>
        <v>0</v>
      </c>
      <c r="H169" s="458">
        <f t="shared" si="14"/>
        <v>0</v>
      </c>
      <c r="I169" s="159"/>
      <c r="J169" s="113"/>
      <c r="K169" s="113"/>
      <c r="M169" s="113"/>
      <c r="N169" s="113"/>
      <c r="O169" s="113"/>
      <c r="P169" s="113"/>
      <c r="Q169" s="113"/>
      <c r="R169" s="113"/>
      <c r="S169" s="113"/>
      <c r="T169" s="113"/>
      <c r="U169" s="113"/>
      <c r="V169" s="113"/>
    </row>
    <row r="170" spans="1:22" x14ac:dyDescent="0.2">
      <c r="A170" s="113"/>
      <c r="B170" s="457">
        <f t="shared" si="15"/>
        <v>153</v>
      </c>
      <c r="C170" s="458">
        <f t="shared" si="12"/>
        <v>0</v>
      </c>
      <c r="D170" s="458">
        <f t="shared" si="16"/>
        <v>0</v>
      </c>
      <c r="E170" s="458">
        <f>IF(B170="","-",SUM($D$18:D170))</f>
        <v>0</v>
      </c>
      <c r="F170" s="458">
        <f t="shared" si="13"/>
        <v>0</v>
      </c>
      <c r="G170" s="458">
        <f>IF(B170="","-",SUM($F$18:F170))</f>
        <v>0</v>
      </c>
      <c r="H170" s="458">
        <f t="shared" si="14"/>
        <v>0</v>
      </c>
      <c r="I170" s="159"/>
      <c r="J170" s="113"/>
      <c r="K170" s="113"/>
      <c r="M170" s="113"/>
      <c r="N170" s="113"/>
      <c r="O170" s="113"/>
      <c r="P170" s="113"/>
      <c r="Q170" s="113"/>
      <c r="R170" s="113"/>
      <c r="S170" s="113"/>
      <c r="T170" s="113"/>
      <c r="U170" s="113"/>
      <c r="V170" s="113"/>
    </row>
    <row r="171" spans="1:22" x14ac:dyDescent="0.2">
      <c r="A171" s="113"/>
      <c r="B171" s="457">
        <f t="shared" si="15"/>
        <v>154</v>
      </c>
      <c r="C171" s="458">
        <f t="shared" si="12"/>
        <v>0</v>
      </c>
      <c r="D171" s="458">
        <f t="shared" si="16"/>
        <v>0</v>
      </c>
      <c r="E171" s="458">
        <f>IF(B171="","-",SUM($D$18:D171))</f>
        <v>0</v>
      </c>
      <c r="F171" s="458">
        <f t="shared" si="13"/>
        <v>0</v>
      </c>
      <c r="G171" s="458">
        <f>IF(B171="","-",SUM($F$18:F171))</f>
        <v>0</v>
      </c>
      <c r="H171" s="458">
        <f t="shared" si="14"/>
        <v>0</v>
      </c>
      <c r="I171" s="159"/>
      <c r="J171" s="113"/>
      <c r="K171" s="113"/>
      <c r="M171" s="113"/>
      <c r="N171" s="113"/>
      <c r="O171" s="113"/>
      <c r="P171" s="113"/>
      <c r="Q171" s="113"/>
      <c r="R171" s="113"/>
      <c r="S171" s="113"/>
      <c r="T171" s="113"/>
      <c r="U171" s="113"/>
      <c r="V171" s="113"/>
    </row>
    <row r="172" spans="1:22" x14ac:dyDescent="0.2">
      <c r="A172" s="113"/>
      <c r="B172" s="457">
        <f t="shared" si="15"/>
        <v>155</v>
      </c>
      <c r="C172" s="458">
        <f t="shared" si="12"/>
        <v>0</v>
      </c>
      <c r="D172" s="458">
        <f t="shared" si="16"/>
        <v>0</v>
      </c>
      <c r="E172" s="458">
        <f>IF(B172="","-",SUM($D$18:D172))</f>
        <v>0</v>
      </c>
      <c r="F172" s="458">
        <f t="shared" si="13"/>
        <v>0</v>
      </c>
      <c r="G172" s="458">
        <f>IF(B172="","-",SUM($F$18:F172))</f>
        <v>0</v>
      </c>
      <c r="H172" s="458">
        <f t="shared" si="14"/>
        <v>0</v>
      </c>
      <c r="I172" s="159"/>
      <c r="J172" s="113"/>
      <c r="K172" s="113"/>
      <c r="M172" s="113"/>
      <c r="N172" s="113"/>
      <c r="O172" s="113"/>
      <c r="P172" s="113"/>
      <c r="Q172" s="113"/>
      <c r="R172" s="113"/>
      <c r="S172" s="113"/>
      <c r="T172" s="113"/>
      <c r="U172" s="113"/>
      <c r="V172" s="113"/>
    </row>
    <row r="173" spans="1:22" x14ac:dyDescent="0.2">
      <c r="A173" s="113"/>
      <c r="B173" s="457">
        <f t="shared" si="15"/>
        <v>156</v>
      </c>
      <c r="C173" s="460">
        <f t="shared" si="12"/>
        <v>0</v>
      </c>
      <c r="D173" s="458">
        <f t="shared" si="16"/>
        <v>0</v>
      </c>
      <c r="E173" s="458">
        <f>IF(B173="","-",SUM($D$18:D173))</f>
        <v>0</v>
      </c>
      <c r="F173" s="458">
        <f t="shared" si="13"/>
        <v>0</v>
      </c>
      <c r="G173" s="458">
        <f>IF(B173="","-",SUM($F$18:F173))</f>
        <v>0</v>
      </c>
      <c r="H173" s="458">
        <f t="shared" si="14"/>
        <v>0</v>
      </c>
      <c r="I173" s="159"/>
      <c r="J173" s="113"/>
      <c r="K173" s="113"/>
      <c r="M173" s="113"/>
      <c r="N173" s="113"/>
      <c r="O173" s="113"/>
      <c r="P173" s="113"/>
      <c r="Q173" s="113"/>
      <c r="R173" s="113"/>
      <c r="S173" s="113"/>
      <c r="T173" s="113"/>
      <c r="U173" s="113"/>
      <c r="V173" s="113"/>
    </row>
    <row r="174" spans="1:22" x14ac:dyDescent="0.2">
      <c r="A174" s="113"/>
      <c r="B174" s="457">
        <f t="shared" si="15"/>
        <v>157</v>
      </c>
      <c r="C174" s="458">
        <f t="shared" si="12"/>
        <v>0</v>
      </c>
      <c r="D174" s="458">
        <f t="shared" si="16"/>
        <v>0</v>
      </c>
      <c r="E174" s="458">
        <f>IF(B174="","-",SUM($D$18:D174))</f>
        <v>0</v>
      </c>
      <c r="F174" s="458">
        <f t="shared" si="13"/>
        <v>0</v>
      </c>
      <c r="G174" s="458">
        <f>IF(B174="","-",SUM($F$18:F174))</f>
        <v>0</v>
      </c>
      <c r="H174" s="458">
        <f t="shared" si="14"/>
        <v>0</v>
      </c>
      <c r="I174" s="159"/>
      <c r="J174" s="113"/>
      <c r="K174" s="113"/>
      <c r="M174" s="113"/>
      <c r="N174" s="113"/>
      <c r="O174" s="113"/>
      <c r="P174" s="113"/>
      <c r="Q174" s="113"/>
      <c r="R174" s="113"/>
      <c r="S174" s="113"/>
      <c r="T174" s="113"/>
      <c r="U174" s="113"/>
      <c r="V174" s="113"/>
    </row>
    <row r="175" spans="1:22" x14ac:dyDescent="0.2">
      <c r="A175" s="113"/>
      <c r="B175" s="457">
        <f t="shared" si="15"/>
        <v>158</v>
      </c>
      <c r="C175" s="458">
        <f t="shared" si="12"/>
        <v>0</v>
      </c>
      <c r="D175" s="458">
        <f t="shared" si="16"/>
        <v>0</v>
      </c>
      <c r="E175" s="458">
        <f>IF(B175="","-",SUM($D$18:D175))</f>
        <v>0</v>
      </c>
      <c r="F175" s="458">
        <f t="shared" si="13"/>
        <v>0</v>
      </c>
      <c r="G175" s="458">
        <f>IF(B175="","-",SUM($F$18:F175))</f>
        <v>0</v>
      </c>
      <c r="H175" s="458">
        <f t="shared" si="14"/>
        <v>0</v>
      </c>
      <c r="I175" s="159"/>
      <c r="J175" s="113"/>
      <c r="K175" s="113"/>
      <c r="M175" s="113"/>
      <c r="N175" s="113"/>
      <c r="O175" s="113"/>
      <c r="P175" s="113"/>
      <c r="Q175" s="113"/>
      <c r="R175" s="113"/>
      <c r="S175" s="113"/>
      <c r="T175" s="113"/>
      <c r="U175" s="113"/>
      <c r="V175" s="113"/>
    </row>
    <row r="176" spans="1:22" x14ac:dyDescent="0.2">
      <c r="A176" s="113"/>
      <c r="B176" s="457">
        <f t="shared" si="15"/>
        <v>159</v>
      </c>
      <c r="C176" s="458">
        <f t="shared" si="12"/>
        <v>0</v>
      </c>
      <c r="D176" s="458">
        <f t="shared" si="16"/>
        <v>0</v>
      </c>
      <c r="E176" s="458">
        <f>IF(B176="","-",SUM($D$18:D176))</f>
        <v>0</v>
      </c>
      <c r="F176" s="458">
        <f t="shared" si="13"/>
        <v>0</v>
      </c>
      <c r="G176" s="458">
        <f>IF(B176="","-",SUM($F$18:F176))</f>
        <v>0</v>
      </c>
      <c r="H176" s="458">
        <f t="shared" si="14"/>
        <v>0</v>
      </c>
      <c r="I176" s="159"/>
      <c r="J176" s="113"/>
      <c r="K176" s="113"/>
      <c r="M176" s="113"/>
      <c r="N176" s="113"/>
      <c r="O176" s="113"/>
      <c r="P176" s="113"/>
      <c r="Q176" s="113"/>
      <c r="R176" s="113"/>
      <c r="S176" s="113"/>
      <c r="T176" s="113"/>
      <c r="U176" s="113"/>
      <c r="V176" s="113"/>
    </row>
    <row r="177" spans="1:22" x14ac:dyDescent="0.2">
      <c r="A177" s="113"/>
      <c r="B177" s="457">
        <f t="shared" si="15"/>
        <v>160</v>
      </c>
      <c r="C177" s="458">
        <f t="shared" si="12"/>
        <v>0</v>
      </c>
      <c r="D177" s="458">
        <f t="shared" si="16"/>
        <v>0</v>
      </c>
      <c r="E177" s="458">
        <f>IF(B177="","-",SUM($D$18:D177))</f>
        <v>0</v>
      </c>
      <c r="F177" s="458">
        <f t="shared" si="13"/>
        <v>0</v>
      </c>
      <c r="G177" s="458">
        <f>IF(B177="","-",SUM($F$18:F177))</f>
        <v>0</v>
      </c>
      <c r="H177" s="458">
        <f t="shared" si="14"/>
        <v>0</v>
      </c>
      <c r="I177" s="159"/>
      <c r="J177" s="113"/>
      <c r="K177" s="113"/>
      <c r="M177" s="113"/>
      <c r="N177" s="113"/>
      <c r="O177" s="113"/>
      <c r="P177" s="113"/>
      <c r="Q177" s="113"/>
      <c r="R177" s="113"/>
      <c r="S177" s="113"/>
      <c r="T177" s="113"/>
      <c r="U177" s="113"/>
      <c r="V177" s="113"/>
    </row>
    <row r="178" spans="1:22" x14ac:dyDescent="0.2">
      <c r="A178" s="113"/>
      <c r="B178" s="457">
        <f t="shared" si="15"/>
        <v>161</v>
      </c>
      <c r="C178" s="458">
        <f t="shared" si="12"/>
        <v>0</v>
      </c>
      <c r="D178" s="458">
        <f t="shared" si="16"/>
        <v>0</v>
      </c>
      <c r="E178" s="458">
        <f>IF(B178="","-",SUM($D$18:D178))</f>
        <v>0</v>
      </c>
      <c r="F178" s="458">
        <f t="shared" si="13"/>
        <v>0</v>
      </c>
      <c r="G178" s="458">
        <f>IF(B178="","-",SUM($F$18:F178))</f>
        <v>0</v>
      </c>
      <c r="H178" s="458">
        <f t="shared" si="14"/>
        <v>0</v>
      </c>
      <c r="I178" s="159"/>
      <c r="J178" s="113"/>
      <c r="K178" s="113"/>
      <c r="M178" s="113"/>
      <c r="N178" s="113"/>
      <c r="O178" s="113"/>
      <c r="P178" s="113"/>
      <c r="Q178" s="113"/>
      <c r="R178" s="113"/>
      <c r="S178" s="113"/>
      <c r="T178" s="113"/>
      <c r="U178" s="113"/>
      <c r="V178" s="113"/>
    </row>
    <row r="179" spans="1:22" x14ac:dyDescent="0.2">
      <c r="A179" s="113"/>
      <c r="B179" s="457">
        <f t="shared" si="15"/>
        <v>162</v>
      </c>
      <c r="C179" s="458">
        <f t="shared" si="12"/>
        <v>0</v>
      </c>
      <c r="D179" s="458">
        <f t="shared" si="16"/>
        <v>0</v>
      </c>
      <c r="E179" s="458">
        <f>IF(B179="","-",SUM($D$18:D179))</f>
        <v>0</v>
      </c>
      <c r="F179" s="458">
        <f t="shared" si="13"/>
        <v>0</v>
      </c>
      <c r="G179" s="458">
        <f>IF(B179="","-",SUM($F$18:F179))</f>
        <v>0</v>
      </c>
      <c r="H179" s="458">
        <f t="shared" si="14"/>
        <v>0</v>
      </c>
      <c r="I179" s="159"/>
      <c r="J179" s="113"/>
      <c r="K179" s="113"/>
      <c r="M179" s="113"/>
      <c r="N179" s="113"/>
      <c r="O179" s="113"/>
      <c r="P179" s="113"/>
      <c r="Q179" s="113"/>
      <c r="R179" s="113"/>
      <c r="S179" s="113"/>
      <c r="T179" s="113"/>
      <c r="U179" s="113"/>
      <c r="V179" s="113"/>
    </row>
    <row r="180" spans="1:22" x14ac:dyDescent="0.2">
      <c r="A180" s="113"/>
      <c r="B180" s="457">
        <f t="shared" si="15"/>
        <v>163</v>
      </c>
      <c r="C180" s="458">
        <f t="shared" si="12"/>
        <v>0</v>
      </c>
      <c r="D180" s="458">
        <f t="shared" si="16"/>
        <v>0</v>
      </c>
      <c r="E180" s="458">
        <f>IF(B180="","-",SUM($D$18:D180))</f>
        <v>0</v>
      </c>
      <c r="F180" s="458">
        <f t="shared" si="13"/>
        <v>0</v>
      </c>
      <c r="G180" s="458">
        <f>IF(B180="","-",SUM($F$18:F180))</f>
        <v>0</v>
      </c>
      <c r="H180" s="458">
        <f t="shared" si="14"/>
        <v>0</v>
      </c>
      <c r="I180" s="159"/>
      <c r="J180" s="113"/>
      <c r="K180" s="113"/>
      <c r="M180" s="113"/>
      <c r="N180" s="113"/>
      <c r="O180" s="113"/>
      <c r="P180" s="113"/>
      <c r="Q180" s="113"/>
      <c r="R180" s="113"/>
      <c r="S180" s="113"/>
      <c r="T180" s="113"/>
      <c r="U180" s="113"/>
      <c r="V180" s="113"/>
    </row>
    <row r="181" spans="1:22" x14ac:dyDescent="0.2">
      <c r="A181" s="113"/>
      <c r="B181" s="457">
        <f t="shared" si="15"/>
        <v>164</v>
      </c>
      <c r="C181" s="458">
        <f t="shared" si="12"/>
        <v>0</v>
      </c>
      <c r="D181" s="458">
        <f t="shared" si="16"/>
        <v>0</v>
      </c>
      <c r="E181" s="458">
        <f>IF(B181="","-",SUM($D$18:D181))</f>
        <v>0</v>
      </c>
      <c r="F181" s="458">
        <f t="shared" si="13"/>
        <v>0</v>
      </c>
      <c r="G181" s="458">
        <f>IF(B181="","-",SUM($F$18:F181))</f>
        <v>0</v>
      </c>
      <c r="H181" s="458">
        <f t="shared" si="14"/>
        <v>0</v>
      </c>
      <c r="I181" s="159"/>
      <c r="J181" s="113"/>
      <c r="K181" s="113"/>
      <c r="M181" s="113"/>
      <c r="N181" s="113"/>
      <c r="O181" s="113"/>
      <c r="P181" s="113"/>
      <c r="Q181" s="113"/>
      <c r="R181" s="113"/>
      <c r="S181" s="113"/>
      <c r="T181" s="113"/>
      <c r="U181" s="113"/>
      <c r="V181" s="113"/>
    </row>
    <row r="182" spans="1:22" x14ac:dyDescent="0.2">
      <c r="A182" s="113"/>
      <c r="B182" s="457">
        <f t="shared" si="15"/>
        <v>165</v>
      </c>
      <c r="C182" s="458">
        <f t="shared" si="12"/>
        <v>0</v>
      </c>
      <c r="D182" s="458">
        <f t="shared" si="16"/>
        <v>0</v>
      </c>
      <c r="E182" s="458">
        <f>IF(B182="","-",SUM($D$18:D182))</f>
        <v>0</v>
      </c>
      <c r="F182" s="458">
        <f t="shared" si="13"/>
        <v>0</v>
      </c>
      <c r="G182" s="458">
        <f>IF(B182="","-",SUM($F$18:F182))</f>
        <v>0</v>
      </c>
      <c r="H182" s="458">
        <f t="shared" si="14"/>
        <v>0</v>
      </c>
      <c r="I182" s="159"/>
      <c r="J182" s="113"/>
      <c r="K182" s="113"/>
      <c r="M182" s="113"/>
      <c r="N182" s="113"/>
      <c r="O182" s="113"/>
      <c r="P182" s="113"/>
      <c r="Q182" s="113"/>
      <c r="R182" s="113"/>
      <c r="S182" s="113"/>
      <c r="T182" s="113"/>
      <c r="U182" s="113"/>
      <c r="V182" s="113"/>
    </row>
    <row r="183" spans="1:22" x14ac:dyDescent="0.2">
      <c r="A183" s="113"/>
      <c r="B183" s="457">
        <f t="shared" si="15"/>
        <v>166</v>
      </c>
      <c r="C183" s="458">
        <f t="shared" si="12"/>
        <v>0</v>
      </c>
      <c r="D183" s="458">
        <f t="shared" si="16"/>
        <v>0</v>
      </c>
      <c r="E183" s="458">
        <f>IF(B183="","-",SUM($D$18:D183))</f>
        <v>0</v>
      </c>
      <c r="F183" s="458">
        <f t="shared" si="13"/>
        <v>0</v>
      </c>
      <c r="G183" s="458">
        <f>IF(B183="","-",SUM($F$18:F183))</f>
        <v>0</v>
      </c>
      <c r="H183" s="458">
        <f t="shared" si="14"/>
        <v>0</v>
      </c>
      <c r="I183" s="159"/>
      <c r="J183" s="113"/>
      <c r="K183" s="113"/>
      <c r="M183" s="113"/>
      <c r="N183" s="113"/>
      <c r="O183" s="113"/>
      <c r="P183" s="113"/>
      <c r="Q183" s="113"/>
      <c r="R183" s="113"/>
      <c r="S183" s="113"/>
      <c r="T183" s="113"/>
      <c r="U183" s="113"/>
      <c r="V183" s="113"/>
    </row>
    <row r="184" spans="1:22" x14ac:dyDescent="0.2">
      <c r="A184" s="113"/>
      <c r="B184" s="457">
        <f t="shared" si="15"/>
        <v>167</v>
      </c>
      <c r="C184" s="458">
        <f t="shared" si="12"/>
        <v>0</v>
      </c>
      <c r="D184" s="458">
        <f t="shared" si="16"/>
        <v>0</v>
      </c>
      <c r="E184" s="458">
        <f>IF(B184="","-",SUM($D$18:D184))</f>
        <v>0</v>
      </c>
      <c r="F184" s="458">
        <f t="shared" si="13"/>
        <v>0</v>
      </c>
      <c r="G184" s="458">
        <f>IF(B184="","-",SUM($F$18:F184))</f>
        <v>0</v>
      </c>
      <c r="H184" s="458">
        <f t="shared" si="14"/>
        <v>0</v>
      </c>
      <c r="I184" s="159"/>
      <c r="J184" s="113"/>
      <c r="K184" s="113"/>
      <c r="M184" s="113"/>
      <c r="N184" s="113"/>
      <c r="O184" s="113"/>
      <c r="P184" s="113"/>
      <c r="Q184" s="113"/>
      <c r="R184" s="113"/>
      <c r="S184" s="113"/>
      <c r="T184" s="113"/>
      <c r="U184" s="113"/>
      <c r="V184" s="113"/>
    </row>
    <row r="185" spans="1:22" x14ac:dyDescent="0.2">
      <c r="A185" s="113"/>
      <c r="B185" s="457">
        <f t="shared" si="15"/>
        <v>168</v>
      </c>
      <c r="C185" s="460">
        <f t="shared" si="12"/>
        <v>0</v>
      </c>
      <c r="D185" s="458">
        <f t="shared" si="16"/>
        <v>0</v>
      </c>
      <c r="E185" s="458">
        <f>IF(B185="","-",SUM($D$18:D185))</f>
        <v>0</v>
      </c>
      <c r="F185" s="458">
        <f t="shared" si="13"/>
        <v>0</v>
      </c>
      <c r="G185" s="458">
        <f>IF(B185="","-",SUM($F$18:F185))</f>
        <v>0</v>
      </c>
      <c r="H185" s="458">
        <f t="shared" si="14"/>
        <v>0</v>
      </c>
      <c r="I185" s="159"/>
      <c r="J185" s="113"/>
      <c r="K185" s="113"/>
      <c r="M185" s="113"/>
      <c r="N185" s="113"/>
      <c r="O185" s="113"/>
      <c r="P185" s="113"/>
      <c r="Q185" s="113"/>
      <c r="R185" s="113"/>
      <c r="S185" s="113"/>
      <c r="T185" s="113"/>
      <c r="U185" s="113"/>
      <c r="V185" s="113"/>
    </row>
    <row r="186" spans="1:22" x14ac:dyDescent="0.2">
      <c r="A186" s="113"/>
      <c r="B186" s="457">
        <f t="shared" si="15"/>
        <v>169</v>
      </c>
      <c r="C186" s="458">
        <f t="shared" si="12"/>
        <v>0</v>
      </c>
      <c r="D186" s="458">
        <f t="shared" si="16"/>
        <v>0</v>
      </c>
      <c r="E186" s="458">
        <f>IF(B186="","-",SUM($D$18:D186))</f>
        <v>0</v>
      </c>
      <c r="F186" s="458">
        <f t="shared" si="13"/>
        <v>0</v>
      </c>
      <c r="G186" s="458">
        <f>IF(B186="","-",SUM($F$18:F186))</f>
        <v>0</v>
      </c>
      <c r="H186" s="458">
        <f t="shared" si="14"/>
        <v>0</v>
      </c>
      <c r="I186" s="159"/>
      <c r="J186" s="113"/>
      <c r="K186" s="113"/>
      <c r="M186" s="113"/>
      <c r="N186" s="113"/>
      <c r="O186" s="113"/>
      <c r="P186" s="113"/>
      <c r="Q186" s="113"/>
      <c r="R186" s="113"/>
      <c r="S186" s="113"/>
      <c r="T186" s="113"/>
      <c r="U186" s="113"/>
      <c r="V186" s="113"/>
    </row>
    <row r="187" spans="1:22" x14ac:dyDescent="0.2">
      <c r="A187" s="113"/>
      <c r="B187" s="457">
        <f t="shared" si="15"/>
        <v>170</v>
      </c>
      <c r="C187" s="458">
        <f t="shared" si="12"/>
        <v>0</v>
      </c>
      <c r="D187" s="458">
        <f t="shared" si="16"/>
        <v>0</v>
      </c>
      <c r="E187" s="458">
        <f>IF(B187="","-",SUM($D$18:D187))</f>
        <v>0</v>
      </c>
      <c r="F187" s="458">
        <f t="shared" si="13"/>
        <v>0</v>
      </c>
      <c r="G187" s="458">
        <f>IF(B187="","-",SUM($F$18:F187))</f>
        <v>0</v>
      </c>
      <c r="H187" s="458">
        <f t="shared" si="14"/>
        <v>0</v>
      </c>
      <c r="I187" s="159"/>
      <c r="J187" s="113"/>
      <c r="K187" s="113"/>
      <c r="M187" s="113"/>
      <c r="N187" s="113"/>
      <c r="O187" s="113"/>
      <c r="P187" s="113"/>
      <c r="Q187" s="113"/>
      <c r="R187" s="113"/>
      <c r="S187" s="113"/>
      <c r="T187" s="113"/>
      <c r="U187" s="113"/>
      <c r="V187" s="113"/>
    </row>
    <row r="188" spans="1:22" x14ac:dyDescent="0.2">
      <c r="A188" s="113"/>
      <c r="B188" s="457">
        <f t="shared" si="15"/>
        <v>171</v>
      </c>
      <c r="C188" s="458">
        <f t="shared" si="12"/>
        <v>0</v>
      </c>
      <c r="D188" s="458">
        <f t="shared" si="16"/>
        <v>0</v>
      </c>
      <c r="E188" s="458">
        <f>IF(B188="","-",SUM($D$18:D188))</f>
        <v>0</v>
      </c>
      <c r="F188" s="458">
        <f t="shared" si="13"/>
        <v>0</v>
      </c>
      <c r="G188" s="458">
        <f>IF(B188="","-",SUM($F$18:F188))</f>
        <v>0</v>
      </c>
      <c r="H188" s="458">
        <f t="shared" si="14"/>
        <v>0</v>
      </c>
      <c r="I188" s="159"/>
      <c r="J188" s="113"/>
      <c r="K188" s="113"/>
      <c r="M188" s="113"/>
      <c r="N188" s="113"/>
      <c r="O188" s="113"/>
      <c r="P188" s="113"/>
      <c r="Q188" s="113"/>
      <c r="R188" s="113"/>
      <c r="S188" s="113"/>
      <c r="T188" s="113"/>
      <c r="U188" s="113"/>
      <c r="V188" s="113"/>
    </row>
    <row r="189" spans="1:22" x14ac:dyDescent="0.2">
      <c r="A189" s="113"/>
      <c r="B189" s="457">
        <f t="shared" si="15"/>
        <v>172</v>
      </c>
      <c r="C189" s="458">
        <f t="shared" si="12"/>
        <v>0</v>
      </c>
      <c r="D189" s="458">
        <f t="shared" si="16"/>
        <v>0</v>
      </c>
      <c r="E189" s="458">
        <f>IF(B189="","-",SUM($D$18:D189))</f>
        <v>0</v>
      </c>
      <c r="F189" s="458">
        <f t="shared" si="13"/>
        <v>0</v>
      </c>
      <c r="G189" s="458">
        <f>IF(B189="","-",SUM($F$18:F189))</f>
        <v>0</v>
      </c>
      <c r="H189" s="458">
        <f t="shared" si="14"/>
        <v>0</v>
      </c>
      <c r="I189" s="159"/>
      <c r="J189" s="113"/>
      <c r="K189" s="113"/>
      <c r="M189" s="113"/>
      <c r="N189" s="113"/>
      <c r="O189" s="113"/>
      <c r="P189" s="113"/>
      <c r="Q189" s="113"/>
      <c r="R189" s="113"/>
      <c r="S189" s="113"/>
      <c r="T189" s="113"/>
      <c r="U189" s="113"/>
      <c r="V189" s="113"/>
    </row>
    <row r="190" spans="1:22" x14ac:dyDescent="0.2">
      <c r="A190" s="113"/>
      <c r="B190" s="457">
        <f t="shared" si="15"/>
        <v>173</v>
      </c>
      <c r="C190" s="458">
        <f t="shared" si="12"/>
        <v>0</v>
      </c>
      <c r="D190" s="458">
        <f t="shared" si="16"/>
        <v>0</v>
      </c>
      <c r="E190" s="458">
        <f>IF(B190="","-",SUM($D$18:D190))</f>
        <v>0</v>
      </c>
      <c r="F190" s="458">
        <f t="shared" si="13"/>
        <v>0</v>
      </c>
      <c r="G190" s="458">
        <f>IF(B190="","-",SUM($F$18:F190))</f>
        <v>0</v>
      </c>
      <c r="H190" s="458">
        <f t="shared" si="14"/>
        <v>0</v>
      </c>
      <c r="I190" s="159"/>
      <c r="J190" s="113"/>
      <c r="K190" s="113"/>
      <c r="M190" s="113"/>
      <c r="N190" s="113"/>
      <c r="O190" s="113"/>
      <c r="P190" s="113"/>
      <c r="Q190" s="113"/>
      <c r="R190" s="113"/>
      <c r="S190" s="113"/>
      <c r="T190" s="113"/>
      <c r="U190" s="113"/>
      <c r="V190" s="113"/>
    </row>
    <row r="191" spans="1:22" x14ac:dyDescent="0.2">
      <c r="A191" s="113"/>
      <c r="B191" s="457">
        <f t="shared" si="15"/>
        <v>174</v>
      </c>
      <c r="C191" s="458">
        <f t="shared" si="12"/>
        <v>0</v>
      </c>
      <c r="D191" s="458">
        <f t="shared" si="16"/>
        <v>0</v>
      </c>
      <c r="E191" s="458">
        <f>IF(B191="","-",SUM($D$18:D191))</f>
        <v>0</v>
      </c>
      <c r="F191" s="458">
        <f t="shared" si="13"/>
        <v>0</v>
      </c>
      <c r="G191" s="458">
        <f>IF(B191="","-",SUM($F$18:F191))</f>
        <v>0</v>
      </c>
      <c r="H191" s="458">
        <f t="shared" si="14"/>
        <v>0</v>
      </c>
      <c r="I191" s="159"/>
      <c r="J191" s="113"/>
      <c r="K191" s="113"/>
      <c r="M191" s="113"/>
      <c r="N191" s="113"/>
      <c r="O191" s="113"/>
      <c r="P191" s="113"/>
      <c r="Q191" s="113"/>
      <c r="R191" s="113"/>
      <c r="S191" s="113"/>
      <c r="T191" s="113"/>
      <c r="U191" s="113"/>
      <c r="V191" s="113"/>
    </row>
    <row r="192" spans="1:22" x14ac:dyDescent="0.2">
      <c r="A192" s="113"/>
      <c r="B192" s="457">
        <f t="shared" si="15"/>
        <v>175</v>
      </c>
      <c r="C192" s="458">
        <f t="shared" si="12"/>
        <v>0</v>
      </c>
      <c r="D192" s="458">
        <f t="shared" si="16"/>
        <v>0</v>
      </c>
      <c r="E192" s="458">
        <f>IF(B192="","-",SUM($D$18:D192))</f>
        <v>0</v>
      </c>
      <c r="F192" s="458">
        <f t="shared" si="13"/>
        <v>0</v>
      </c>
      <c r="G192" s="458">
        <f>IF(B192="","-",SUM($F$18:F192))</f>
        <v>0</v>
      </c>
      <c r="H192" s="458">
        <f t="shared" si="14"/>
        <v>0</v>
      </c>
      <c r="I192" s="159"/>
      <c r="J192" s="113"/>
      <c r="K192" s="113"/>
      <c r="M192" s="113"/>
      <c r="N192" s="113"/>
      <c r="O192" s="113"/>
      <c r="P192" s="113"/>
      <c r="Q192" s="113"/>
      <c r="R192" s="113"/>
      <c r="S192" s="113"/>
      <c r="T192" s="113"/>
      <c r="U192" s="113"/>
      <c r="V192" s="113"/>
    </row>
    <row r="193" spans="1:22" x14ac:dyDescent="0.2">
      <c r="A193" s="113"/>
      <c r="B193" s="457">
        <f t="shared" si="15"/>
        <v>176</v>
      </c>
      <c r="C193" s="458">
        <f t="shared" si="12"/>
        <v>0</v>
      </c>
      <c r="D193" s="458">
        <f t="shared" si="16"/>
        <v>0</v>
      </c>
      <c r="E193" s="458">
        <f>IF(B193="","-",SUM($D$18:D193))</f>
        <v>0</v>
      </c>
      <c r="F193" s="458">
        <f t="shared" si="13"/>
        <v>0</v>
      </c>
      <c r="G193" s="458">
        <f>IF(B193="","-",SUM($F$18:F193))</f>
        <v>0</v>
      </c>
      <c r="H193" s="458">
        <f t="shared" si="14"/>
        <v>0</v>
      </c>
      <c r="I193" s="159"/>
      <c r="J193" s="113"/>
      <c r="K193" s="113"/>
      <c r="M193" s="113"/>
      <c r="N193" s="113"/>
      <c r="O193" s="113"/>
      <c r="P193" s="113"/>
      <c r="Q193" s="113"/>
      <c r="R193" s="113"/>
      <c r="S193" s="113"/>
      <c r="T193" s="113"/>
      <c r="U193" s="113"/>
      <c r="V193" s="113"/>
    </row>
    <row r="194" spans="1:22" x14ac:dyDescent="0.2">
      <c r="A194" s="113"/>
      <c r="B194" s="457">
        <f t="shared" si="15"/>
        <v>177</v>
      </c>
      <c r="C194" s="458">
        <f t="shared" si="12"/>
        <v>0</v>
      </c>
      <c r="D194" s="458">
        <f t="shared" si="16"/>
        <v>0</v>
      </c>
      <c r="E194" s="458">
        <f>IF(B194="","-",SUM($D$18:D194))</f>
        <v>0</v>
      </c>
      <c r="F194" s="458">
        <f t="shared" si="13"/>
        <v>0</v>
      </c>
      <c r="G194" s="458">
        <f>IF(B194="","-",SUM($F$18:F194))</f>
        <v>0</v>
      </c>
      <c r="H194" s="458">
        <f t="shared" si="14"/>
        <v>0</v>
      </c>
      <c r="I194" s="159"/>
      <c r="J194" s="113"/>
      <c r="K194" s="113"/>
      <c r="M194" s="113"/>
      <c r="N194" s="113"/>
      <c r="O194" s="113"/>
      <c r="P194" s="113"/>
      <c r="Q194" s="113"/>
      <c r="R194" s="113"/>
      <c r="S194" s="113"/>
      <c r="T194" s="113"/>
      <c r="U194" s="113"/>
      <c r="V194" s="113"/>
    </row>
    <row r="195" spans="1:22" x14ac:dyDescent="0.2">
      <c r="A195" s="113"/>
      <c r="B195" s="457">
        <f t="shared" si="15"/>
        <v>178</v>
      </c>
      <c r="C195" s="458">
        <f t="shared" si="12"/>
        <v>0</v>
      </c>
      <c r="D195" s="458">
        <f t="shared" si="16"/>
        <v>0</v>
      </c>
      <c r="E195" s="458">
        <f>IF(B195="","-",SUM($D$18:D195))</f>
        <v>0</v>
      </c>
      <c r="F195" s="458">
        <f t="shared" si="13"/>
        <v>0</v>
      </c>
      <c r="G195" s="458">
        <f>IF(B195="","-",SUM($F$18:F195))</f>
        <v>0</v>
      </c>
      <c r="H195" s="458">
        <f t="shared" si="14"/>
        <v>0</v>
      </c>
      <c r="I195" s="159"/>
      <c r="J195" s="113"/>
      <c r="K195" s="113"/>
      <c r="M195" s="113"/>
      <c r="N195" s="113"/>
      <c r="O195" s="113"/>
      <c r="P195" s="113"/>
      <c r="Q195" s="113"/>
      <c r="R195" s="113"/>
      <c r="S195" s="113"/>
      <c r="T195" s="113"/>
      <c r="U195" s="113"/>
      <c r="V195" s="113"/>
    </row>
    <row r="196" spans="1:22" x14ac:dyDescent="0.2">
      <c r="A196" s="113"/>
      <c r="B196" s="457">
        <f t="shared" si="15"/>
        <v>179</v>
      </c>
      <c r="C196" s="458">
        <f t="shared" si="12"/>
        <v>0</v>
      </c>
      <c r="D196" s="458">
        <f t="shared" si="16"/>
        <v>0</v>
      </c>
      <c r="E196" s="458">
        <f>IF(B196="","-",SUM($D$18:D196))</f>
        <v>0</v>
      </c>
      <c r="F196" s="458">
        <f t="shared" si="13"/>
        <v>0</v>
      </c>
      <c r="G196" s="458">
        <f>IF(B196="","-",SUM($F$18:F196))</f>
        <v>0</v>
      </c>
      <c r="H196" s="458">
        <f t="shared" si="14"/>
        <v>0</v>
      </c>
      <c r="I196" s="159"/>
      <c r="J196" s="113"/>
      <c r="K196" s="113"/>
      <c r="M196" s="113"/>
      <c r="N196" s="113"/>
      <c r="O196" s="113"/>
      <c r="P196" s="113"/>
      <c r="Q196" s="113"/>
      <c r="R196" s="113"/>
      <c r="S196" s="113"/>
      <c r="T196" s="113"/>
      <c r="U196" s="113"/>
      <c r="V196" s="113"/>
    </row>
    <row r="197" spans="1:22" x14ac:dyDescent="0.2">
      <c r="A197" s="113"/>
      <c r="B197" s="457">
        <f t="shared" si="15"/>
        <v>180</v>
      </c>
      <c r="C197" s="460">
        <f t="shared" si="12"/>
        <v>0</v>
      </c>
      <c r="D197" s="458">
        <f t="shared" si="16"/>
        <v>0</v>
      </c>
      <c r="E197" s="458">
        <f>IF(B197="","-",SUM($D$18:D197))</f>
        <v>0</v>
      </c>
      <c r="F197" s="458">
        <f t="shared" si="13"/>
        <v>0</v>
      </c>
      <c r="G197" s="458">
        <f>IF(B197="","-",SUM($F$18:F197))</f>
        <v>0</v>
      </c>
      <c r="H197" s="458">
        <f t="shared" si="14"/>
        <v>0</v>
      </c>
      <c r="I197" s="159"/>
      <c r="J197" s="113"/>
      <c r="K197" s="113"/>
      <c r="M197" s="113"/>
      <c r="N197" s="113"/>
      <c r="O197" s="113"/>
      <c r="P197" s="113"/>
      <c r="Q197" s="113"/>
      <c r="R197" s="113"/>
      <c r="S197" s="113"/>
      <c r="T197" s="113"/>
      <c r="U197" s="113"/>
      <c r="V197" s="113"/>
    </row>
    <row r="198" spans="1:22" x14ac:dyDescent="0.2">
      <c r="A198" s="113"/>
      <c r="B198" s="457">
        <f t="shared" si="15"/>
        <v>181</v>
      </c>
      <c r="C198" s="458">
        <f t="shared" si="12"/>
        <v>0</v>
      </c>
      <c r="D198" s="458">
        <f t="shared" si="16"/>
        <v>0</v>
      </c>
      <c r="E198" s="458">
        <f>IF(B198="","-",SUM($D$18:D198))</f>
        <v>0</v>
      </c>
      <c r="F198" s="458">
        <f t="shared" si="13"/>
        <v>0</v>
      </c>
      <c r="G198" s="458">
        <f>IF(B198="","-",SUM($F$18:F198))</f>
        <v>0</v>
      </c>
      <c r="H198" s="458">
        <f t="shared" si="14"/>
        <v>0</v>
      </c>
      <c r="I198" s="159"/>
      <c r="J198" s="113"/>
      <c r="K198" s="113"/>
      <c r="M198" s="113"/>
      <c r="N198" s="113"/>
      <c r="O198" s="113"/>
      <c r="P198" s="113"/>
      <c r="Q198" s="113"/>
      <c r="R198" s="113"/>
      <c r="S198" s="113"/>
      <c r="T198" s="113"/>
      <c r="U198" s="113"/>
      <c r="V198" s="113"/>
    </row>
    <row r="199" spans="1:22" x14ac:dyDescent="0.2">
      <c r="A199" s="113"/>
      <c r="B199" s="457">
        <f t="shared" si="15"/>
        <v>182</v>
      </c>
      <c r="C199" s="458">
        <f t="shared" si="12"/>
        <v>0</v>
      </c>
      <c r="D199" s="458">
        <f t="shared" si="16"/>
        <v>0</v>
      </c>
      <c r="E199" s="458">
        <f>IF(B199="","-",SUM($D$18:D199))</f>
        <v>0</v>
      </c>
      <c r="F199" s="458">
        <f t="shared" si="13"/>
        <v>0</v>
      </c>
      <c r="G199" s="458">
        <f>IF(B199="","-",SUM($F$18:F199))</f>
        <v>0</v>
      </c>
      <c r="H199" s="458">
        <f t="shared" si="14"/>
        <v>0</v>
      </c>
      <c r="I199" s="159"/>
      <c r="J199" s="113"/>
      <c r="K199" s="113"/>
      <c r="M199" s="113"/>
      <c r="N199" s="113"/>
      <c r="O199" s="113"/>
      <c r="P199" s="113"/>
      <c r="Q199" s="113"/>
      <c r="R199" s="113"/>
      <c r="S199" s="113"/>
      <c r="T199" s="113"/>
      <c r="U199" s="113"/>
      <c r="V199" s="113"/>
    </row>
    <row r="200" spans="1:22" x14ac:dyDescent="0.2">
      <c r="A200" s="113"/>
      <c r="B200" s="457">
        <f t="shared" si="15"/>
        <v>183</v>
      </c>
      <c r="C200" s="458">
        <f t="shared" si="12"/>
        <v>0</v>
      </c>
      <c r="D200" s="458">
        <f t="shared" si="16"/>
        <v>0</v>
      </c>
      <c r="E200" s="458">
        <f>IF(B200="","-",SUM($D$18:D200))</f>
        <v>0</v>
      </c>
      <c r="F200" s="458">
        <f t="shared" si="13"/>
        <v>0</v>
      </c>
      <c r="G200" s="458">
        <f>IF(B200="","-",SUM($F$18:F200))</f>
        <v>0</v>
      </c>
      <c r="H200" s="458">
        <f t="shared" si="14"/>
        <v>0</v>
      </c>
      <c r="I200" s="159"/>
      <c r="J200" s="113"/>
      <c r="K200" s="113"/>
      <c r="M200" s="113"/>
      <c r="N200" s="113"/>
      <c r="O200" s="113"/>
      <c r="P200" s="113"/>
      <c r="Q200" s="113"/>
      <c r="R200" s="113"/>
      <c r="S200" s="113"/>
      <c r="T200" s="113"/>
      <c r="U200" s="113"/>
      <c r="V200" s="113"/>
    </row>
    <row r="201" spans="1:22" x14ac:dyDescent="0.2">
      <c r="A201" s="113"/>
      <c r="B201" s="457">
        <f t="shared" si="15"/>
        <v>184</v>
      </c>
      <c r="C201" s="458">
        <f t="shared" si="12"/>
        <v>0</v>
      </c>
      <c r="D201" s="458">
        <f t="shared" si="16"/>
        <v>0</v>
      </c>
      <c r="E201" s="458">
        <f>IF(B201="","-",SUM($D$18:D201))</f>
        <v>0</v>
      </c>
      <c r="F201" s="458">
        <f t="shared" si="13"/>
        <v>0</v>
      </c>
      <c r="G201" s="458">
        <f>IF(B201="","-",SUM($F$18:F201))</f>
        <v>0</v>
      </c>
      <c r="H201" s="458">
        <f t="shared" si="14"/>
        <v>0</v>
      </c>
      <c r="I201" s="159"/>
      <c r="J201" s="113"/>
      <c r="K201" s="113"/>
      <c r="M201" s="113"/>
      <c r="N201" s="113"/>
      <c r="O201" s="113"/>
      <c r="P201" s="113"/>
      <c r="Q201" s="113"/>
      <c r="R201" s="113"/>
      <c r="S201" s="113"/>
      <c r="T201" s="113"/>
      <c r="U201" s="113"/>
      <c r="V201" s="113"/>
    </row>
    <row r="202" spans="1:22" x14ac:dyDescent="0.2">
      <c r="A202" s="113"/>
      <c r="B202" s="457">
        <f t="shared" si="15"/>
        <v>185</v>
      </c>
      <c r="C202" s="458">
        <f t="shared" si="12"/>
        <v>0</v>
      </c>
      <c r="D202" s="458">
        <f t="shared" si="16"/>
        <v>0</v>
      </c>
      <c r="E202" s="458">
        <f>IF(B202="","-",SUM($D$18:D202))</f>
        <v>0</v>
      </c>
      <c r="F202" s="458">
        <f t="shared" si="13"/>
        <v>0</v>
      </c>
      <c r="G202" s="458">
        <f>IF(B202="","-",SUM($F$18:F202))</f>
        <v>0</v>
      </c>
      <c r="H202" s="458">
        <f t="shared" si="14"/>
        <v>0</v>
      </c>
      <c r="I202" s="159"/>
      <c r="J202" s="113"/>
      <c r="K202" s="113"/>
      <c r="M202" s="113"/>
      <c r="N202" s="113"/>
      <c r="O202" s="113"/>
      <c r="P202" s="113"/>
      <c r="Q202" s="113"/>
      <c r="R202" s="113"/>
      <c r="S202" s="113"/>
      <c r="T202" s="113"/>
      <c r="U202" s="113"/>
      <c r="V202" s="113"/>
    </row>
    <row r="203" spans="1:22" x14ac:dyDescent="0.2">
      <c r="A203" s="113"/>
      <c r="B203" s="457">
        <f t="shared" si="15"/>
        <v>186</v>
      </c>
      <c r="C203" s="458">
        <f t="shared" si="12"/>
        <v>0</v>
      </c>
      <c r="D203" s="458">
        <f t="shared" si="16"/>
        <v>0</v>
      </c>
      <c r="E203" s="458">
        <f>IF(B203="","-",SUM($D$18:D203))</f>
        <v>0</v>
      </c>
      <c r="F203" s="458">
        <f t="shared" si="13"/>
        <v>0</v>
      </c>
      <c r="G203" s="458">
        <f>IF(B203="","-",SUM($F$18:F203))</f>
        <v>0</v>
      </c>
      <c r="H203" s="458">
        <f t="shared" si="14"/>
        <v>0</v>
      </c>
      <c r="I203" s="159"/>
      <c r="J203" s="113"/>
      <c r="K203" s="113"/>
      <c r="M203" s="113"/>
      <c r="N203" s="113"/>
      <c r="O203" s="113"/>
      <c r="P203" s="113"/>
      <c r="Q203" s="113"/>
      <c r="R203" s="113"/>
      <c r="S203" s="113"/>
      <c r="T203" s="113"/>
      <c r="U203" s="113"/>
      <c r="V203" s="113"/>
    </row>
    <row r="204" spans="1:22" x14ac:dyDescent="0.2">
      <c r="A204" s="113"/>
      <c r="B204" s="457">
        <f t="shared" si="15"/>
        <v>187</v>
      </c>
      <c r="C204" s="458">
        <f t="shared" si="12"/>
        <v>0</v>
      </c>
      <c r="D204" s="458">
        <f t="shared" si="16"/>
        <v>0</v>
      </c>
      <c r="E204" s="458">
        <f>IF(B204="","-",SUM($D$18:D204))</f>
        <v>0</v>
      </c>
      <c r="F204" s="458">
        <f t="shared" si="13"/>
        <v>0</v>
      </c>
      <c r="G204" s="458">
        <f>IF(B204="","-",SUM($F$18:F204))</f>
        <v>0</v>
      </c>
      <c r="H204" s="458">
        <f t="shared" si="14"/>
        <v>0</v>
      </c>
      <c r="I204" s="159"/>
      <c r="J204" s="113"/>
      <c r="K204" s="113"/>
      <c r="M204" s="113"/>
      <c r="N204" s="113"/>
      <c r="O204" s="113"/>
      <c r="P204" s="113"/>
      <c r="Q204" s="113"/>
      <c r="R204" s="113"/>
      <c r="S204" s="113"/>
      <c r="T204" s="113"/>
      <c r="U204" s="113"/>
      <c r="V204" s="113"/>
    </row>
    <row r="205" spans="1:22" x14ac:dyDescent="0.2">
      <c r="A205" s="113"/>
      <c r="B205" s="457">
        <f t="shared" si="15"/>
        <v>188</v>
      </c>
      <c r="C205" s="458">
        <f t="shared" si="12"/>
        <v>0</v>
      </c>
      <c r="D205" s="458">
        <f t="shared" si="16"/>
        <v>0</v>
      </c>
      <c r="E205" s="458">
        <f>IF(B205="","-",SUM($D$18:D205))</f>
        <v>0</v>
      </c>
      <c r="F205" s="458">
        <f t="shared" si="13"/>
        <v>0</v>
      </c>
      <c r="G205" s="458">
        <f>IF(B205="","-",SUM($F$18:F205))</f>
        <v>0</v>
      </c>
      <c r="H205" s="458">
        <f t="shared" si="14"/>
        <v>0</v>
      </c>
      <c r="I205" s="159"/>
      <c r="J205" s="113"/>
      <c r="K205" s="113"/>
      <c r="M205" s="113"/>
      <c r="N205" s="113"/>
      <c r="O205" s="113"/>
      <c r="P205" s="113"/>
      <c r="Q205" s="113"/>
      <c r="R205" s="113"/>
      <c r="S205" s="113"/>
      <c r="T205" s="113"/>
      <c r="U205" s="113"/>
      <c r="V205" s="113"/>
    </row>
    <row r="206" spans="1:22" x14ac:dyDescent="0.2">
      <c r="A206" s="113"/>
      <c r="B206" s="457">
        <f t="shared" si="15"/>
        <v>189</v>
      </c>
      <c r="C206" s="458">
        <f t="shared" si="12"/>
        <v>0</v>
      </c>
      <c r="D206" s="458">
        <f t="shared" si="16"/>
        <v>0</v>
      </c>
      <c r="E206" s="458">
        <f>IF(B206="","-",SUM($D$18:D206))</f>
        <v>0</v>
      </c>
      <c r="F206" s="458">
        <f t="shared" si="13"/>
        <v>0</v>
      </c>
      <c r="G206" s="458">
        <f>IF(B206="","-",SUM($F$18:F206))</f>
        <v>0</v>
      </c>
      <c r="H206" s="458">
        <f t="shared" si="14"/>
        <v>0</v>
      </c>
      <c r="I206" s="159"/>
      <c r="J206" s="113"/>
      <c r="K206" s="113"/>
      <c r="M206" s="113"/>
      <c r="N206" s="113"/>
      <c r="O206" s="113"/>
      <c r="P206" s="113"/>
      <c r="Q206" s="113"/>
      <c r="R206" s="113"/>
      <c r="S206" s="113"/>
      <c r="T206" s="113"/>
      <c r="U206" s="113"/>
      <c r="V206" s="113"/>
    </row>
    <row r="207" spans="1:22" x14ac:dyDescent="0.2">
      <c r="A207" s="113"/>
      <c r="B207" s="457">
        <f t="shared" si="15"/>
        <v>190</v>
      </c>
      <c r="C207" s="458">
        <f t="shared" si="12"/>
        <v>0</v>
      </c>
      <c r="D207" s="458">
        <f t="shared" si="16"/>
        <v>0</v>
      </c>
      <c r="E207" s="458">
        <f>IF(B207="","-",SUM($D$18:D207))</f>
        <v>0</v>
      </c>
      <c r="F207" s="458">
        <f t="shared" si="13"/>
        <v>0</v>
      </c>
      <c r="G207" s="458">
        <f>IF(B207="","-",SUM($F$18:F207))</f>
        <v>0</v>
      </c>
      <c r="H207" s="458">
        <f t="shared" si="14"/>
        <v>0</v>
      </c>
      <c r="I207" s="159"/>
      <c r="J207" s="113"/>
      <c r="K207" s="113"/>
      <c r="M207" s="113"/>
      <c r="N207" s="113"/>
      <c r="O207" s="113"/>
      <c r="P207" s="113"/>
      <c r="Q207" s="113"/>
      <c r="R207" s="113"/>
      <c r="S207" s="113"/>
      <c r="T207" s="113"/>
      <c r="U207" s="113"/>
      <c r="V207" s="113"/>
    </row>
    <row r="208" spans="1:22" x14ac:dyDescent="0.2">
      <c r="A208" s="113"/>
      <c r="B208" s="457">
        <f t="shared" si="15"/>
        <v>191</v>
      </c>
      <c r="C208" s="458">
        <f t="shared" si="12"/>
        <v>0</v>
      </c>
      <c r="D208" s="458">
        <f t="shared" si="16"/>
        <v>0</v>
      </c>
      <c r="E208" s="458">
        <f>IF(B208="","-",SUM($D$18:D208))</f>
        <v>0</v>
      </c>
      <c r="F208" s="458">
        <f t="shared" si="13"/>
        <v>0</v>
      </c>
      <c r="G208" s="458">
        <f>IF(B208="","-",SUM($F$18:F208))</f>
        <v>0</v>
      </c>
      <c r="H208" s="458">
        <f t="shared" si="14"/>
        <v>0</v>
      </c>
      <c r="I208" s="159"/>
      <c r="J208" s="113"/>
      <c r="K208" s="113"/>
      <c r="M208" s="113"/>
      <c r="N208" s="113"/>
      <c r="O208" s="113"/>
      <c r="P208" s="113"/>
      <c r="Q208" s="113"/>
      <c r="R208" s="113"/>
      <c r="S208" s="113"/>
      <c r="T208" s="113"/>
      <c r="U208" s="113"/>
      <c r="V208" s="113"/>
    </row>
    <row r="209" spans="1:22" x14ac:dyDescent="0.2">
      <c r="A209" s="113"/>
      <c r="B209" s="457">
        <f t="shared" si="15"/>
        <v>192</v>
      </c>
      <c r="C209" s="460">
        <f t="shared" si="12"/>
        <v>0</v>
      </c>
      <c r="D209" s="458">
        <f t="shared" si="16"/>
        <v>0</v>
      </c>
      <c r="E209" s="458">
        <f>IF(B209="","-",SUM($D$18:D209))</f>
        <v>0</v>
      </c>
      <c r="F209" s="458">
        <f t="shared" si="13"/>
        <v>0</v>
      </c>
      <c r="G209" s="458">
        <f>IF(B209="","-",SUM($F$18:F209))</f>
        <v>0</v>
      </c>
      <c r="H209" s="458">
        <f t="shared" si="14"/>
        <v>0</v>
      </c>
      <c r="I209" s="159"/>
      <c r="J209" s="113"/>
      <c r="K209" s="113"/>
      <c r="M209" s="113"/>
      <c r="N209" s="113"/>
      <c r="O209" s="113"/>
      <c r="P209" s="113"/>
      <c r="Q209" s="113"/>
      <c r="R209" s="113"/>
      <c r="S209" s="113"/>
      <c r="T209" s="113"/>
      <c r="U209" s="113"/>
      <c r="V209" s="113"/>
    </row>
    <row r="210" spans="1:22" x14ac:dyDescent="0.2">
      <c r="A210" s="113"/>
      <c r="B210" s="457">
        <f t="shared" si="15"/>
        <v>193</v>
      </c>
      <c r="C210" s="458">
        <f t="shared" ref="C210:C257" si="17">IF(B210="","-",IF(B210&lt;=$D$6,D210,  $D$7))</f>
        <v>0</v>
      </c>
      <c r="D210" s="458">
        <f t="shared" si="16"/>
        <v>0</v>
      </c>
      <c r="E210" s="458">
        <f>IF(B210="","-",SUM($D$18:D210))</f>
        <v>0</v>
      </c>
      <c r="F210" s="458">
        <f t="shared" ref="F210:F273" si="18">IF(B210="","-",C210-D210)</f>
        <v>0</v>
      </c>
      <c r="G210" s="458">
        <f>IF(B210="","-",SUM($F$18:F210))</f>
        <v>0</v>
      </c>
      <c r="H210" s="458">
        <f t="shared" ref="H210:H273" si="19">IF(B210="","-",H209-F210)</f>
        <v>0</v>
      </c>
      <c r="I210" s="159"/>
      <c r="J210" s="113"/>
      <c r="K210" s="113"/>
      <c r="M210" s="113"/>
      <c r="N210" s="113"/>
      <c r="O210" s="113"/>
      <c r="P210" s="113"/>
      <c r="Q210" s="113"/>
      <c r="R210" s="113"/>
      <c r="S210" s="113"/>
      <c r="T210" s="113"/>
      <c r="U210" s="113"/>
      <c r="V210" s="113"/>
    </row>
    <row r="211" spans="1:22" x14ac:dyDescent="0.2">
      <c r="A211" s="113"/>
      <c r="B211" s="457">
        <f t="shared" ref="B211:B274" si="20">IF(B210&gt;=$D$5*12,"",B210+1)</f>
        <v>194</v>
      </c>
      <c r="C211" s="458">
        <f t="shared" si="17"/>
        <v>0</v>
      </c>
      <c r="D211" s="458">
        <f t="shared" ref="D211:D274" si="21">IF(B211="","-",$D$4/12*H210)</f>
        <v>0</v>
      </c>
      <c r="E211" s="458">
        <f>IF(B211="","-",SUM($D$18:D211))</f>
        <v>0</v>
      </c>
      <c r="F211" s="458">
        <f t="shared" si="18"/>
        <v>0</v>
      </c>
      <c r="G211" s="458">
        <f>IF(B211="","-",SUM($F$18:F211))</f>
        <v>0</v>
      </c>
      <c r="H211" s="458">
        <f t="shared" si="19"/>
        <v>0</v>
      </c>
      <c r="I211" s="159"/>
      <c r="J211" s="113"/>
      <c r="K211" s="113"/>
      <c r="M211" s="113"/>
      <c r="N211" s="113"/>
      <c r="O211" s="113"/>
      <c r="P211" s="113"/>
      <c r="Q211" s="113"/>
      <c r="R211" s="113"/>
      <c r="S211" s="113"/>
      <c r="T211" s="113"/>
      <c r="U211" s="113"/>
      <c r="V211" s="113"/>
    </row>
    <row r="212" spans="1:22" x14ac:dyDescent="0.2">
      <c r="A212" s="113"/>
      <c r="B212" s="457">
        <f t="shared" si="20"/>
        <v>195</v>
      </c>
      <c r="C212" s="458">
        <f t="shared" si="17"/>
        <v>0</v>
      </c>
      <c r="D212" s="458">
        <f t="shared" si="21"/>
        <v>0</v>
      </c>
      <c r="E212" s="458">
        <f>IF(B212="","-",SUM($D$18:D212))</f>
        <v>0</v>
      </c>
      <c r="F212" s="458">
        <f t="shared" si="18"/>
        <v>0</v>
      </c>
      <c r="G212" s="458">
        <f>IF(B212="","-",SUM($F$18:F212))</f>
        <v>0</v>
      </c>
      <c r="H212" s="458">
        <f t="shared" si="19"/>
        <v>0</v>
      </c>
      <c r="I212" s="159"/>
      <c r="J212" s="113"/>
      <c r="K212" s="113"/>
      <c r="M212" s="113"/>
      <c r="N212" s="113"/>
      <c r="O212" s="113"/>
      <c r="P212" s="113"/>
      <c r="Q212" s="113"/>
      <c r="R212" s="113"/>
      <c r="S212" s="113"/>
      <c r="T212" s="113"/>
      <c r="U212" s="113"/>
      <c r="V212" s="113"/>
    </row>
    <row r="213" spans="1:22" x14ac:dyDescent="0.2">
      <c r="A213" s="113"/>
      <c r="B213" s="457">
        <f t="shared" si="20"/>
        <v>196</v>
      </c>
      <c r="C213" s="458">
        <f t="shared" si="17"/>
        <v>0</v>
      </c>
      <c r="D213" s="458">
        <f t="shared" si="21"/>
        <v>0</v>
      </c>
      <c r="E213" s="458">
        <f>IF(B213="","-",SUM($D$18:D213))</f>
        <v>0</v>
      </c>
      <c r="F213" s="458">
        <f t="shared" si="18"/>
        <v>0</v>
      </c>
      <c r="G213" s="458">
        <f>IF(B213="","-",SUM($F$18:F213))</f>
        <v>0</v>
      </c>
      <c r="H213" s="458">
        <f t="shared" si="19"/>
        <v>0</v>
      </c>
      <c r="I213" s="159"/>
      <c r="J213" s="113"/>
      <c r="K213" s="113"/>
      <c r="M213" s="113"/>
      <c r="N213" s="113"/>
      <c r="O213" s="113"/>
      <c r="P213" s="113"/>
      <c r="Q213" s="113"/>
      <c r="R213" s="113"/>
      <c r="S213" s="113"/>
      <c r="T213" s="113"/>
      <c r="U213" s="113"/>
      <c r="V213" s="113"/>
    </row>
    <row r="214" spans="1:22" x14ac:dyDescent="0.2">
      <c r="A214" s="113"/>
      <c r="B214" s="457">
        <f t="shared" si="20"/>
        <v>197</v>
      </c>
      <c r="C214" s="458">
        <f t="shared" si="17"/>
        <v>0</v>
      </c>
      <c r="D214" s="458">
        <f t="shared" si="21"/>
        <v>0</v>
      </c>
      <c r="E214" s="458">
        <f>IF(B214="","-",SUM($D$18:D214))</f>
        <v>0</v>
      </c>
      <c r="F214" s="458">
        <f t="shared" si="18"/>
        <v>0</v>
      </c>
      <c r="G214" s="458">
        <f>IF(B214="","-",SUM($F$18:F214))</f>
        <v>0</v>
      </c>
      <c r="H214" s="458">
        <f t="shared" si="19"/>
        <v>0</v>
      </c>
      <c r="I214" s="159"/>
      <c r="J214" s="113"/>
      <c r="K214" s="113"/>
      <c r="M214" s="113"/>
      <c r="N214" s="113"/>
      <c r="O214" s="113"/>
      <c r="P214" s="113"/>
      <c r="Q214" s="113"/>
      <c r="R214" s="113"/>
      <c r="S214" s="113"/>
      <c r="T214" s="113"/>
      <c r="U214" s="113"/>
      <c r="V214" s="113"/>
    </row>
    <row r="215" spans="1:22" x14ac:dyDescent="0.2">
      <c r="A215" s="113"/>
      <c r="B215" s="457">
        <f t="shared" si="20"/>
        <v>198</v>
      </c>
      <c r="C215" s="458">
        <f t="shared" si="17"/>
        <v>0</v>
      </c>
      <c r="D215" s="458">
        <f t="shared" si="21"/>
        <v>0</v>
      </c>
      <c r="E215" s="458">
        <f>IF(B215="","-",SUM($D$18:D215))</f>
        <v>0</v>
      </c>
      <c r="F215" s="458">
        <f t="shared" si="18"/>
        <v>0</v>
      </c>
      <c r="G215" s="458">
        <f>IF(B215="","-",SUM($F$18:F215))</f>
        <v>0</v>
      </c>
      <c r="H215" s="458">
        <f t="shared" si="19"/>
        <v>0</v>
      </c>
      <c r="I215" s="159"/>
      <c r="J215" s="113"/>
      <c r="K215" s="113"/>
      <c r="M215" s="113"/>
      <c r="N215" s="113"/>
      <c r="O215" s="113"/>
      <c r="P215" s="113"/>
      <c r="Q215" s="113"/>
      <c r="R215" s="113"/>
      <c r="S215" s="113"/>
      <c r="T215" s="113"/>
      <c r="U215" s="113"/>
      <c r="V215" s="113"/>
    </row>
    <row r="216" spans="1:22" x14ac:dyDescent="0.2">
      <c r="A216" s="113"/>
      <c r="B216" s="457">
        <f t="shared" si="20"/>
        <v>199</v>
      </c>
      <c r="C216" s="458">
        <f t="shared" si="17"/>
        <v>0</v>
      </c>
      <c r="D216" s="458">
        <f t="shared" si="21"/>
        <v>0</v>
      </c>
      <c r="E216" s="458">
        <f>IF(B216="","-",SUM($D$18:D216))</f>
        <v>0</v>
      </c>
      <c r="F216" s="458">
        <f t="shared" si="18"/>
        <v>0</v>
      </c>
      <c r="G216" s="458">
        <f>IF(B216="","-",SUM($F$18:F216))</f>
        <v>0</v>
      </c>
      <c r="H216" s="458">
        <f t="shared" si="19"/>
        <v>0</v>
      </c>
      <c r="I216" s="159"/>
      <c r="J216" s="113"/>
      <c r="K216" s="113"/>
      <c r="M216" s="113"/>
      <c r="N216" s="113"/>
      <c r="O216" s="113"/>
      <c r="P216" s="113"/>
      <c r="Q216" s="113"/>
      <c r="R216" s="113"/>
      <c r="S216" s="113"/>
      <c r="T216" s="113"/>
      <c r="U216" s="113"/>
      <c r="V216" s="113"/>
    </row>
    <row r="217" spans="1:22" x14ac:dyDescent="0.2">
      <c r="A217" s="113"/>
      <c r="B217" s="457">
        <f t="shared" si="20"/>
        <v>200</v>
      </c>
      <c r="C217" s="458">
        <f t="shared" si="17"/>
        <v>0</v>
      </c>
      <c r="D217" s="458">
        <f t="shared" si="21"/>
        <v>0</v>
      </c>
      <c r="E217" s="458">
        <f>IF(B217="","-",SUM($D$18:D217))</f>
        <v>0</v>
      </c>
      <c r="F217" s="458">
        <f t="shared" si="18"/>
        <v>0</v>
      </c>
      <c r="G217" s="458">
        <f>IF(B217="","-",SUM($F$18:F217))</f>
        <v>0</v>
      </c>
      <c r="H217" s="458">
        <f t="shared" si="19"/>
        <v>0</v>
      </c>
      <c r="I217" s="159"/>
      <c r="J217" s="113"/>
      <c r="K217" s="113"/>
      <c r="M217" s="113"/>
      <c r="N217" s="113"/>
      <c r="O217" s="113"/>
      <c r="P217" s="113"/>
      <c r="Q217" s="113"/>
      <c r="R217" s="113"/>
      <c r="S217" s="113"/>
      <c r="T217" s="113"/>
      <c r="U217" s="113"/>
      <c r="V217" s="113"/>
    </row>
    <row r="218" spans="1:22" x14ac:dyDescent="0.2">
      <c r="A218" s="113"/>
      <c r="B218" s="457">
        <f t="shared" si="20"/>
        <v>201</v>
      </c>
      <c r="C218" s="458">
        <f t="shared" si="17"/>
        <v>0</v>
      </c>
      <c r="D218" s="458">
        <f t="shared" si="21"/>
        <v>0</v>
      </c>
      <c r="E218" s="458">
        <f>IF(B218="","-",SUM($D$18:D218))</f>
        <v>0</v>
      </c>
      <c r="F218" s="458">
        <f t="shared" si="18"/>
        <v>0</v>
      </c>
      <c r="G218" s="458">
        <f>IF(B218="","-",SUM($F$18:F218))</f>
        <v>0</v>
      </c>
      <c r="H218" s="458">
        <f t="shared" si="19"/>
        <v>0</v>
      </c>
      <c r="I218" s="159"/>
      <c r="J218" s="113"/>
      <c r="K218" s="113"/>
      <c r="M218" s="113"/>
      <c r="N218" s="113"/>
      <c r="O218" s="113"/>
      <c r="P218" s="113"/>
      <c r="Q218" s="113"/>
      <c r="R218" s="113"/>
      <c r="S218" s="113"/>
      <c r="T218" s="113"/>
      <c r="U218" s="113"/>
      <c r="V218" s="113"/>
    </row>
    <row r="219" spans="1:22" x14ac:dyDescent="0.2">
      <c r="A219" s="113"/>
      <c r="B219" s="457">
        <f t="shared" si="20"/>
        <v>202</v>
      </c>
      <c r="C219" s="458">
        <f t="shared" si="17"/>
        <v>0</v>
      </c>
      <c r="D219" s="458">
        <f t="shared" si="21"/>
        <v>0</v>
      </c>
      <c r="E219" s="458">
        <f>IF(B219="","-",SUM($D$18:D219))</f>
        <v>0</v>
      </c>
      <c r="F219" s="458">
        <f t="shared" si="18"/>
        <v>0</v>
      </c>
      <c r="G219" s="458">
        <f>IF(B219="","-",SUM($F$18:F219))</f>
        <v>0</v>
      </c>
      <c r="H219" s="458">
        <f t="shared" si="19"/>
        <v>0</v>
      </c>
      <c r="I219" s="159"/>
      <c r="J219" s="113"/>
      <c r="K219" s="113"/>
      <c r="M219" s="113"/>
      <c r="N219" s="113"/>
      <c r="O219" s="113"/>
      <c r="P219" s="113"/>
      <c r="Q219" s="113"/>
      <c r="R219" s="113"/>
      <c r="S219" s="113"/>
      <c r="T219" s="113"/>
      <c r="U219" s="113"/>
      <c r="V219" s="113"/>
    </row>
    <row r="220" spans="1:22" x14ac:dyDescent="0.2">
      <c r="A220" s="113"/>
      <c r="B220" s="457">
        <f t="shared" si="20"/>
        <v>203</v>
      </c>
      <c r="C220" s="458">
        <f t="shared" si="17"/>
        <v>0</v>
      </c>
      <c r="D220" s="458">
        <f t="shared" si="21"/>
        <v>0</v>
      </c>
      <c r="E220" s="458">
        <f>IF(B220="","-",SUM($D$18:D220))</f>
        <v>0</v>
      </c>
      <c r="F220" s="458">
        <f t="shared" si="18"/>
        <v>0</v>
      </c>
      <c r="G220" s="458">
        <f>IF(B220="","-",SUM($F$18:F220))</f>
        <v>0</v>
      </c>
      <c r="H220" s="458">
        <f t="shared" si="19"/>
        <v>0</v>
      </c>
      <c r="I220" s="159"/>
      <c r="J220" s="113"/>
      <c r="K220" s="113"/>
      <c r="M220" s="113"/>
      <c r="N220" s="113"/>
      <c r="O220" s="113"/>
      <c r="P220" s="113"/>
      <c r="Q220" s="113"/>
      <c r="R220" s="113"/>
      <c r="S220" s="113"/>
      <c r="T220" s="113"/>
      <c r="U220" s="113"/>
      <c r="V220" s="113"/>
    </row>
    <row r="221" spans="1:22" x14ac:dyDescent="0.2">
      <c r="A221" s="113"/>
      <c r="B221" s="457">
        <f t="shared" si="20"/>
        <v>204</v>
      </c>
      <c r="C221" s="460">
        <f t="shared" si="17"/>
        <v>0</v>
      </c>
      <c r="D221" s="458">
        <f t="shared" si="21"/>
        <v>0</v>
      </c>
      <c r="E221" s="458">
        <f>IF(B221="","-",SUM($D$18:D221))</f>
        <v>0</v>
      </c>
      <c r="F221" s="458">
        <f t="shared" si="18"/>
        <v>0</v>
      </c>
      <c r="G221" s="458">
        <f>IF(B221="","-",SUM($F$18:F221))</f>
        <v>0</v>
      </c>
      <c r="H221" s="458">
        <f t="shared" si="19"/>
        <v>0</v>
      </c>
      <c r="I221" s="159"/>
      <c r="J221" s="113"/>
      <c r="K221" s="113"/>
      <c r="M221" s="113"/>
      <c r="N221" s="113"/>
      <c r="O221" s="113"/>
      <c r="P221" s="113"/>
      <c r="Q221" s="113"/>
      <c r="R221" s="113"/>
      <c r="S221" s="113"/>
      <c r="T221" s="113"/>
      <c r="U221" s="113"/>
      <c r="V221" s="113"/>
    </row>
    <row r="222" spans="1:22" x14ac:dyDescent="0.2">
      <c r="A222" s="113"/>
      <c r="B222" s="457">
        <f t="shared" si="20"/>
        <v>205</v>
      </c>
      <c r="C222" s="458">
        <f t="shared" si="17"/>
        <v>0</v>
      </c>
      <c r="D222" s="458">
        <f t="shared" si="21"/>
        <v>0</v>
      </c>
      <c r="E222" s="458">
        <f>IF(B222="","-",SUM($D$18:D222))</f>
        <v>0</v>
      </c>
      <c r="F222" s="458">
        <f t="shared" si="18"/>
        <v>0</v>
      </c>
      <c r="G222" s="458">
        <f>IF(B222="","-",SUM($F$18:F222))</f>
        <v>0</v>
      </c>
      <c r="H222" s="458">
        <f t="shared" si="19"/>
        <v>0</v>
      </c>
      <c r="I222" s="159"/>
      <c r="J222" s="113"/>
      <c r="K222" s="113"/>
      <c r="M222" s="113"/>
      <c r="N222" s="113"/>
      <c r="O222" s="113"/>
      <c r="P222" s="113"/>
      <c r="Q222" s="113"/>
      <c r="R222" s="113"/>
      <c r="S222" s="113"/>
      <c r="T222" s="113"/>
      <c r="U222" s="113"/>
      <c r="V222" s="113"/>
    </row>
    <row r="223" spans="1:22" x14ac:dyDescent="0.2">
      <c r="A223" s="113"/>
      <c r="B223" s="457">
        <f t="shared" si="20"/>
        <v>206</v>
      </c>
      <c r="C223" s="458">
        <f t="shared" si="17"/>
        <v>0</v>
      </c>
      <c r="D223" s="458">
        <f t="shared" si="21"/>
        <v>0</v>
      </c>
      <c r="E223" s="458">
        <f>IF(B223="","-",SUM($D$18:D223))</f>
        <v>0</v>
      </c>
      <c r="F223" s="458">
        <f t="shared" si="18"/>
        <v>0</v>
      </c>
      <c r="G223" s="458">
        <f>IF(B223="","-",SUM($F$18:F223))</f>
        <v>0</v>
      </c>
      <c r="H223" s="458">
        <f t="shared" si="19"/>
        <v>0</v>
      </c>
      <c r="I223" s="159"/>
      <c r="J223" s="113"/>
      <c r="K223" s="113"/>
      <c r="M223" s="113"/>
      <c r="N223" s="113"/>
      <c r="O223" s="113"/>
      <c r="P223" s="113"/>
      <c r="Q223" s="113"/>
      <c r="R223" s="113"/>
      <c r="S223" s="113"/>
      <c r="T223" s="113"/>
      <c r="U223" s="113"/>
      <c r="V223" s="113"/>
    </row>
    <row r="224" spans="1:22" x14ac:dyDescent="0.2">
      <c r="A224" s="113"/>
      <c r="B224" s="457">
        <f t="shared" si="20"/>
        <v>207</v>
      </c>
      <c r="C224" s="458">
        <f t="shared" si="17"/>
        <v>0</v>
      </c>
      <c r="D224" s="458">
        <f t="shared" si="21"/>
        <v>0</v>
      </c>
      <c r="E224" s="458">
        <f>IF(B224="","-",SUM($D$18:D224))</f>
        <v>0</v>
      </c>
      <c r="F224" s="458">
        <f t="shared" si="18"/>
        <v>0</v>
      </c>
      <c r="G224" s="458">
        <f>IF(B224="","-",SUM($F$18:F224))</f>
        <v>0</v>
      </c>
      <c r="H224" s="458">
        <f t="shared" si="19"/>
        <v>0</v>
      </c>
      <c r="I224" s="159"/>
      <c r="J224" s="113"/>
      <c r="K224" s="113"/>
      <c r="M224" s="113"/>
      <c r="N224" s="113"/>
      <c r="O224" s="113"/>
      <c r="P224" s="113"/>
      <c r="Q224" s="113"/>
      <c r="R224" s="113"/>
      <c r="S224" s="113"/>
      <c r="T224" s="113"/>
      <c r="U224" s="113"/>
      <c r="V224" s="113"/>
    </row>
    <row r="225" spans="1:22" x14ac:dyDescent="0.2">
      <c r="A225" s="113"/>
      <c r="B225" s="457">
        <f t="shared" si="20"/>
        <v>208</v>
      </c>
      <c r="C225" s="458">
        <f t="shared" si="17"/>
        <v>0</v>
      </c>
      <c r="D225" s="458">
        <f t="shared" si="21"/>
        <v>0</v>
      </c>
      <c r="E225" s="458">
        <f>IF(B225="","-",SUM($D$18:D225))</f>
        <v>0</v>
      </c>
      <c r="F225" s="458">
        <f t="shared" si="18"/>
        <v>0</v>
      </c>
      <c r="G225" s="458">
        <f>IF(B225="","-",SUM($F$18:F225))</f>
        <v>0</v>
      </c>
      <c r="H225" s="458">
        <f t="shared" si="19"/>
        <v>0</v>
      </c>
      <c r="I225" s="159"/>
      <c r="J225" s="113"/>
      <c r="K225" s="113"/>
      <c r="M225" s="113"/>
      <c r="N225" s="113"/>
      <c r="O225" s="113"/>
      <c r="P225" s="113"/>
      <c r="Q225" s="113"/>
      <c r="R225" s="113"/>
      <c r="S225" s="113"/>
      <c r="T225" s="113"/>
      <c r="U225" s="113"/>
      <c r="V225" s="113"/>
    </row>
    <row r="226" spans="1:22" x14ac:dyDescent="0.2">
      <c r="A226" s="113"/>
      <c r="B226" s="457">
        <f t="shared" si="20"/>
        <v>209</v>
      </c>
      <c r="C226" s="458">
        <f t="shared" si="17"/>
        <v>0</v>
      </c>
      <c r="D226" s="458">
        <f t="shared" si="21"/>
        <v>0</v>
      </c>
      <c r="E226" s="458">
        <f>IF(B226="","-",SUM($D$18:D226))</f>
        <v>0</v>
      </c>
      <c r="F226" s="458">
        <f t="shared" si="18"/>
        <v>0</v>
      </c>
      <c r="G226" s="458">
        <f>IF(B226="","-",SUM($F$18:F226))</f>
        <v>0</v>
      </c>
      <c r="H226" s="458">
        <f t="shared" si="19"/>
        <v>0</v>
      </c>
      <c r="I226" s="159"/>
      <c r="J226" s="113"/>
      <c r="K226" s="113"/>
      <c r="M226" s="113"/>
      <c r="N226" s="113"/>
      <c r="O226" s="113"/>
      <c r="P226" s="113"/>
      <c r="Q226" s="113"/>
      <c r="R226" s="113"/>
      <c r="S226" s="113"/>
      <c r="T226" s="113"/>
      <c r="U226" s="113"/>
      <c r="V226" s="113"/>
    </row>
    <row r="227" spans="1:22" x14ac:dyDescent="0.2">
      <c r="A227" s="113"/>
      <c r="B227" s="457">
        <f t="shared" si="20"/>
        <v>210</v>
      </c>
      <c r="C227" s="458">
        <f t="shared" si="17"/>
        <v>0</v>
      </c>
      <c r="D227" s="458">
        <f t="shared" si="21"/>
        <v>0</v>
      </c>
      <c r="E227" s="458">
        <f>IF(B227="","-",SUM($D$18:D227))</f>
        <v>0</v>
      </c>
      <c r="F227" s="458">
        <f t="shared" si="18"/>
        <v>0</v>
      </c>
      <c r="G227" s="458">
        <f>IF(B227="","-",SUM($F$18:F227))</f>
        <v>0</v>
      </c>
      <c r="H227" s="458">
        <f t="shared" si="19"/>
        <v>0</v>
      </c>
      <c r="I227" s="159"/>
      <c r="J227" s="113"/>
      <c r="K227" s="113"/>
      <c r="M227" s="113"/>
      <c r="N227" s="113"/>
      <c r="O227" s="113"/>
      <c r="P227" s="113"/>
      <c r="Q227" s="113"/>
      <c r="R227" s="113"/>
      <c r="S227" s="113"/>
      <c r="T227" s="113"/>
      <c r="U227" s="113"/>
      <c r="V227" s="113"/>
    </row>
    <row r="228" spans="1:22" x14ac:dyDescent="0.2">
      <c r="A228" s="113"/>
      <c r="B228" s="457">
        <f t="shared" si="20"/>
        <v>211</v>
      </c>
      <c r="C228" s="458">
        <f t="shared" si="17"/>
        <v>0</v>
      </c>
      <c r="D228" s="458">
        <f t="shared" si="21"/>
        <v>0</v>
      </c>
      <c r="E228" s="458">
        <f>IF(B228="","-",SUM($D$18:D228))</f>
        <v>0</v>
      </c>
      <c r="F228" s="458">
        <f t="shared" si="18"/>
        <v>0</v>
      </c>
      <c r="G228" s="458">
        <f>IF(B228="","-",SUM($F$18:F228))</f>
        <v>0</v>
      </c>
      <c r="H228" s="458">
        <f t="shared" si="19"/>
        <v>0</v>
      </c>
      <c r="I228" s="159"/>
      <c r="J228" s="113"/>
      <c r="K228" s="113"/>
      <c r="M228" s="113"/>
      <c r="N228" s="113"/>
      <c r="O228" s="113"/>
      <c r="P228" s="113"/>
      <c r="Q228" s="113"/>
      <c r="R228" s="113"/>
      <c r="S228" s="113"/>
      <c r="T228" s="113"/>
      <c r="U228" s="113"/>
      <c r="V228" s="113"/>
    </row>
    <row r="229" spans="1:22" x14ac:dyDescent="0.2">
      <c r="A229" s="113"/>
      <c r="B229" s="457">
        <f t="shared" si="20"/>
        <v>212</v>
      </c>
      <c r="C229" s="458">
        <f t="shared" si="17"/>
        <v>0</v>
      </c>
      <c r="D229" s="458">
        <f t="shared" si="21"/>
        <v>0</v>
      </c>
      <c r="E229" s="458">
        <f>IF(B229="","-",SUM($D$18:D229))</f>
        <v>0</v>
      </c>
      <c r="F229" s="458">
        <f t="shared" si="18"/>
        <v>0</v>
      </c>
      <c r="G229" s="458">
        <f>IF(B229="","-",SUM($F$18:F229))</f>
        <v>0</v>
      </c>
      <c r="H229" s="458">
        <f t="shared" si="19"/>
        <v>0</v>
      </c>
      <c r="I229" s="159"/>
      <c r="J229" s="113"/>
      <c r="K229" s="113"/>
      <c r="M229" s="113"/>
      <c r="N229" s="113"/>
      <c r="O229" s="113"/>
      <c r="P229" s="113"/>
      <c r="Q229" s="113"/>
      <c r="R229" s="113"/>
      <c r="S229" s="113"/>
      <c r="T229" s="113"/>
      <c r="U229" s="113"/>
      <c r="V229" s="113"/>
    </row>
    <row r="230" spans="1:22" x14ac:dyDescent="0.2">
      <c r="A230" s="113"/>
      <c r="B230" s="457">
        <f t="shared" si="20"/>
        <v>213</v>
      </c>
      <c r="C230" s="458">
        <f t="shared" si="17"/>
        <v>0</v>
      </c>
      <c r="D230" s="458">
        <f t="shared" si="21"/>
        <v>0</v>
      </c>
      <c r="E230" s="458">
        <f>IF(B230="","-",SUM($D$18:D230))</f>
        <v>0</v>
      </c>
      <c r="F230" s="458">
        <f t="shared" si="18"/>
        <v>0</v>
      </c>
      <c r="G230" s="458">
        <f>IF(B230="","-",SUM($F$18:F230))</f>
        <v>0</v>
      </c>
      <c r="H230" s="458">
        <f t="shared" si="19"/>
        <v>0</v>
      </c>
      <c r="I230" s="159"/>
      <c r="J230" s="113"/>
      <c r="K230" s="113"/>
      <c r="M230" s="113"/>
      <c r="N230" s="113"/>
      <c r="O230" s="113"/>
      <c r="P230" s="113"/>
      <c r="Q230" s="113"/>
      <c r="R230" s="113"/>
      <c r="S230" s="113"/>
      <c r="T230" s="113"/>
      <c r="U230" s="113"/>
      <c r="V230" s="113"/>
    </row>
    <row r="231" spans="1:22" x14ac:dyDescent="0.2">
      <c r="A231" s="113"/>
      <c r="B231" s="457">
        <f t="shared" si="20"/>
        <v>214</v>
      </c>
      <c r="C231" s="458">
        <f t="shared" si="17"/>
        <v>0</v>
      </c>
      <c r="D231" s="458">
        <f t="shared" si="21"/>
        <v>0</v>
      </c>
      <c r="E231" s="458">
        <f>IF(B231="","-",SUM($D$18:D231))</f>
        <v>0</v>
      </c>
      <c r="F231" s="458">
        <f t="shared" si="18"/>
        <v>0</v>
      </c>
      <c r="G231" s="458">
        <f>IF(B231="","-",SUM($F$18:F231))</f>
        <v>0</v>
      </c>
      <c r="H231" s="458">
        <f t="shared" si="19"/>
        <v>0</v>
      </c>
      <c r="I231" s="159"/>
      <c r="J231" s="113"/>
      <c r="K231" s="113"/>
      <c r="M231" s="113"/>
      <c r="N231" s="113"/>
      <c r="O231" s="113"/>
      <c r="P231" s="113"/>
      <c r="Q231" s="113"/>
      <c r="R231" s="113"/>
      <c r="S231" s="113"/>
      <c r="T231" s="113"/>
      <c r="U231" s="113"/>
      <c r="V231" s="113"/>
    </row>
    <row r="232" spans="1:22" x14ac:dyDescent="0.2">
      <c r="A232" s="113"/>
      <c r="B232" s="457">
        <f t="shared" si="20"/>
        <v>215</v>
      </c>
      <c r="C232" s="458">
        <f t="shared" si="17"/>
        <v>0</v>
      </c>
      <c r="D232" s="458">
        <f t="shared" si="21"/>
        <v>0</v>
      </c>
      <c r="E232" s="458">
        <f>IF(B232="","-",SUM($D$18:D232))</f>
        <v>0</v>
      </c>
      <c r="F232" s="458">
        <f t="shared" si="18"/>
        <v>0</v>
      </c>
      <c r="G232" s="458">
        <f>IF(B232="","-",SUM($F$18:F232))</f>
        <v>0</v>
      </c>
      <c r="H232" s="458">
        <f t="shared" si="19"/>
        <v>0</v>
      </c>
      <c r="I232" s="159"/>
      <c r="J232" s="113"/>
      <c r="K232" s="113"/>
      <c r="M232" s="113"/>
      <c r="N232" s="113"/>
      <c r="O232" s="113"/>
      <c r="P232" s="113"/>
      <c r="Q232" s="113"/>
      <c r="R232" s="113"/>
      <c r="S232" s="113"/>
      <c r="T232" s="113"/>
      <c r="U232" s="113"/>
      <c r="V232" s="113"/>
    </row>
    <row r="233" spans="1:22" x14ac:dyDescent="0.2">
      <c r="A233" s="113"/>
      <c r="B233" s="457">
        <f t="shared" si="20"/>
        <v>216</v>
      </c>
      <c r="C233" s="460">
        <f t="shared" si="17"/>
        <v>0</v>
      </c>
      <c r="D233" s="458">
        <f t="shared" si="21"/>
        <v>0</v>
      </c>
      <c r="E233" s="458">
        <f>IF(B233="","-",SUM($D$18:D233))</f>
        <v>0</v>
      </c>
      <c r="F233" s="458">
        <f t="shared" si="18"/>
        <v>0</v>
      </c>
      <c r="G233" s="458">
        <f>IF(B233="","-",SUM($F$18:F233))</f>
        <v>0</v>
      </c>
      <c r="H233" s="458">
        <f t="shared" si="19"/>
        <v>0</v>
      </c>
      <c r="I233" s="159"/>
      <c r="J233" s="113"/>
      <c r="K233" s="113"/>
      <c r="M233" s="113"/>
      <c r="N233" s="113"/>
      <c r="O233" s="113"/>
      <c r="P233" s="113"/>
      <c r="Q233" s="113"/>
      <c r="R233" s="113"/>
      <c r="S233" s="113"/>
      <c r="T233" s="113"/>
      <c r="U233" s="113"/>
      <c r="V233" s="113"/>
    </row>
    <row r="234" spans="1:22" x14ac:dyDescent="0.2">
      <c r="A234" s="113"/>
      <c r="B234" s="457">
        <f t="shared" si="20"/>
        <v>217</v>
      </c>
      <c r="C234" s="458">
        <f t="shared" si="17"/>
        <v>0</v>
      </c>
      <c r="D234" s="458">
        <f t="shared" si="21"/>
        <v>0</v>
      </c>
      <c r="E234" s="458">
        <f>IF(B234="","-",SUM($D$18:D234))</f>
        <v>0</v>
      </c>
      <c r="F234" s="458">
        <f t="shared" si="18"/>
        <v>0</v>
      </c>
      <c r="G234" s="458">
        <f>IF(B234="","-",SUM($F$18:F234))</f>
        <v>0</v>
      </c>
      <c r="H234" s="458">
        <f t="shared" si="19"/>
        <v>0</v>
      </c>
      <c r="I234" s="159"/>
      <c r="J234" s="113"/>
      <c r="K234" s="113"/>
      <c r="M234" s="113"/>
      <c r="N234" s="113"/>
      <c r="O234" s="113"/>
      <c r="P234" s="113"/>
      <c r="Q234" s="113"/>
      <c r="R234" s="113"/>
      <c r="S234" s="113"/>
      <c r="T234" s="113"/>
      <c r="U234" s="113"/>
      <c r="V234" s="113"/>
    </row>
    <row r="235" spans="1:22" x14ac:dyDescent="0.2">
      <c r="A235" s="113"/>
      <c r="B235" s="457">
        <f t="shared" si="20"/>
        <v>218</v>
      </c>
      <c r="C235" s="458">
        <f t="shared" si="17"/>
        <v>0</v>
      </c>
      <c r="D235" s="458">
        <f t="shared" si="21"/>
        <v>0</v>
      </c>
      <c r="E235" s="458">
        <f>IF(B235="","-",SUM($D$18:D235))</f>
        <v>0</v>
      </c>
      <c r="F235" s="458">
        <f t="shared" si="18"/>
        <v>0</v>
      </c>
      <c r="G235" s="458">
        <f>IF(B235="","-",SUM($F$18:F235))</f>
        <v>0</v>
      </c>
      <c r="H235" s="458">
        <f t="shared" si="19"/>
        <v>0</v>
      </c>
      <c r="I235" s="159"/>
      <c r="J235" s="113"/>
      <c r="K235" s="113"/>
      <c r="M235" s="113"/>
      <c r="N235" s="113"/>
      <c r="O235" s="113"/>
      <c r="P235" s="113"/>
      <c r="Q235" s="113"/>
      <c r="R235" s="113"/>
      <c r="S235" s="113"/>
      <c r="T235" s="113"/>
      <c r="U235" s="113"/>
      <c r="V235" s="113"/>
    </row>
    <row r="236" spans="1:22" x14ac:dyDescent="0.2">
      <c r="A236" s="113"/>
      <c r="B236" s="457">
        <f t="shared" si="20"/>
        <v>219</v>
      </c>
      <c r="C236" s="458">
        <f t="shared" si="17"/>
        <v>0</v>
      </c>
      <c r="D236" s="458">
        <f t="shared" si="21"/>
        <v>0</v>
      </c>
      <c r="E236" s="458">
        <f>IF(B236="","-",SUM($D$18:D236))</f>
        <v>0</v>
      </c>
      <c r="F236" s="458">
        <f t="shared" si="18"/>
        <v>0</v>
      </c>
      <c r="G236" s="458">
        <f>IF(B236="","-",SUM($F$18:F236))</f>
        <v>0</v>
      </c>
      <c r="H236" s="458">
        <f t="shared" si="19"/>
        <v>0</v>
      </c>
      <c r="I236" s="159"/>
      <c r="J236" s="113"/>
      <c r="K236" s="113"/>
      <c r="M236" s="113"/>
      <c r="N236" s="113"/>
      <c r="O236" s="113"/>
      <c r="P236" s="113"/>
      <c r="Q236" s="113"/>
      <c r="R236" s="113"/>
      <c r="S236" s="113"/>
      <c r="T236" s="113"/>
      <c r="U236" s="113"/>
      <c r="V236" s="113"/>
    </row>
    <row r="237" spans="1:22" x14ac:dyDescent="0.2">
      <c r="A237" s="113"/>
      <c r="B237" s="457">
        <f t="shared" si="20"/>
        <v>220</v>
      </c>
      <c r="C237" s="458">
        <f t="shared" si="17"/>
        <v>0</v>
      </c>
      <c r="D237" s="458">
        <f t="shared" si="21"/>
        <v>0</v>
      </c>
      <c r="E237" s="458">
        <f>IF(B237="","-",SUM($D$18:D237))</f>
        <v>0</v>
      </c>
      <c r="F237" s="458">
        <f t="shared" si="18"/>
        <v>0</v>
      </c>
      <c r="G237" s="458">
        <f>IF(B237="","-",SUM($F$18:F237))</f>
        <v>0</v>
      </c>
      <c r="H237" s="458">
        <f t="shared" si="19"/>
        <v>0</v>
      </c>
      <c r="I237" s="159"/>
      <c r="J237" s="113"/>
      <c r="K237" s="113"/>
      <c r="M237" s="113"/>
      <c r="N237" s="113"/>
      <c r="O237" s="113"/>
      <c r="P237" s="113"/>
      <c r="Q237" s="113"/>
      <c r="R237" s="113"/>
      <c r="S237" s="113"/>
      <c r="T237" s="113"/>
      <c r="U237" s="113"/>
      <c r="V237" s="113"/>
    </row>
    <row r="238" spans="1:22" x14ac:dyDescent="0.2">
      <c r="A238" s="113"/>
      <c r="B238" s="457">
        <f t="shared" si="20"/>
        <v>221</v>
      </c>
      <c r="C238" s="458">
        <f t="shared" si="17"/>
        <v>0</v>
      </c>
      <c r="D238" s="458">
        <f t="shared" si="21"/>
        <v>0</v>
      </c>
      <c r="E238" s="458">
        <f>IF(B238="","-",SUM($D$18:D238))</f>
        <v>0</v>
      </c>
      <c r="F238" s="458">
        <f t="shared" si="18"/>
        <v>0</v>
      </c>
      <c r="G238" s="458">
        <f>IF(B238="","-",SUM($F$18:F238))</f>
        <v>0</v>
      </c>
      <c r="H238" s="458">
        <f t="shared" si="19"/>
        <v>0</v>
      </c>
      <c r="I238" s="159"/>
      <c r="J238" s="113"/>
      <c r="K238" s="113"/>
      <c r="M238" s="113"/>
      <c r="N238" s="113"/>
      <c r="O238" s="113"/>
      <c r="P238" s="113"/>
      <c r="Q238" s="113"/>
      <c r="R238" s="113"/>
      <c r="S238" s="113"/>
      <c r="T238" s="113"/>
      <c r="U238" s="113"/>
      <c r="V238" s="113"/>
    </row>
    <row r="239" spans="1:22" x14ac:dyDescent="0.2">
      <c r="A239" s="113"/>
      <c r="B239" s="457">
        <f t="shared" si="20"/>
        <v>222</v>
      </c>
      <c r="C239" s="458">
        <f t="shared" si="17"/>
        <v>0</v>
      </c>
      <c r="D239" s="458">
        <f t="shared" si="21"/>
        <v>0</v>
      </c>
      <c r="E239" s="458">
        <f>IF(B239="","-",SUM($D$18:D239))</f>
        <v>0</v>
      </c>
      <c r="F239" s="458">
        <f t="shared" si="18"/>
        <v>0</v>
      </c>
      <c r="G239" s="458">
        <f>IF(B239="","-",SUM($F$18:F239))</f>
        <v>0</v>
      </c>
      <c r="H239" s="458">
        <f t="shared" si="19"/>
        <v>0</v>
      </c>
      <c r="I239" s="159"/>
      <c r="J239" s="113"/>
      <c r="K239" s="113"/>
      <c r="M239" s="113"/>
      <c r="N239" s="113"/>
      <c r="O239" s="113"/>
      <c r="P239" s="113"/>
      <c r="Q239" s="113"/>
      <c r="R239" s="113"/>
      <c r="S239" s="113"/>
      <c r="T239" s="113"/>
      <c r="U239" s="113"/>
      <c r="V239" s="113"/>
    </row>
    <row r="240" spans="1:22" x14ac:dyDescent="0.2">
      <c r="A240" s="113"/>
      <c r="B240" s="457">
        <f t="shared" si="20"/>
        <v>223</v>
      </c>
      <c r="C240" s="458">
        <f t="shared" si="17"/>
        <v>0</v>
      </c>
      <c r="D240" s="458">
        <f t="shared" si="21"/>
        <v>0</v>
      </c>
      <c r="E240" s="458">
        <f>IF(B240="","-",SUM($D$18:D240))</f>
        <v>0</v>
      </c>
      <c r="F240" s="458">
        <f t="shared" si="18"/>
        <v>0</v>
      </c>
      <c r="G240" s="458">
        <f>IF(B240="","-",SUM($F$18:F240))</f>
        <v>0</v>
      </c>
      <c r="H240" s="458">
        <f t="shared" si="19"/>
        <v>0</v>
      </c>
      <c r="I240" s="159"/>
      <c r="J240" s="113"/>
      <c r="K240" s="113"/>
      <c r="M240" s="113"/>
      <c r="N240" s="113"/>
      <c r="O240" s="113"/>
      <c r="P240" s="113"/>
      <c r="Q240" s="113"/>
      <c r="R240" s="113"/>
      <c r="S240" s="113"/>
      <c r="T240" s="113"/>
      <c r="U240" s="113"/>
      <c r="V240" s="113"/>
    </row>
    <row r="241" spans="1:22" x14ac:dyDescent="0.2">
      <c r="A241" s="113"/>
      <c r="B241" s="457">
        <f t="shared" si="20"/>
        <v>224</v>
      </c>
      <c r="C241" s="458">
        <f t="shared" si="17"/>
        <v>0</v>
      </c>
      <c r="D241" s="458">
        <f t="shared" si="21"/>
        <v>0</v>
      </c>
      <c r="E241" s="458">
        <f>IF(B241="","-",SUM($D$18:D241))</f>
        <v>0</v>
      </c>
      <c r="F241" s="458">
        <f t="shared" si="18"/>
        <v>0</v>
      </c>
      <c r="G241" s="458">
        <f>IF(B241="","-",SUM($F$18:F241))</f>
        <v>0</v>
      </c>
      <c r="H241" s="458">
        <f t="shared" si="19"/>
        <v>0</v>
      </c>
      <c r="I241" s="159"/>
      <c r="J241" s="113"/>
      <c r="K241" s="113"/>
      <c r="M241" s="113"/>
      <c r="N241" s="113"/>
      <c r="O241" s="113"/>
      <c r="P241" s="113"/>
      <c r="Q241" s="113"/>
      <c r="R241" s="113"/>
      <c r="S241" s="113"/>
      <c r="T241" s="113"/>
      <c r="U241" s="113"/>
      <c r="V241" s="113"/>
    </row>
    <row r="242" spans="1:22" x14ac:dyDescent="0.2">
      <c r="A242" s="113"/>
      <c r="B242" s="457">
        <f t="shared" si="20"/>
        <v>225</v>
      </c>
      <c r="C242" s="458">
        <f t="shared" si="17"/>
        <v>0</v>
      </c>
      <c r="D242" s="458">
        <f t="shared" si="21"/>
        <v>0</v>
      </c>
      <c r="E242" s="458">
        <f>IF(B242="","-",SUM($D$18:D242))</f>
        <v>0</v>
      </c>
      <c r="F242" s="458">
        <f t="shared" si="18"/>
        <v>0</v>
      </c>
      <c r="G242" s="458">
        <f>IF(B242="","-",SUM($F$18:F242))</f>
        <v>0</v>
      </c>
      <c r="H242" s="458">
        <f t="shared" si="19"/>
        <v>0</v>
      </c>
      <c r="I242" s="159"/>
      <c r="J242" s="113"/>
      <c r="K242" s="113"/>
      <c r="M242" s="113"/>
      <c r="N242" s="113"/>
      <c r="O242" s="113"/>
      <c r="P242" s="113"/>
      <c r="Q242" s="113"/>
      <c r="R242" s="113"/>
      <c r="S242" s="113"/>
      <c r="T242" s="113"/>
      <c r="U242" s="113"/>
      <c r="V242" s="113"/>
    </row>
    <row r="243" spans="1:22" x14ac:dyDescent="0.2">
      <c r="A243" s="113"/>
      <c r="B243" s="457">
        <f t="shared" si="20"/>
        <v>226</v>
      </c>
      <c r="C243" s="458">
        <f t="shared" si="17"/>
        <v>0</v>
      </c>
      <c r="D243" s="458">
        <f t="shared" si="21"/>
        <v>0</v>
      </c>
      <c r="E243" s="458">
        <f>IF(B243="","-",SUM($D$18:D243))</f>
        <v>0</v>
      </c>
      <c r="F243" s="458">
        <f t="shared" si="18"/>
        <v>0</v>
      </c>
      <c r="G243" s="458">
        <f>IF(B243="","-",SUM($F$18:F243))</f>
        <v>0</v>
      </c>
      <c r="H243" s="458">
        <f t="shared" si="19"/>
        <v>0</v>
      </c>
      <c r="I243" s="159"/>
      <c r="J243" s="113"/>
      <c r="K243" s="113"/>
      <c r="M243" s="113"/>
      <c r="N243" s="113"/>
      <c r="O243" s="113"/>
      <c r="P243" s="113"/>
      <c r="Q243" s="113"/>
      <c r="R243" s="113"/>
      <c r="S243" s="113"/>
      <c r="T243" s="113"/>
      <c r="U243" s="113"/>
      <c r="V243" s="113"/>
    </row>
    <row r="244" spans="1:22" x14ac:dyDescent="0.2">
      <c r="A244" s="113"/>
      <c r="B244" s="457">
        <f t="shared" si="20"/>
        <v>227</v>
      </c>
      <c r="C244" s="458">
        <f t="shared" si="17"/>
        <v>0</v>
      </c>
      <c r="D244" s="458">
        <f t="shared" si="21"/>
        <v>0</v>
      </c>
      <c r="E244" s="458">
        <f>IF(B244="","-",SUM($D$18:D244))</f>
        <v>0</v>
      </c>
      <c r="F244" s="458">
        <f t="shared" si="18"/>
        <v>0</v>
      </c>
      <c r="G244" s="458">
        <f>IF(B244="","-",SUM($F$18:F244))</f>
        <v>0</v>
      </c>
      <c r="H244" s="458">
        <f t="shared" si="19"/>
        <v>0</v>
      </c>
      <c r="I244" s="159"/>
      <c r="J244" s="113"/>
      <c r="K244" s="113"/>
      <c r="M244" s="113"/>
      <c r="N244" s="113"/>
      <c r="O244" s="113"/>
      <c r="P244" s="113"/>
      <c r="Q244" s="113"/>
      <c r="R244" s="113"/>
      <c r="S244" s="113"/>
      <c r="T244" s="113"/>
      <c r="U244" s="113"/>
      <c r="V244" s="113"/>
    </row>
    <row r="245" spans="1:22" x14ac:dyDescent="0.2">
      <c r="A245" s="113"/>
      <c r="B245" s="457">
        <f t="shared" si="20"/>
        <v>228</v>
      </c>
      <c r="C245" s="460">
        <f t="shared" si="17"/>
        <v>0</v>
      </c>
      <c r="D245" s="458">
        <f t="shared" si="21"/>
        <v>0</v>
      </c>
      <c r="E245" s="458">
        <f>IF(B245="","-",SUM($D$18:D245))</f>
        <v>0</v>
      </c>
      <c r="F245" s="458">
        <f t="shared" si="18"/>
        <v>0</v>
      </c>
      <c r="G245" s="458">
        <f>IF(B245="","-",SUM($F$18:F245))</f>
        <v>0</v>
      </c>
      <c r="H245" s="458">
        <f t="shared" si="19"/>
        <v>0</v>
      </c>
      <c r="I245" s="159"/>
      <c r="J245" s="113"/>
      <c r="K245" s="113"/>
      <c r="M245" s="113"/>
      <c r="N245" s="113"/>
      <c r="O245" s="113"/>
      <c r="P245" s="113"/>
      <c r="Q245" s="113"/>
      <c r="R245" s="113"/>
      <c r="S245" s="113"/>
      <c r="T245" s="113"/>
      <c r="U245" s="113"/>
      <c r="V245" s="113"/>
    </row>
    <row r="246" spans="1:22" x14ac:dyDescent="0.2">
      <c r="A246" s="113"/>
      <c r="B246" s="457">
        <f t="shared" si="20"/>
        <v>229</v>
      </c>
      <c r="C246" s="458">
        <f t="shared" si="17"/>
        <v>0</v>
      </c>
      <c r="D246" s="458">
        <f t="shared" si="21"/>
        <v>0</v>
      </c>
      <c r="E246" s="458">
        <f>IF(B246="","-",SUM($D$18:D246))</f>
        <v>0</v>
      </c>
      <c r="F246" s="458">
        <f t="shared" si="18"/>
        <v>0</v>
      </c>
      <c r="G246" s="458">
        <f>IF(B246="","-",SUM($F$18:F246))</f>
        <v>0</v>
      </c>
      <c r="H246" s="458">
        <f t="shared" si="19"/>
        <v>0</v>
      </c>
      <c r="I246" s="159"/>
      <c r="J246" s="113"/>
      <c r="K246" s="113"/>
      <c r="M246" s="113"/>
      <c r="N246" s="113"/>
      <c r="O246" s="113"/>
      <c r="P246" s="113"/>
      <c r="Q246" s="113"/>
      <c r="R246" s="113"/>
      <c r="S246" s="113"/>
      <c r="T246" s="113"/>
      <c r="U246" s="113"/>
      <c r="V246" s="113"/>
    </row>
    <row r="247" spans="1:22" x14ac:dyDescent="0.2">
      <c r="A247" s="113"/>
      <c r="B247" s="457">
        <f t="shared" si="20"/>
        <v>230</v>
      </c>
      <c r="C247" s="458">
        <f t="shared" si="17"/>
        <v>0</v>
      </c>
      <c r="D247" s="458">
        <f t="shared" si="21"/>
        <v>0</v>
      </c>
      <c r="E247" s="458">
        <f>IF(B247="","-",SUM($D$18:D247))</f>
        <v>0</v>
      </c>
      <c r="F247" s="458">
        <f t="shared" si="18"/>
        <v>0</v>
      </c>
      <c r="G247" s="458">
        <f>IF(B247="","-",SUM($F$18:F247))</f>
        <v>0</v>
      </c>
      <c r="H247" s="458">
        <f t="shared" si="19"/>
        <v>0</v>
      </c>
      <c r="I247" s="159"/>
      <c r="J247" s="113"/>
      <c r="K247" s="113"/>
      <c r="M247" s="113"/>
      <c r="N247" s="113"/>
      <c r="O247" s="113"/>
      <c r="P247" s="113"/>
      <c r="Q247" s="113"/>
      <c r="R247" s="113"/>
      <c r="S247" s="113"/>
      <c r="T247" s="113"/>
      <c r="U247" s="113"/>
      <c r="V247" s="113"/>
    </row>
    <row r="248" spans="1:22" x14ac:dyDescent="0.2">
      <c r="A248" s="113"/>
      <c r="B248" s="457">
        <f t="shared" si="20"/>
        <v>231</v>
      </c>
      <c r="C248" s="458">
        <f t="shared" si="17"/>
        <v>0</v>
      </c>
      <c r="D248" s="458">
        <f t="shared" si="21"/>
        <v>0</v>
      </c>
      <c r="E248" s="458">
        <f>IF(B248="","-",SUM($D$18:D248))</f>
        <v>0</v>
      </c>
      <c r="F248" s="458">
        <f t="shared" si="18"/>
        <v>0</v>
      </c>
      <c r="G248" s="458">
        <f>IF(B248="","-",SUM($F$18:F248))</f>
        <v>0</v>
      </c>
      <c r="H248" s="458">
        <f t="shared" si="19"/>
        <v>0</v>
      </c>
      <c r="I248" s="159"/>
      <c r="J248" s="113"/>
      <c r="K248" s="113"/>
      <c r="M248" s="113"/>
      <c r="N248" s="113"/>
      <c r="O248" s="113"/>
      <c r="P248" s="113"/>
      <c r="Q248" s="113"/>
      <c r="R248" s="113"/>
      <c r="S248" s="113"/>
      <c r="T248" s="113"/>
      <c r="U248" s="113"/>
      <c r="V248" s="113"/>
    </row>
    <row r="249" spans="1:22" x14ac:dyDescent="0.2">
      <c r="A249" s="113"/>
      <c r="B249" s="457">
        <f t="shared" si="20"/>
        <v>232</v>
      </c>
      <c r="C249" s="458">
        <f t="shared" si="17"/>
        <v>0</v>
      </c>
      <c r="D249" s="458">
        <f t="shared" si="21"/>
        <v>0</v>
      </c>
      <c r="E249" s="458">
        <f>IF(B249="","-",SUM($D$18:D249))</f>
        <v>0</v>
      </c>
      <c r="F249" s="458">
        <f t="shared" si="18"/>
        <v>0</v>
      </c>
      <c r="G249" s="458">
        <f>IF(B249="","-",SUM($F$18:F249))</f>
        <v>0</v>
      </c>
      <c r="H249" s="458">
        <f t="shared" si="19"/>
        <v>0</v>
      </c>
      <c r="I249" s="159"/>
      <c r="J249" s="113"/>
      <c r="K249" s="113"/>
      <c r="M249" s="113"/>
      <c r="N249" s="113"/>
      <c r="O249" s="113"/>
      <c r="P249" s="113"/>
      <c r="Q249" s="113"/>
      <c r="R249" s="113"/>
      <c r="S249" s="113"/>
      <c r="T249" s="113"/>
      <c r="U249" s="113"/>
      <c r="V249" s="113"/>
    </row>
    <row r="250" spans="1:22" x14ac:dyDescent="0.2">
      <c r="A250" s="113"/>
      <c r="B250" s="457">
        <f t="shared" si="20"/>
        <v>233</v>
      </c>
      <c r="C250" s="458">
        <f t="shared" si="17"/>
        <v>0</v>
      </c>
      <c r="D250" s="458">
        <f t="shared" si="21"/>
        <v>0</v>
      </c>
      <c r="E250" s="458">
        <f>IF(B250="","-",SUM($D$18:D250))</f>
        <v>0</v>
      </c>
      <c r="F250" s="458">
        <f t="shared" si="18"/>
        <v>0</v>
      </c>
      <c r="G250" s="458">
        <f>IF(B250="","-",SUM($F$18:F250))</f>
        <v>0</v>
      </c>
      <c r="H250" s="458">
        <f t="shared" si="19"/>
        <v>0</v>
      </c>
      <c r="I250" s="159"/>
      <c r="J250" s="113"/>
      <c r="K250" s="113"/>
      <c r="M250" s="113"/>
      <c r="N250" s="113"/>
      <c r="O250" s="113"/>
      <c r="P250" s="113"/>
      <c r="Q250" s="113"/>
      <c r="R250" s="113"/>
      <c r="S250" s="113"/>
      <c r="T250" s="113"/>
      <c r="U250" s="113"/>
      <c r="V250" s="113"/>
    </row>
    <row r="251" spans="1:22" x14ac:dyDescent="0.2">
      <c r="A251" s="113"/>
      <c r="B251" s="457">
        <f t="shared" si="20"/>
        <v>234</v>
      </c>
      <c r="C251" s="458">
        <f t="shared" si="17"/>
        <v>0</v>
      </c>
      <c r="D251" s="458">
        <f t="shared" si="21"/>
        <v>0</v>
      </c>
      <c r="E251" s="458">
        <f>IF(B251="","-",SUM($D$18:D251))</f>
        <v>0</v>
      </c>
      <c r="F251" s="458">
        <f t="shared" si="18"/>
        <v>0</v>
      </c>
      <c r="G251" s="458">
        <f>IF(B251="","-",SUM($F$18:F251))</f>
        <v>0</v>
      </c>
      <c r="H251" s="458">
        <f t="shared" si="19"/>
        <v>0</v>
      </c>
      <c r="I251" s="159"/>
      <c r="J251" s="113"/>
      <c r="K251" s="113"/>
      <c r="M251" s="113"/>
      <c r="N251" s="113"/>
      <c r="O251" s="113"/>
      <c r="P251" s="113"/>
      <c r="Q251" s="113"/>
      <c r="R251" s="113"/>
      <c r="S251" s="113"/>
      <c r="T251" s="113"/>
      <c r="U251" s="113"/>
      <c r="V251" s="113"/>
    </row>
    <row r="252" spans="1:22" x14ac:dyDescent="0.2">
      <c r="A252" s="113"/>
      <c r="B252" s="457">
        <f t="shared" si="20"/>
        <v>235</v>
      </c>
      <c r="C252" s="458">
        <f t="shared" si="17"/>
        <v>0</v>
      </c>
      <c r="D252" s="458">
        <f t="shared" si="21"/>
        <v>0</v>
      </c>
      <c r="E252" s="458">
        <f>IF(B252="","-",SUM($D$18:D252))</f>
        <v>0</v>
      </c>
      <c r="F252" s="458">
        <f t="shared" si="18"/>
        <v>0</v>
      </c>
      <c r="G252" s="458">
        <f>IF(B252="","-",SUM($F$18:F252))</f>
        <v>0</v>
      </c>
      <c r="H252" s="458">
        <f t="shared" si="19"/>
        <v>0</v>
      </c>
      <c r="I252" s="159"/>
      <c r="J252" s="113"/>
      <c r="K252" s="113"/>
      <c r="M252" s="113"/>
      <c r="N252" s="113"/>
      <c r="O252" s="113"/>
      <c r="P252" s="113"/>
      <c r="Q252" s="113"/>
      <c r="R252" s="113"/>
      <c r="S252" s="113"/>
      <c r="T252" s="113"/>
      <c r="U252" s="113"/>
      <c r="V252" s="113"/>
    </row>
    <row r="253" spans="1:22" x14ac:dyDescent="0.2">
      <c r="A253" s="113"/>
      <c r="B253" s="457">
        <f t="shared" si="20"/>
        <v>236</v>
      </c>
      <c r="C253" s="458">
        <f t="shared" si="17"/>
        <v>0</v>
      </c>
      <c r="D253" s="458">
        <f t="shared" si="21"/>
        <v>0</v>
      </c>
      <c r="E253" s="458">
        <f>IF(B253="","-",SUM($D$18:D253))</f>
        <v>0</v>
      </c>
      <c r="F253" s="458">
        <f t="shared" si="18"/>
        <v>0</v>
      </c>
      <c r="G253" s="458">
        <f>IF(B253="","-",SUM($F$18:F253))</f>
        <v>0</v>
      </c>
      <c r="H253" s="458">
        <f t="shared" si="19"/>
        <v>0</v>
      </c>
      <c r="I253" s="159"/>
      <c r="J253" s="113"/>
      <c r="K253" s="113"/>
      <c r="M253" s="113"/>
      <c r="N253" s="113"/>
      <c r="O253" s="113"/>
      <c r="P253" s="113"/>
      <c r="Q253" s="113"/>
      <c r="R253" s="113"/>
      <c r="S253" s="113"/>
      <c r="T253" s="113"/>
      <c r="U253" s="113"/>
      <c r="V253" s="113"/>
    </row>
    <row r="254" spans="1:22" x14ac:dyDescent="0.2">
      <c r="A254" s="113"/>
      <c r="B254" s="457">
        <f t="shared" si="20"/>
        <v>237</v>
      </c>
      <c r="C254" s="458">
        <f t="shared" si="17"/>
        <v>0</v>
      </c>
      <c r="D254" s="458">
        <f t="shared" si="21"/>
        <v>0</v>
      </c>
      <c r="E254" s="458">
        <f>IF(B254="","-",SUM($D$18:D254))</f>
        <v>0</v>
      </c>
      <c r="F254" s="458">
        <f t="shared" si="18"/>
        <v>0</v>
      </c>
      <c r="G254" s="458">
        <f>IF(B254="","-",SUM($F$18:F254))</f>
        <v>0</v>
      </c>
      <c r="H254" s="458">
        <f t="shared" si="19"/>
        <v>0</v>
      </c>
      <c r="I254" s="159"/>
      <c r="J254" s="113"/>
      <c r="K254" s="113"/>
      <c r="M254" s="113"/>
      <c r="N254" s="113"/>
      <c r="O254" s="113"/>
      <c r="P254" s="113"/>
      <c r="Q254" s="113"/>
      <c r="R254" s="113"/>
      <c r="S254" s="113"/>
      <c r="T254" s="113"/>
      <c r="U254" s="113"/>
      <c r="V254" s="113"/>
    </row>
    <row r="255" spans="1:22" x14ac:dyDescent="0.2">
      <c r="A255" s="113"/>
      <c r="B255" s="457">
        <f t="shared" si="20"/>
        <v>238</v>
      </c>
      <c r="C255" s="458">
        <f t="shared" si="17"/>
        <v>0</v>
      </c>
      <c r="D255" s="458">
        <f t="shared" si="21"/>
        <v>0</v>
      </c>
      <c r="E255" s="458">
        <f>IF(B255="","-",SUM($D$18:D255))</f>
        <v>0</v>
      </c>
      <c r="F255" s="458">
        <f t="shared" si="18"/>
        <v>0</v>
      </c>
      <c r="G255" s="458">
        <f>IF(B255="","-",SUM($F$18:F255))</f>
        <v>0</v>
      </c>
      <c r="H255" s="458">
        <f t="shared" si="19"/>
        <v>0</v>
      </c>
      <c r="I255" s="159"/>
      <c r="J255" s="113"/>
      <c r="K255" s="113"/>
      <c r="M255" s="113"/>
      <c r="N255" s="113"/>
      <c r="O255" s="113"/>
      <c r="P255" s="113"/>
      <c r="Q255" s="113"/>
      <c r="R255" s="113"/>
      <c r="S255" s="113"/>
      <c r="T255" s="113"/>
      <c r="U255" s="113"/>
      <c r="V255" s="113"/>
    </row>
    <row r="256" spans="1:22" x14ac:dyDescent="0.2">
      <c r="A256" s="113"/>
      <c r="B256" s="457">
        <f t="shared" si="20"/>
        <v>239</v>
      </c>
      <c r="C256" s="458">
        <f t="shared" si="17"/>
        <v>0</v>
      </c>
      <c r="D256" s="458">
        <f t="shared" si="21"/>
        <v>0</v>
      </c>
      <c r="E256" s="458">
        <f>IF(B256="","-",SUM($D$18:D256))</f>
        <v>0</v>
      </c>
      <c r="F256" s="458">
        <f t="shared" si="18"/>
        <v>0</v>
      </c>
      <c r="G256" s="458">
        <f>IF(B256="","-",SUM($F$18:F256))</f>
        <v>0</v>
      </c>
      <c r="H256" s="458">
        <f t="shared" si="19"/>
        <v>0</v>
      </c>
      <c r="I256" s="159"/>
      <c r="J256" s="113"/>
      <c r="K256" s="113"/>
      <c r="M256" s="113"/>
      <c r="N256" s="113"/>
      <c r="O256" s="113"/>
      <c r="P256" s="113"/>
      <c r="Q256" s="113"/>
      <c r="R256" s="113"/>
      <c r="S256" s="113"/>
      <c r="T256" s="113"/>
      <c r="U256" s="113"/>
      <c r="V256" s="113"/>
    </row>
    <row r="257" spans="1:22" x14ac:dyDescent="0.2">
      <c r="A257" s="113"/>
      <c r="B257" s="457">
        <f t="shared" si="20"/>
        <v>240</v>
      </c>
      <c r="C257" s="460">
        <f t="shared" si="17"/>
        <v>0</v>
      </c>
      <c r="D257" s="458">
        <f t="shared" si="21"/>
        <v>0</v>
      </c>
      <c r="E257" s="458">
        <f>IF(B257="","-",SUM($D$18:D257))</f>
        <v>0</v>
      </c>
      <c r="F257" s="458">
        <f t="shared" si="18"/>
        <v>0</v>
      </c>
      <c r="G257" s="458">
        <f>IF(B257="","-",SUM($F$18:F257))</f>
        <v>0</v>
      </c>
      <c r="H257" s="458">
        <f t="shared" si="19"/>
        <v>0</v>
      </c>
      <c r="I257" s="159"/>
      <c r="J257" s="113"/>
      <c r="K257" s="113"/>
      <c r="M257" s="113"/>
      <c r="N257" s="113"/>
      <c r="O257" s="113"/>
      <c r="P257" s="113"/>
      <c r="Q257" s="113"/>
      <c r="R257" s="113"/>
      <c r="S257" s="113"/>
      <c r="T257" s="113"/>
      <c r="U257" s="113"/>
      <c r="V257" s="113"/>
    </row>
    <row r="258" spans="1:22" x14ac:dyDescent="0.2">
      <c r="A258" s="113"/>
      <c r="B258" s="457">
        <f t="shared" si="20"/>
        <v>241</v>
      </c>
      <c r="C258" s="458">
        <f t="shared" ref="C258:C273" si="22">IF(B258="","-",$D$7)</f>
        <v>0</v>
      </c>
      <c r="D258" s="458">
        <f t="shared" si="21"/>
        <v>0</v>
      </c>
      <c r="E258" s="458">
        <f>IF(B258="","-",SUM($D$18:D258))</f>
        <v>0</v>
      </c>
      <c r="F258" s="458">
        <f t="shared" si="18"/>
        <v>0</v>
      </c>
      <c r="G258" s="458">
        <f>IF(B258="","-",SUM($F$18:F258))</f>
        <v>0</v>
      </c>
      <c r="H258" s="458">
        <f t="shared" si="19"/>
        <v>0</v>
      </c>
      <c r="I258" s="159"/>
      <c r="J258" s="113"/>
      <c r="K258" s="113"/>
      <c r="M258" s="113"/>
      <c r="N258" s="113"/>
      <c r="O258" s="113"/>
      <c r="P258" s="113"/>
      <c r="Q258" s="113"/>
      <c r="R258" s="113"/>
      <c r="S258" s="113"/>
      <c r="T258" s="113"/>
      <c r="U258" s="113"/>
      <c r="V258" s="113"/>
    </row>
    <row r="259" spans="1:22" x14ac:dyDescent="0.2">
      <c r="A259" s="113"/>
      <c r="B259" s="457">
        <f t="shared" si="20"/>
        <v>242</v>
      </c>
      <c r="C259" s="458">
        <f t="shared" si="22"/>
        <v>0</v>
      </c>
      <c r="D259" s="458">
        <f t="shared" si="21"/>
        <v>0</v>
      </c>
      <c r="E259" s="458">
        <f>IF(B259="","-",SUM($D$18:D259))</f>
        <v>0</v>
      </c>
      <c r="F259" s="458">
        <f t="shared" si="18"/>
        <v>0</v>
      </c>
      <c r="G259" s="458">
        <f>IF(B259="","-",SUM($F$18:F259))</f>
        <v>0</v>
      </c>
      <c r="H259" s="458">
        <f t="shared" si="19"/>
        <v>0</v>
      </c>
      <c r="I259" s="159"/>
      <c r="J259" s="113"/>
      <c r="K259" s="113"/>
      <c r="M259" s="113"/>
      <c r="N259" s="113"/>
      <c r="O259" s="113"/>
      <c r="P259" s="113"/>
      <c r="Q259" s="113"/>
      <c r="R259" s="113"/>
      <c r="S259" s="113"/>
      <c r="T259" s="113"/>
      <c r="U259" s="113"/>
      <c r="V259" s="113"/>
    </row>
    <row r="260" spans="1:22" x14ac:dyDescent="0.2">
      <c r="A260" s="113"/>
      <c r="B260" s="457">
        <f t="shared" si="20"/>
        <v>243</v>
      </c>
      <c r="C260" s="458">
        <f t="shared" si="22"/>
        <v>0</v>
      </c>
      <c r="D260" s="458">
        <f t="shared" si="21"/>
        <v>0</v>
      </c>
      <c r="E260" s="458">
        <f>IF(B260="","-",SUM($D$18:D260))</f>
        <v>0</v>
      </c>
      <c r="F260" s="458">
        <f t="shared" si="18"/>
        <v>0</v>
      </c>
      <c r="G260" s="458">
        <f>IF(B260="","-",SUM($F$18:F260))</f>
        <v>0</v>
      </c>
      <c r="H260" s="458">
        <f t="shared" si="19"/>
        <v>0</v>
      </c>
      <c r="I260" s="159"/>
      <c r="J260" s="113"/>
      <c r="K260" s="113"/>
      <c r="M260" s="113"/>
      <c r="N260" s="113"/>
      <c r="O260" s="113"/>
      <c r="P260" s="113"/>
      <c r="Q260" s="113"/>
      <c r="R260" s="113"/>
      <c r="S260" s="113"/>
      <c r="T260" s="113"/>
      <c r="U260" s="113"/>
      <c r="V260" s="113"/>
    </row>
    <row r="261" spans="1:22" x14ac:dyDescent="0.2">
      <c r="A261" s="113"/>
      <c r="B261" s="457">
        <f t="shared" si="20"/>
        <v>244</v>
      </c>
      <c r="C261" s="458">
        <f t="shared" si="22"/>
        <v>0</v>
      </c>
      <c r="D261" s="458">
        <f t="shared" si="21"/>
        <v>0</v>
      </c>
      <c r="E261" s="458">
        <f>IF(B261="","-",SUM($D$18:D261))</f>
        <v>0</v>
      </c>
      <c r="F261" s="458">
        <f t="shared" si="18"/>
        <v>0</v>
      </c>
      <c r="G261" s="458">
        <f>IF(B261="","-",SUM($F$18:F261))</f>
        <v>0</v>
      </c>
      <c r="H261" s="458">
        <f t="shared" si="19"/>
        <v>0</v>
      </c>
      <c r="I261" s="159"/>
      <c r="J261" s="113"/>
      <c r="K261" s="113"/>
      <c r="M261" s="113"/>
      <c r="N261" s="113"/>
      <c r="O261" s="113"/>
      <c r="P261" s="113"/>
      <c r="Q261" s="113"/>
      <c r="R261" s="113"/>
      <c r="S261" s="113"/>
      <c r="T261" s="113"/>
      <c r="U261" s="113"/>
      <c r="V261" s="113"/>
    </row>
    <row r="262" spans="1:22" x14ac:dyDescent="0.2">
      <c r="A262" s="113"/>
      <c r="B262" s="457">
        <f t="shared" si="20"/>
        <v>245</v>
      </c>
      <c r="C262" s="458">
        <f t="shared" si="22"/>
        <v>0</v>
      </c>
      <c r="D262" s="458">
        <f t="shared" si="21"/>
        <v>0</v>
      </c>
      <c r="E262" s="458">
        <f>IF(B262="","-",SUM($D$18:D262))</f>
        <v>0</v>
      </c>
      <c r="F262" s="458">
        <f t="shared" si="18"/>
        <v>0</v>
      </c>
      <c r="G262" s="458">
        <f>IF(B262="","-",SUM($F$18:F262))</f>
        <v>0</v>
      </c>
      <c r="H262" s="458">
        <f t="shared" si="19"/>
        <v>0</v>
      </c>
      <c r="I262" s="159"/>
      <c r="J262" s="113"/>
      <c r="K262" s="113"/>
      <c r="M262" s="113"/>
      <c r="N262" s="113"/>
      <c r="O262" s="113"/>
      <c r="P262" s="113"/>
      <c r="Q262" s="113"/>
      <c r="R262" s="113"/>
      <c r="S262" s="113"/>
      <c r="T262" s="113"/>
      <c r="U262" s="113"/>
      <c r="V262" s="113"/>
    </row>
    <row r="263" spans="1:22" x14ac:dyDescent="0.2">
      <c r="A263" s="113"/>
      <c r="B263" s="457">
        <f t="shared" si="20"/>
        <v>246</v>
      </c>
      <c r="C263" s="458">
        <f t="shared" si="22"/>
        <v>0</v>
      </c>
      <c r="D263" s="458">
        <f t="shared" si="21"/>
        <v>0</v>
      </c>
      <c r="E263" s="458">
        <f>IF(B263="","-",SUM($D$18:D263))</f>
        <v>0</v>
      </c>
      <c r="F263" s="458">
        <f t="shared" si="18"/>
        <v>0</v>
      </c>
      <c r="G263" s="458">
        <f>IF(B263="","-",SUM($F$18:F263))</f>
        <v>0</v>
      </c>
      <c r="H263" s="458">
        <f t="shared" si="19"/>
        <v>0</v>
      </c>
      <c r="I263" s="159"/>
      <c r="J263" s="113"/>
      <c r="K263" s="113"/>
      <c r="M263" s="113"/>
      <c r="N263" s="113"/>
      <c r="O263" s="113"/>
      <c r="P263" s="113"/>
      <c r="Q263" s="113"/>
      <c r="R263" s="113"/>
      <c r="S263" s="113"/>
      <c r="T263" s="113"/>
      <c r="U263" s="113"/>
      <c r="V263" s="113"/>
    </row>
    <row r="264" spans="1:22" x14ac:dyDescent="0.2">
      <c r="A264" s="113"/>
      <c r="B264" s="457">
        <f t="shared" si="20"/>
        <v>247</v>
      </c>
      <c r="C264" s="458">
        <f t="shared" si="22"/>
        <v>0</v>
      </c>
      <c r="D264" s="458">
        <f t="shared" si="21"/>
        <v>0</v>
      </c>
      <c r="E264" s="458">
        <f>IF(B264="","-",SUM($D$18:D264))</f>
        <v>0</v>
      </c>
      <c r="F264" s="458">
        <f t="shared" si="18"/>
        <v>0</v>
      </c>
      <c r="G264" s="458">
        <f>IF(B264="","-",SUM($F$18:F264))</f>
        <v>0</v>
      </c>
      <c r="H264" s="458">
        <f t="shared" si="19"/>
        <v>0</v>
      </c>
      <c r="I264" s="159"/>
      <c r="J264" s="113"/>
      <c r="K264" s="113"/>
      <c r="M264" s="113"/>
      <c r="N264" s="113"/>
      <c r="O264" s="113"/>
      <c r="P264" s="113"/>
      <c r="Q264" s="113"/>
      <c r="R264" s="113"/>
      <c r="S264" s="113"/>
      <c r="T264" s="113"/>
      <c r="U264" s="113"/>
      <c r="V264" s="113"/>
    </row>
    <row r="265" spans="1:22" x14ac:dyDescent="0.2">
      <c r="A265" s="113"/>
      <c r="B265" s="457">
        <f t="shared" si="20"/>
        <v>248</v>
      </c>
      <c r="C265" s="458">
        <f t="shared" si="22"/>
        <v>0</v>
      </c>
      <c r="D265" s="458">
        <f t="shared" si="21"/>
        <v>0</v>
      </c>
      <c r="E265" s="458">
        <f>IF(B265="","-",SUM($D$18:D265))</f>
        <v>0</v>
      </c>
      <c r="F265" s="458">
        <f t="shared" si="18"/>
        <v>0</v>
      </c>
      <c r="G265" s="458">
        <f>IF(B265="","-",SUM($F$18:F265))</f>
        <v>0</v>
      </c>
      <c r="H265" s="458">
        <f t="shared" si="19"/>
        <v>0</v>
      </c>
      <c r="I265" s="159"/>
      <c r="J265" s="113"/>
      <c r="K265" s="113"/>
      <c r="M265" s="113"/>
      <c r="N265" s="113"/>
      <c r="O265" s="113"/>
      <c r="P265" s="113"/>
      <c r="Q265" s="113"/>
      <c r="R265" s="113"/>
      <c r="S265" s="113"/>
      <c r="T265" s="113"/>
      <c r="U265" s="113"/>
      <c r="V265" s="113"/>
    </row>
    <row r="266" spans="1:22" x14ac:dyDescent="0.2">
      <c r="A266" s="113"/>
      <c r="B266" s="457">
        <f t="shared" si="20"/>
        <v>249</v>
      </c>
      <c r="C266" s="458">
        <f t="shared" si="22"/>
        <v>0</v>
      </c>
      <c r="D266" s="458">
        <f t="shared" si="21"/>
        <v>0</v>
      </c>
      <c r="E266" s="458">
        <f>IF(B266="","-",SUM($D$18:D266))</f>
        <v>0</v>
      </c>
      <c r="F266" s="458">
        <f t="shared" si="18"/>
        <v>0</v>
      </c>
      <c r="G266" s="458">
        <f>IF(B266="","-",SUM($F$18:F266))</f>
        <v>0</v>
      </c>
      <c r="H266" s="458">
        <f t="shared" si="19"/>
        <v>0</v>
      </c>
      <c r="I266" s="159"/>
      <c r="J266" s="113"/>
      <c r="K266" s="113"/>
      <c r="M266" s="113"/>
      <c r="N266" s="113"/>
      <c r="O266" s="113"/>
      <c r="P266" s="113"/>
      <c r="Q266" s="113"/>
      <c r="R266" s="113"/>
      <c r="S266" s="113"/>
      <c r="T266" s="113"/>
      <c r="U266" s="113"/>
      <c r="V266" s="113"/>
    </row>
    <row r="267" spans="1:22" x14ac:dyDescent="0.2">
      <c r="A267" s="113"/>
      <c r="B267" s="457">
        <f t="shared" si="20"/>
        <v>250</v>
      </c>
      <c r="C267" s="458">
        <f t="shared" si="22"/>
        <v>0</v>
      </c>
      <c r="D267" s="458">
        <f t="shared" si="21"/>
        <v>0</v>
      </c>
      <c r="E267" s="458">
        <f>IF(B267="","-",SUM($D$18:D267))</f>
        <v>0</v>
      </c>
      <c r="F267" s="458">
        <f t="shared" si="18"/>
        <v>0</v>
      </c>
      <c r="G267" s="458">
        <f>IF(B267="","-",SUM($F$18:F267))</f>
        <v>0</v>
      </c>
      <c r="H267" s="458">
        <f t="shared" si="19"/>
        <v>0</v>
      </c>
      <c r="I267" s="159"/>
      <c r="J267" s="113"/>
      <c r="K267" s="113"/>
      <c r="M267" s="113"/>
      <c r="N267" s="113"/>
      <c r="O267" s="113"/>
      <c r="P267" s="113"/>
      <c r="Q267" s="113"/>
      <c r="R267" s="113"/>
      <c r="S267" s="113"/>
      <c r="T267" s="113"/>
      <c r="U267" s="113"/>
      <c r="V267" s="113"/>
    </row>
    <row r="268" spans="1:22" x14ac:dyDescent="0.2">
      <c r="A268" s="113"/>
      <c r="B268" s="457">
        <f t="shared" si="20"/>
        <v>251</v>
      </c>
      <c r="C268" s="458">
        <f t="shared" si="22"/>
        <v>0</v>
      </c>
      <c r="D268" s="458">
        <f t="shared" si="21"/>
        <v>0</v>
      </c>
      <c r="E268" s="458">
        <f>IF(B268="","-",SUM($D$18:D268))</f>
        <v>0</v>
      </c>
      <c r="F268" s="458">
        <f t="shared" si="18"/>
        <v>0</v>
      </c>
      <c r="G268" s="458">
        <f>IF(B268="","-",SUM($F$18:F268))</f>
        <v>0</v>
      </c>
      <c r="H268" s="458">
        <f t="shared" si="19"/>
        <v>0</v>
      </c>
      <c r="I268" s="159"/>
      <c r="J268" s="113"/>
      <c r="K268" s="113"/>
      <c r="M268" s="113"/>
      <c r="N268" s="113"/>
      <c r="O268" s="113"/>
      <c r="P268" s="113"/>
      <c r="Q268" s="113"/>
      <c r="R268" s="113"/>
      <c r="S268" s="113"/>
      <c r="T268" s="113"/>
      <c r="U268" s="113"/>
      <c r="V268" s="113"/>
    </row>
    <row r="269" spans="1:22" x14ac:dyDescent="0.2">
      <c r="A269" s="113"/>
      <c r="B269" s="457">
        <f t="shared" si="20"/>
        <v>252</v>
      </c>
      <c r="C269" s="458">
        <f t="shared" si="22"/>
        <v>0</v>
      </c>
      <c r="D269" s="458">
        <f t="shared" si="21"/>
        <v>0</v>
      </c>
      <c r="E269" s="458">
        <f>IF(B269="","-",SUM($D$18:D269))</f>
        <v>0</v>
      </c>
      <c r="F269" s="458">
        <f t="shared" si="18"/>
        <v>0</v>
      </c>
      <c r="G269" s="458">
        <f>IF(B269="","-",SUM($F$18:F269))</f>
        <v>0</v>
      </c>
      <c r="H269" s="458">
        <f t="shared" si="19"/>
        <v>0</v>
      </c>
      <c r="I269" s="159"/>
      <c r="J269" s="113"/>
      <c r="K269" s="113"/>
      <c r="M269" s="113"/>
      <c r="N269" s="113"/>
      <c r="O269" s="113"/>
      <c r="P269" s="113"/>
      <c r="Q269" s="113"/>
      <c r="R269" s="113"/>
      <c r="S269" s="113"/>
      <c r="T269" s="113"/>
      <c r="U269" s="113"/>
      <c r="V269" s="113"/>
    </row>
    <row r="270" spans="1:22" x14ac:dyDescent="0.2">
      <c r="A270" s="113"/>
      <c r="B270" s="457">
        <f t="shared" si="20"/>
        <v>253</v>
      </c>
      <c r="C270" s="458">
        <f t="shared" si="22"/>
        <v>0</v>
      </c>
      <c r="D270" s="458">
        <f t="shared" si="21"/>
        <v>0</v>
      </c>
      <c r="E270" s="458">
        <f>IF(B270="","-",SUM($D$18:D270))</f>
        <v>0</v>
      </c>
      <c r="F270" s="458">
        <f t="shared" si="18"/>
        <v>0</v>
      </c>
      <c r="G270" s="458">
        <f>IF(B270="","-",SUM($F$18:F270))</f>
        <v>0</v>
      </c>
      <c r="H270" s="458">
        <f t="shared" si="19"/>
        <v>0</v>
      </c>
      <c r="I270" s="159"/>
      <c r="J270" s="113"/>
      <c r="K270" s="113"/>
      <c r="M270" s="113"/>
      <c r="N270" s="113"/>
      <c r="O270" s="113"/>
      <c r="P270" s="113"/>
      <c r="Q270" s="113"/>
      <c r="R270" s="113"/>
      <c r="S270" s="113"/>
      <c r="T270" s="113"/>
      <c r="U270" s="113"/>
      <c r="V270" s="113"/>
    </row>
    <row r="271" spans="1:22" x14ac:dyDescent="0.2">
      <c r="A271" s="113"/>
      <c r="B271" s="457">
        <f t="shared" si="20"/>
        <v>254</v>
      </c>
      <c r="C271" s="458">
        <f t="shared" si="22"/>
        <v>0</v>
      </c>
      <c r="D271" s="458">
        <f t="shared" si="21"/>
        <v>0</v>
      </c>
      <c r="E271" s="458">
        <f>IF(B271="","-",SUM($D$18:D271))</f>
        <v>0</v>
      </c>
      <c r="F271" s="458">
        <f t="shared" si="18"/>
        <v>0</v>
      </c>
      <c r="G271" s="458">
        <f>IF(B271="","-",SUM($F$18:F271))</f>
        <v>0</v>
      </c>
      <c r="H271" s="458">
        <f t="shared" si="19"/>
        <v>0</v>
      </c>
      <c r="I271" s="159"/>
      <c r="J271" s="113"/>
      <c r="K271" s="113"/>
      <c r="M271" s="113"/>
      <c r="N271" s="113"/>
      <c r="O271" s="113"/>
      <c r="P271" s="113"/>
      <c r="Q271" s="113"/>
      <c r="R271" s="113"/>
      <c r="S271" s="113"/>
      <c r="T271" s="113"/>
      <c r="U271" s="113"/>
      <c r="V271" s="113"/>
    </row>
    <row r="272" spans="1:22" x14ac:dyDescent="0.2">
      <c r="A272" s="113"/>
      <c r="B272" s="457">
        <f t="shared" si="20"/>
        <v>255</v>
      </c>
      <c r="C272" s="458">
        <f t="shared" si="22"/>
        <v>0</v>
      </c>
      <c r="D272" s="458">
        <f t="shared" si="21"/>
        <v>0</v>
      </c>
      <c r="E272" s="458">
        <f>IF(B272="","-",SUM($D$18:D272))</f>
        <v>0</v>
      </c>
      <c r="F272" s="458">
        <f t="shared" si="18"/>
        <v>0</v>
      </c>
      <c r="G272" s="458">
        <f>IF(B272="","-",SUM($F$18:F272))</f>
        <v>0</v>
      </c>
      <c r="H272" s="458">
        <f t="shared" si="19"/>
        <v>0</v>
      </c>
      <c r="I272" s="159"/>
      <c r="J272" s="113"/>
      <c r="K272" s="113"/>
      <c r="M272" s="113"/>
      <c r="N272" s="113"/>
      <c r="O272" s="113"/>
      <c r="P272" s="113"/>
      <c r="Q272" s="113"/>
      <c r="R272" s="113"/>
      <c r="S272" s="113"/>
      <c r="T272" s="113"/>
      <c r="U272" s="113"/>
      <c r="V272" s="113"/>
    </row>
    <row r="273" spans="1:22" x14ac:dyDescent="0.2">
      <c r="A273" s="113"/>
      <c r="B273" s="457">
        <f t="shared" si="20"/>
        <v>256</v>
      </c>
      <c r="C273" s="458">
        <f t="shared" si="22"/>
        <v>0</v>
      </c>
      <c r="D273" s="458">
        <f t="shared" si="21"/>
        <v>0</v>
      </c>
      <c r="E273" s="458">
        <f>IF(B273="","-",SUM($D$18:D273))</f>
        <v>0</v>
      </c>
      <c r="F273" s="458">
        <f t="shared" si="18"/>
        <v>0</v>
      </c>
      <c r="G273" s="458">
        <f>IF(B273="","-",SUM($F$18:F273))</f>
        <v>0</v>
      </c>
      <c r="H273" s="458">
        <f t="shared" si="19"/>
        <v>0</v>
      </c>
      <c r="I273" s="159"/>
      <c r="J273" s="113"/>
      <c r="K273" s="113"/>
      <c r="M273" s="113"/>
      <c r="N273" s="113"/>
      <c r="O273" s="113"/>
      <c r="P273" s="113"/>
      <c r="Q273" s="113"/>
      <c r="R273" s="113"/>
      <c r="S273" s="113"/>
      <c r="T273" s="113"/>
      <c r="U273" s="113"/>
      <c r="V273" s="113"/>
    </row>
    <row r="274" spans="1:22" x14ac:dyDescent="0.2">
      <c r="A274" s="113"/>
      <c r="B274" s="457">
        <f t="shared" si="20"/>
        <v>257</v>
      </c>
      <c r="C274" s="458">
        <f t="shared" ref="C274:C337" si="23">IF(B274="","-",$D$7)</f>
        <v>0</v>
      </c>
      <c r="D274" s="458">
        <f t="shared" si="21"/>
        <v>0</v>
      </c>
      <c r="E274" s="458">
        <f>IF(B274="","-",SUM($D$18:D274))</f>
        <v>0</v>
      </c>
      <c r="F274" s="458">
        <f t="shared" ref="F274:F337" si="24">IF(B274="","-",C274-D274)</f>
        <v>0</v>
      </c>
      <c r="G274" s="458">
        <f>IF(B274="","-",SUM($F$18:F274))</f>
        <v>0</v>
      </c>
      <c r="H274" s="458">
        <f t="shared" ref="H274:H337" si="25">IF(B274="","-",H273-F274)</f>
        <v>0</v>
      </c>
      <c r="I274" s="159"/>
      <c r="J274" s="113"/>
      <c r="K274" s="113"/>
      <c r="M274" s="113"/>
      <c r="N274" s="113"/>
      <c r="O274" s="113"/>
      <c r="P274" s="113"/>
      <c r="Q274" s="113"/>
      <c r="R274" s="113"/>
      <c r="S274" s="113"/>
      <c r="T274" s="113"/>
      <c r="U274" s="113"/>
      <c r="V274" s="113"/>
    </row>
    <row r="275" spans="1:22" x14ac:dyDescent="0.2">
      <c r="A275" s="113"/>
      <c r="B275" s="457">
        <f t="shared" ref="B275:B338" si="26">IF(B274&gt;=$D$5*12,"",B274+1)</f>
        <v>258</v>
      </c>
      <c r="C275" s="458">
        <f t="shared" si="23"/>
        <v>0</v>
      </c>
      <c r="D275" s="458">
        <f t="shared" ref="D275:D338" si="27">IF(B275="","-",$D$4/12*H274)</f>
        <v>0</v>
      </c>
      <c r="E275" s="458">
        <f>IF(B275="","-",SUM($D$18:D275))</f>
        <v>0</v>
      </c>
      <c r="F275" s="458">
        <f t="shared" si="24"/>
        <v>0</v>
      </c>
      <c r="G275" s="458">
        <f>IF(B275="","-",SUM($F$18:F275))</f>
        <v>0</v>
      </c>
      <c r="H275" s="458">
        <f t="shared" si="25"/>
        <v>0</v>
      </c>
      <c r="I275" s="159"/>
      <c r="J275" s="113"/>
      <c r="K275" s="113"/>
      <c r="M275" s="113"/>
      <c r="N275" s="113"/>
      <c r="O275" s="113"/>
      <c r="P275" s="113"/>
      <c r="Q275" s="113"/>
      <c r="R275" s="113"/>
      <c r="S275" s="113"/>
      <c r="T275" s="113"/>
      <c r="U275" s="113"/>
      <c r="V275" s="113"/>
    </row>
    <row r="276" spans="1:22" x14ac:dyDescent="0.2">
      <c r="A276" s="113"/>
      <c r="B276" s="457">
        <f t="shared" si="26"/>
        <v>259</v>
      </c>
      <c r="C276" s="458">
        <f t="shared" si="23"/>
        <v>0</v>
      </c>
      <c r="D276" s="458">
        <f t="shared" si="27"/>
        <v>0</v>
      </c>
      <c r="E276" s="458">
        <f>IF(B276="","-",SUM($D$18:D276))</f>
        <v>0</v>
      </c>
      <c r="F276" s="458">
        <f t="shared" si="24"/>
        <v>0</v>
      </c>
      <c r="G276" s="458">
        <f>IF(B276="","-",SUM($F$18:F276))</f>
        <v>0</v>
      </c>
      <c r="H276" s="458">
        <f t="shared" si="25"/>
        <v>0</v>
      </c>
      <c r="I276" s="159"/>
      <c r="J276" s="113"/>
      <c r="K276" s="113"/>
      <c r="M276" s="113"/>
      <c r="N276" s="113"/>
      <c r="O276" s="113"/>
      <c r="P276" s="113"/>
      <c r="Q276" s="113"/>
      <c r="R276" s="113"/>
      <c r="S276" s="113"/>
      <c r="T276" s="113"/>
      <c r="U276" s="113"/>
      <c r="V276" s="113"/>
    </row>
    <row r="277" spans="1:22" x14ac:dyDescent="0.2">
      <c r="A277" s="113"/>
      <c r="B277" s="457">
        <f t="shared" si="26"/>
        <v>260</v>
      </c>
      <c r="C277" s="458">
        <f t="shared" si="23"/>
        <v>0</v>
      </c>
      <c r="D277" s="458">
        <f t="shared" si="27"/>
        <v>0</v>
      </c>
      <c r="E277" s="458">
        <f>IF(B277="","-",SUM($D$18:D277))</f>
        <v>0</v>
      </c>
      <c r="F277" s="458">
        <f t="shared" si="24"/>
        <v>0</v>
      </c>
      <c r="G277" s="458">
        <f>IF(B277="","-",SUM($F$18:F277))</f>
        <v>0</v>
      </c>
      <c r="H277" s="458">
        <f t="shared" si="25"/>
        <v>0</v>
      </c>
      <c r="I277" s="159"/>
      <c r="J277" s="113"/>
      <c r="K277" s="113"/>
      <c r="M277" s="113"/>
      <c r="N277" s="113"/>
      <c r="O277" s="113"/>
      <c r="P277" s="113"/>
      <c r="Q277" s="113"/>
      <c r="R277" s="113"/>
      <c r="S277" s="113"/>
      <c r="T277" s="113"/>
      <c r="U277" s="113"/>
      <c r="V277" s="113"/>
    </row>
    <row r="278" spans="1:22" x14ac:dyDescent="0.2">
      <c r="A278" s="113"/>
      <c r="B278" s="457">
        <f t="shared" si="26"/>
        <v>261</v>
      </c>
      <c r="C278" s="458">
        <f t="shared" si="23"/>
        <v>0</v>
      </c>
      <c r="D278" s="458">
        <f t="shared" si="27"/>
        <v>0</v>
      </c>
      <c r="E278" s="458">
        <f>IF(B278="","-",SUM($D$18:D278))</f>
        <v>0</v>
      </c>
      <c r="F278" s="458">
        <f t="shared" si="24"/>
        <v>0</v>
      </c>
      <c r="G278" s="458">
        <f>IF(B278="","-",SUM($F$18:F278))</f>
        <v>0</v>
      </c>
      <c r="H278" s="458">
        <f t="shared" si="25"/>
        <v>0</v>
      </c>
      <c r="I278" s="159"/>
      <c r="J278" s="113"/>
      <c r="K278" s="113"/>
      <c r="M278" s="113"/>
      <c r="N278" s="113"/>
      <c r="O278" s="113"/>
      <c r="P278" s="113"/>
      <c r="Q278" s="113"/>
      <c r="R278" s="113"/>
      <c r="S278" s="113"/>
      <c r="T278" s="113"/>
      <c r="U278" s="113"/>
      <c r="V278" s="113"/>
    </row>
    <row r="279" spans="1:22" x14ac:dyDescent="0.2">
      <c r="A279" s="113"/>
      <c r="B279" s="457">
        <f t="shared" si="26"/>
        <v>262</v>
      </c>
      <c r="C279" s="458">
        <f t="shared" si="23"/>
        <v>0</v>
      </c>
      <c r="D279" s="458">
        <f t="shared" si="27"/>
        <v>0</v>
      </c>
      <c r="E279" s="458">
        <f>IF(B279="","-",SUM($D$18:D279))</f>
        <v>0</v>
      </c>
      <c r="F279" s="458">
        <f t="shared" si="24"/>
        <v>0</v>
      </c>
      <c r="G279" s="458">
        <f>IF(B279="","-",SUM($F$18:F279))</f>
        <v>0</v>
      </c>
      <c r="H279" s="458">
        <f t="shared" si="25"/>
        <v>0</v>
      </c>
      <c r="I279" s="159"/>
      <c r="J279" s="113"/>
      <c r="K279" s="113"/>
      <c r="M279" s="113"/>
      <c r="N279" s="113"/>
      <c r="O279" s="113"/>
      <c r="P279" s="113"/>
      <c r="Q279" s="113"/>
      <c r="R279" s="113"/>
      <c r="S279" s="113"/>
      <c r="T279" s="113"/>
      <c r="U279" s="113"/>
      <c r="V279" s="113"/>
    </row>
    <row r="280" spans="1:22" x14ac:dyDescent="0.2">
      <c r="A280" s="113"/>
      <c r="B280" s="457">
        <f t="shared" si="26"/>
        <v>263</v>
      </c>
      <c r="C280" s="458">
        <f t="shared" si="23"/>
        <v>0</v>
      </c>
      <c r="D280" s="458">
        <f t="shared" si="27"/>
        <v>0</v>
      </c>
      <c r="E280" s="458">
        <f>IF(B280="","-",SUM($D$18:D280))</f>
        <v>0</v>
      </c>
      <c r="F280" s="458">
        <f t="shared" si="24"/>
        <v>0</v>
      </c>
      <c r="G280" s="458">
        <f>IF(B280="","-",SUM($F$18:F280))</f>
        <v>0</v>
      </c>
      <c r="H280" s="458">
        <f t="shared" si="25"/>
        <v>0</v>
      </c>
      <c r="I280" s="159"/>
      <c r="J280" s="113"/>
      <c r="K280" s="113"/>
      <c r="M280" s="113"/>
      <c r="N280" s="113"/>
      <c r="O280" s="113"/>
      <c r="P280" s="113"/>
      <c r="Q280" s="113"/>
      <c r="R280" s="113"/>
      <c r="S280" s="113"/>
      <c r="T280" s="113"/>
      <c r="U280" s="113"/>
      <c r="V280" s="113"/>
    </row>
    <row r="281" spans="1:22" x14ac:dyDescent="0.2">
      <c r="A281" s="113"/>
      <c r="B281" s="457">
        <f t="shared" si="26"/>
        <v>264</v>
      </c>
      <c r="C281" s="458">
        <f t="shared" si="23"/>
        <v>0</v>
      </c>
      <c r="D281" s="458">
        <f t="shared" si="27"/>
        <v>0</v>
      </c>
      <c r="E281" s="458">
        <f>IF(B281="","-",SUM($D$18:D281))</f>
        <v>0</v>
      </c>
      <c r="F281" s="458">
        <f t="shared" si="24"/>
        <v>0</v>
      </c>
      <c r="G281" s="458">
        <f>IF(B281="","-",SUM($F$18:F281))</f>
        <v>0</v>
      </c>
      <c r="H281" s="458">
        <f t="shared" si="25"/>
        <v>0</v>
      </c>
      <c r="I281" s="159"/>
      <c r="J281" s="113"/>
      <c r="K281" s="113"/>
      <c r="M281" s="113"/>
      <c r="N281" s="113"/>
      <c r="O281" s="113"/>
      <c r="P281" s="113"/>
      <c r="Q281" s="113"/>
      <c r="R281" s="113"/>
      <c r="S281" s="113"/>
      <c r="T281" s="113"/>
      <c r="U281" s="113"/>
      <c r="V281" s="113"/>
    </row>
    <row r="282" spans="1:22" x14ac:dyDescent="0.2">
      <c r="A282" s="113"/>
      <c r="B282" s="457">
        <f t="shared" si="26"/>
        <v>265</v>
      </c>
      <c r="C282" s="458">
        <f t="shared" si="23"/>
        <v>0</v>
      </c>
      <c r="D282" s="458">
        <f t="shared" si="27"/>
        <v>0</v>
      </c>
      <c r="E282" s="458">
        <f>IF(B282="","-",SUM($D$18:D282))</f>
        <v>0</v>
      </c>
      <c r="F282" s="458">
        <f t="shared" si="24"/>
        <v>0</v>
      </c>
      <c r="G282" s="458">
        <f>IF(B282="","-",SUM($F$18:F282))</f>
        <v>0</v>
      </c>
      <c r="H282" s="458">
        <f t="shared" si="25"/>
        <v>0</v>
      </c>
      <c r="I282" s="159"/>
      <c r="J282" s="113"/>
      <c r="K282" s="113"/>
      <c r="M282" s="113"/>
      <c r="N282" s="113"/>
      <c r="O282" s="113"/>
      <c r="P282" s="113"/>
      <c r="Q282" s="113"/>
      <c r="R282" s="113"/>
      <c r="S282" s="113"/>
      <c r="T282" s="113"/>
      <c r="U282" s="113"/>
      <c r="V282" s="113"/>
    </row>
    <row r="283" spans="1:22" x14ac:dyDescent="0.2">
      <c r="A283" s="113"/>
      <c r="B283" s="457">
        <f t="shared" si="26"/>
        <v>266</v>
      </c>
      <c r="C283" s="458">
        <f t="shared" si="23"/>
        <v>0</v>
      </c>
      <c r="D283" s="458">
        <f t="shared" si="27"/>
        <v>0</v>
      </c>
      <c r="E283" s="458">
        <f>IF(B283="","-",SUM($D$18:D283))</f>
        <v>0</v>
      </c>
      <c r="F283" s="458">
        <f t="shared" si="24"/>
        <v>0</v>
      </c>
      <c r="G283" s="458">
        <f>IF(B283="","-",SUM($F$18:F283))</f>
        <v>0</v>
      </c>
      <c r="H283" s="458">
        <f t="shared" si="25"/>
        <v>0</v>
      </c>
      <c r="I283" s="159"/>
      <c r="J283" s="113"/>
      <c r="K283" s="113"/>
      <c r="M283" s="113"/>
      <c r="N283" s="113"/>
      <c r="O283" s="113"/>
      <c r="P283" s="113"/>
      <c r="Q283" s="113"/>
      <c r="R283" s="113"/>
      <c r="S283" s="113"/>
      <c r="T283" s="113"/>
      <c r="U283" s="113"/>
      <c r="V283" s="113"/>
    </row>
    <row r="284" spans="1:22" x14ac:dyDescent="0.2">
      <c r="A284" s="113"/>
      <c r="B284" s="457">
        <f t="shared" si="26"/>
        <v>267</v>
      </c>
      <c r="C284" s="458">
        <f t="shared" si="23"/>
        <v>0</v>
      </c>
      <c r="D284" s="458">
        <f t="shared" si="27"/>
        <v>0</v>
      </c>
      <c r="E284" s="458">
        <f>IF(B284="","-",SUM($D$18:D284))</f>
        <v>0</v>
      </c>
      <c r="F284" s="458">
        <f t="shared" si="24"/>
        <v>0</v>
      </c>
      <c r="G284" s="458">
        <f>IF(B284="","-",SUM($F$18:F284))</f>
        <v>0</v>
      </c>
      <c r="H284" s="458">
        <f t="shared" si="25"/>
        <v>0</v>
      </c>
      <c r="I284" s="159"/>
      <c r="J284" s="113"/>
      <c r="K284" s="113"/>
      <c r="M284" s="113"/>
      <c r="N284" s="113"/>
      <c r="O284" s="113"/>
      <c r="P284" s="113"/>
      <c r="Q284" s="113"/>
      <c r="R284" s="113"/>
      <c r="S284" s="113"/>
      <c r="T284" s="113"/>
      <c r="U284" s="113"/>
      <c r="V284" s="113"/>
    </row>
    <row r="285" spans="1:22" x14ac:dyDescent="0.2">
      <c r="A285" s="113"/>
      <c r="B285" s="457">
        <f t="shared" si="26"/>
        <v>268</v>
      </c>
      <c r="C285" s="458">
        <f t="shared" si="23"/>
        <v>0</v>
      </c>
      <c r="D285" s="458">
        <f t="shared" si="27"/>
        <v>0</v>
      </c>
      <c r="E285" s="458">
        <f>IF(B285="","-",SUM($D$18:D285))</f>
        <v>0</v>
      </c>
      <c r="F285" s="458">
        <f t="shared" si="24"/>
        <v>0</v>
      </c>
      <c r="G285" s="458">
        <f>IF(B285="","-",SUM($F$18:F285))</f>
        <v>0</v>
      </c>
      <c r="H285" s="458">
        <f t="shared" si="25"/>
        <v>0</v>
      </c>
      <c r="I285" s="159"/>
      <c r="J285" s="113"/>
      <c r="K285" s="113"/>
      <c r="M285" s="113"/>
      <c r="N285" s="113"/>
      <c r="O285" s="113"/>
      <c r="P285" s="113"/>
      <c r="Q285" s="113"/>
      <c r="R285" s="113"/>
      <c r="S285" s="113"/>
      <c r="T285" s="113"/>
      <c r="U285" s="113"/>
      <c r="V285" s="113"/>
    </row>
    <row r="286" spans="1:22" x14ac:dyDescent="0.2">
      <c r="A286" s="113"/>
      <c r="B286" s="457">
        <f t="shared" si="26"/>
        <v>269</v>
      </c>
      <c r="C286" s="458">
        <f t="shared" si="23"/>
        <v>0</v>
      </c>
      <c r="D286" s="458">
        <f t="shared" si="27"/>
        <v>0</v>
      </c>
      <c r="E286" s="458">
        <f>IF(B286="","-",SUM($D$18:D286))</f>
        <v>0</v>
      </c>
      <c r="F286" s="458">
        <f t="shared" si="24"/>
        <v>0</v>
      </c>
      <c r="G286" s="458">
        <f>IF(B286="","-",SUM($F$18:F286))</f>
        <v>0</v>
      </c>
      <c r="H286" s="458">
        <f t="shared" si="25"/>
        <v>0</v>
      </c>
      <c r="I286" s="159"/>
      <c r="J286" s="113"/>
      <c r="K286" s="113"/>
      <c r="M286" s="113"/>
      <c r="N286" s="113"/>
      <c r="O286" s="113"/>
      <c r="P286" s="113"/>
      <c r="Q286" s="113"/>
      <c r="R286" s="113"/>
      <c r="S286" s="113"/>
      <c r="T286" s="113"/>
      <c r="U286" s="113"/>
      <c r="V286" s="113"/>
    </row>
    <row r="287" spans="1:22" x14ac:dyDescent="0.2">
      <c r="A287" s="113"/>
      <c r="B287" s="457">
        <f t="shared" si="26"/>
        <v>270</v>
      </c>
      <c r="C287" s="458">
        <f t="shared" si="23"/>
        <v>0</v>
      </c>
      <c r="D287" s="458">
        <f t="shared" si="27"/>
        <v>0</v>
      </c>
      <c r="E287" s="458">
        <f>IF(B287="","-",SUM($D$18:D287))</f>
        <v>0</v>
      </c>
      <c r="F287" s="458">
        <f t="shared" si="24"/>
        <v>0</v>
      </c>
      <c r="G287" s="458">
        <f>IF(B287="","-",SUM($F$18:F287))</f>
        <v>0</v>
      </c>
      <c r="H287" s="458">
        <f t="shared" si="25"/>
        <v>0</v>
      </c>
      <c r="I287" s="159"/>
      <c r="J287" s="113"/>
      <c r="K287" s="113"/>
      <c r="M287" s="113"/>
      <c r="N287" s="113"/>
      <c r="O287" s="113"/>
      <c r="P287" s="113"/>
      <c r="Q287" s="113"/>
      <c r="R287" s="113"/>
      <c r="S287" s="113"/>
      <c r="T287" s="113"/>
      <c r="U287" s="113"/>
      <c r="V287" s="113"/>
    </row>
    <row r="288" spans="1:22" x14ac:dyDescent="0.2">
      <c r="A288" s="113"/>
      <c r="B288" s="457">
        <f t="shared" si="26"/>
        <v>271</v>
      </c>
      <c r="C288" s="458">
        <f t="shared" si="23"/>
        <v>0</v>
      </c>
      <c r="D288" s="458">
        <f t="shared" si="27"/>
        <v>0</v>
      </c>
      <c r="E288" s="458">
        <f>IF(B288="","-",SUM($D$18:D288))</f>
        <v>0</v>
      </c>
      <c r="F288" s="458">
        <f t="shared" si="24"/>
        <v>0</v>
      </c>
      <c r="G288" s="458">
        <f>IF(B288="","-",SUM($F$18:F288))</f>
        <v>0</v>
      </c>
      <c r="H288" s="458">
        <f t="shared" si="25"/>
        <v>0</v>
      </c>
      <c r="I288" s="159"/>
      <c r="J288" s="113"/>
      <c r="K288" s="113"/>
      <c r="M288" s="113"/>
      <c r="N288" s="113"/>
      <c r="O288" s="113"/>
      <c r="P288" s="113"/>
      <c r="Q288" s="113"/>
      <c r="R288" s="113"/>
      <c r="S288" s="113"/>
      <c r="T288" s="113"/>
      <c r="U288" s="113"/>
      <c r="V288" s="113"/>
    </row>
    <row r="289" spans="1:22" x14ac:dyDescent="0.2">
      <c r="A289" s="113"/>
      <c r="B289" s="457">
        <f t="shared" si="26"/>
        <v>272</v>
      </c>
      <c r="C289" s="458">
        <f t="shared" si="23"/>
        <v>0</v>
      </c>
      <c r="D289" s="458">
        <f t="shared" si="27"/>
        <v>0</v>
      </c>
      <c r="E289" s="458">
        <f>IF(B289="","-",SUM($D$18:D289))</f>
        <v>0</v>
      </c>
      <c r="F289" s="458">
        <f t="shared" si="24"/>
        <v>0</v>
      </c>
      <c r="G289" s="458">
        <f>IF(B289="","-",SUM($F$18:F289))</f>
        <v>0</v>
      </c>
      <c r="H289" s="458">
        <f t="shared" si="25"/>
        <v>0</v>
      </c>
      <c r="I289" s="159"/>
      <c r="J289" s="113"/>
      <c r="K289" s="113"/>
      <c r="M289" s="113"/>
      <c r="N289" s="113"/>
      <c r="O289" s="113"/>
      <c r="P289" s="113"/>
      <c r="Q289" s="113"/>
      <c r="R289" s="113"/>
      <c r="S289" s="113"/>
      <c r="T289" s="113"/>
      <c r="U289" s="113"/>
      <c r="V289" s="113"/>
    </row>
    <row r="290" spans="1:22" x14ac:dyDescent="0.2">
      <c r="A290" s="113"/>
      <c r="B290" s="457">
        <f t="shared" si="26"/>
        <v>273</v>
      </c>
      <c r="C290" s="458">
        <f t="shared" si="23"/>
        <v>0</v>
      </c>
      <c r="D290" s="458">
        <f t="shared" si="27"/>
        <v>0</v>
      </c>
      <c r="E290" s="458">
        <f>IF(B290="","-",SUM($D$18:D290))</f>
        <v>0</v>
      </c>
      <c r="F290" s="458">
        <f t="shared" si="24"/>
        <v>0</v>
      </c>
      <c r="G290" s="458">
        <f>IF(B290="","-",SUM($F$18:F290))</f>
        <v>0</v>
      </c>
      <c r="H290" s="458">
        <f t="shared" si="25"/>
        <v>0</v>
      </c>
      <c r="I290" s="159"/>
      <c r="J290" s="113"/>
      <c r="K290" s="113"/>
      <c r="M290" s="113"/>
      <c r="N290" s="113"/>
      <c r="O290" s="113"/>
      <c r="P290" s="113"/>
      <c r="Q290" s="113"/>
      <c r="R290" s="113"/>
      <c r="S290" s="113"/>
      <c r="T290" s="113"/>
      <c r="U290" s="113"/>
      <c r="V290" s="113"/>
    </row>
    <row r="291" spans="1:22" x14ac:dyDescent="0.2">
      <c r="A291" s="113"/>
      <c r="B291" s="457">
        <f t="shared" si="26"/>
        <v>274</v>
      </c>
      <c r="C291" s="458">
        <f t="shared" si="23"/>
        <v>0</v>
      </c>
      <c r="D291" s="458">
        <f t="shared" si="27"/>
        <v>0</v>
      </c>
      <c r="E291" s="458">
        <f>IF(B291="","-",SUM($D$18:D291))</f>
        <v>0</v>
      </c>
      <c r="F291" s="458">
        <f t="shared" si="24"/>
        <v>0</v>
      </c>
      <c r="G291" s="458">
        <f>IF(B291="","-",SUM($F$18:F291))</f>
        <v>0</v>
      </c>
      <c r="H291" s="458">
        <f t="shared" si="25"/>
        <v>0</v>
      </c>
      <c r="I291" s="159"/>
      <c r="J291" s="113"/>
      <c r="K291" s="113"/>
      <c r="M291" s="113"/>
      <c r="N291" s="113"/>
      <c r="O291" s="113"/>
      <c r="P291" s="113"/>
      <c r="Q291" s="113"/>
      <c r="R291" s="113"/>
      <c r="S291" s="113"/>
      <c r="T291" s="113"/>
      <c r="U291" s="113"/>
      <c r="V291" s="113"/>
    </row>
    <row r="292" spans="1:22" x14ac:dyDescent="0.2">
      <c r="A292" s="113"/>
      <c r="B292" s="457">
        <f t="shared" si="26"/>
        <v>275</v>
      </c>
      <c r="C292" s="458">
        <f t="shared" si="23"/>
        <v>0</v>
      </c>
      <c r="D292" s="458">
        <f t="shared" si="27"/>
        <v>0</v>
      </c>
      <c r="E292" s="458">
        <f>IF(B292="","-",SUM($D$18:D292))</f>
        <v>0</v>
      </c>
      <c r="F292" s="458">
        <f t="shared" si="24"/>
        <v>0</v>
      </c>
      <c r="G292" s="458">
        <f>IF(B292="","-",SUM($F$18:F292))</f>
        <v>0</v>
      </c>
      <c r="H292" s="458">
        <f t="shared" si="25"/>
        <v>0</v>
      </c>
      <c r="I292" s="159"/>
      <c r="J292" s="113"/>
      <c r="K292" s="113"/>
      <c r="M292" s="113"/>
      <c r="N292" s="113"/>
      <c r="O292" s="113"/>
      <c r="P292" s="113"/>
      <c r="Q292" s="113"/>
      <c r="R292" s="113"/>
      <c r="S292" s="113"/>
      <c r="T292" s="113"/>
      <c r="U292" s="113"/>
      <c r="V292" s="113"/>
    </row>
    <row r="293" spans="1:22" x14ac:dyDescent="0.2">
      <c r="A293" s="113"/>
      <c r="B293" s="457">
        <f t="shared" si="26"/>
        <v>276</v>
      </c>
      <c r="C293" s="458">
        <f t="shared" si="23"/>
        <v>0</v>
      </c>
      <c r="D293" s="458">
        <f t="shared" si="27"/>
        <v>0</v>
      </c>
      <c r="E293" s="458">
        <f>IF(B293="","-",SUM($D$18:D293))</f>
        <v>0</v>
      </c>
      <c r="F293" s="458">
        <f t="shared" si="24"/>
        <v>0</v>
      </c>
      <c r="G293" s="458">
        <f>IF(B293="","-",SUM($F$18:F293))</f>
        <v>0</v>
      </c>
      <c r="H293" s="458">
        <f t="shared" si="25"/>
        <v>0</v>
      </c>
      <c r="I293" s="159"/>
      <c r="J293" s="113"/>
      <c r="K293" s="113"/>
      <c r="M293" s="113"/>
      <c r="N293" s="113"/>
      <c r="O293" s="113"/>
      <c r="P293" s="113"/>
      <c r="Q293" s="113"/>
      <c r="R293" s="113"/>
      <c r="S293" s="113"/>
      <c r="T293" s="113"/>
      <c r="U293" s="113"/>
      <c r="V293" s="113"/>
    </row>
    <row r="294" spans="1:22" x14ac:dyDescent="0.2">
      <c r="A294" s="113"/>
      <c r="B294" s="457">
        <f t="shared" si="26"/>
        <v>277</v>
      </c>
      <c r="C294" s="458">
        <f t="shared" si="23"/>
        <v>0</v>
      </c>
      <c r="D294" s="458">
        <f t="shared" si="27"/>
        <v>0</v>
      </c>
      <c r="E294" s="458">
        <f>IF(B294="","-",SUM($D$18:D294))</f>
        <v>0</v>
      </c>
      <c r="F294" s="458">
        <f t="shared" si="24"/>
        <v>0</v>
      </c>
      <c r="G294" s="458">
        <f>IF(B294="","-",SUM($F$18:F294))</f>
        <v>0</v>
      </c>
      <c r="H294" s="458">
        <f t="shared" si="25"/>
        <v>0</v>
      </c>
      <c r="I294" s="159"/>
      <c r="J294" s="113"/>
      <c r="K294" s="113"/>
      <c r="M294" s="113"/>
      <c r="N294" s="113"/>
      <c r="O294" s="113"/>
      <c r="P294" s="113"/>
      <c r="Q294" s="113"/>
      <c r="R294" s="113"/>
      <c r="S294" s="113"/>
      <c r="T294" s="113"/>
      <c r="U294" s="113"/>
      <c r="V294" s="113"/>
    </row>
    <row r="295" spans="1:22" x14ac:dyDescent="0.2">
      <c r="A295" s="113"/>
      <c r="B295" s="457">
        <f t="shared" si="26"/>
        <v>278</v>
      </c>
      <c r="C295" s="458">
        <f t="shared" si="23"/>
        <v>0</v>
      </c>
      <c r="D295" s="458">
        <f t="shared" si="27"/>
        <v>0</v>
      </c>
      <c r="E295" s="458">
        <f>IF(B295="","-",SUM($D$18:D295))</f>
        <v>0</v>
      </c>
      <c r="F295" s="458">
        <f t="shared" si="24"/>
        <v>0</v>
      </c>
      <c r="G295" s="458">
        <f>IF(B295="","-",SUM($F$18:F295))</f>
        <v>0</v>
      </c>
      <c r="H295" s="458">
        <f t="shared" si="25"/>
        <v>0</v>
      </c>
      <c r="I295" s="159"/>
      <c r="J295" s="113"/>
      <c r="K295" s="113"/>
      <c r="M295" s="113"/>
      <c r="N295" s="113"/>
      <c r="O295" s="113"/>
      <c r="P295" s="113"/>
      <c r="Q295" s="113"/>
      <c r="R295" s="113"/>
      <c r="S295" s="113"/>
      <c r="T295" s="113"/>
      <c r="U295" s="113"/>
      <c r="V295" s="113"/>
    </row>
    <row r="296" spans="1:22" x14ac:dyDescent="0.2">
      <c r="A296" s="113"/>
      <c r="B296" s="457">
        <f t="shared" si="26"/>
        <v>279</v>
      </c>
      <c r="C296" s="458">
        <f t="shared" si="23"/>
        <v>0</v>
      </c>
      <c r="D296" s="458">
        <f t="shared" si="27"/>
        <v>0</v>
      </c>
      <c r="E296" s="458">
        <f>IF(B296="","-",SUM($D$18:D296))</f>
        <v>0</v>
      </c>
      <c r="F296" s="458">
        <f t="shared" si="24"/>
        <v>0</v>
      </c>
      <c r="G296" s="458">
        <f>IF(B296="","-",SUM($F$18:F296))</f>
        <v>0</v>
      </c>
      <c r="H296" s="458">
        <f t="shared" si="25"/>
        <v>0</v>
      </c>
      <c r="I296" s="159"/>
      <c r="J296" s="113"/>
      <c r="K296" s="113"/>
      <c r="M296" s="113"/>
      <c r="N296" s="113"/>
      <c r="O296" s="113"/>
      <c r="P296" s="113"/>
      <c r="Q296" s="113"/>
      <c r="R296" s="113"/>
      <c r="S296" s="113"/>
      <c r="T296" s="113"/>
      <c r="U296" s="113"/>
      <c r="V296" s="113"/>
    </row>
    <row r="297" spans="1:22" x14ac:dyDescent="0.2">
      <c r="A297" s="113"/>
      <c r="B297" s="457">
        <f t="shared" si="26"/>
        <v>280</v>
      </c>
      <c r="C297" s="458">
        <f t="shared" si="23"/>
        <v>0</v>
      </c>
      <c r="D297" s="458">
        <f t="shared" si="27"/>
        <v>0</v>
      </c>
      <c r="E297" s="458">
        <f>IF(B297="","-",SUM($D$18:D297))</f>
        <v>0</v>
      </c>
      <c r="F297" s="458">
        <f t="shared" si="24"/>
        <v>0</v>
      </c>
      <c r="G297" s="458">
        <f>IF(B297="","-",SUM($F$18:F297))</f>
        <v>0</v>
      </c>
      <c r="H297" s="458">
        <f t="shared" si="25"/>
        <v>0</v>
      </c>
      <c r="I297" s="159"/>
      <c r="J297" s="113"/>
      <c r="K297" s="113"/>
      <c r="M297" s="113"/>
      <c r="N297" s="113"/>
      <c r="O297" s="113"/>
      <c r="P297" s="113"/>
      <c r="Q297" s="113"/>
      <c r="R297" s="113"/>
      <c r="S297" s="113"/>
      <c r="T297" s="113"/>
      <c r="U297" s="113"/>
      <c r="V297" s="113"/>
    </row>
    <row r="298" spans="1:22" x14ac:dyDescent="0.2">
      <c r="A298" s="113"/>
      <c r="B298" s="457">
        <f t="shared" si="26"/>
        <v>281</v>
      </c>
      <c r="C298" s="458">
        <f t="shared" si="23"/>
        <v>0</v>
      </c>
      <c r="D298" s="458">
        <f t="shared" si="27"/>
        <v>0</v>
      </c>
      <c r="E298" s="458">
        <f>IF(B298="","-",SUM($D$18:D298))</f>
        <v>0</v>
      </c>
      <c r="F298" s="458">
        <f t="shared" si="24"/>
        <v>0</v>
      </c>
      <c r="G298" s="458">
        <f>IF(B298="","-",SUM($F$18:F298))</f>
        <v>0</v>
      </c>
      <c r="H298" s="458">
        <f t="shared" si="25"/>
        <v>0</v>
      </c>
      <c r="I298" s="159"/>
      <c r="J298" s="113"/>
      <c r="K298" s="113"/>
      <c r="M298" s="113"/>
      <c r="N298" s="113"/>
      <c r="O298" s="113"/>
      <c r="P298" s="113"/>
      <c r="Q298" s="113"/>
      <c r="R298" s="113"/>
      <c r="S298" s="113"/>
      <c r="T298" s="113"/>
      <c r="U298" s="113"/>
      <c r="V298" s="113"/>
    </row>
    <row r="299" spans="1:22" x14ac:dyDescent="0.2">
      <c r="A299" s="113"/>
      <c r="B299" s="457">
        <f t="shared" si="26"/>
        <v>282</v>
      </c>
      <c r="C299" s="458">
        <f t="shared" si="23"/>
        <v>0</v>
      </c>
      <c r="D299" s="458">
        <f t="shared" si="27"/>
        <v>0</v>
      </c>
      <c r="E299" s="458">
        <f>IF(B299="","-",SUM($D$18:D299))</f>
        <v>0</v>
      </c>
      <c r="F299" s="458">
        <f t="shared" si="24"/>
        <v>0</v>
      </c>
      <c r="G299" s="458">
        <f>IF(B299="","-",SUM($F$18:F299))</f>
        <v>0</v>
      </c>
      <c r="H299" s="458">
        <f t="shared" si="25"/>
        <v>0</v>
      </c>
      <c r="I299" s="159"/>
      <c r="J299" s="113"/>
      <c r="K299" s="113"/>
      <c r="M299" s="113"/>
      <c r="N299" s="113"/>
      <c r="O299" s="113"/>
      <c r="P299" s="113"/>
      <c r="Q299" s="113"/>
      <c r="R299" s="113"/>
      <c r="S299" s="113"/>
      <c r="T299" s="113"/>
      <c r="U299" s="113"/>
      <c r="V299" s="113"/>
    </row>
    <row r="300" spans="1:22" x14ac:dyDescent="0.2">
      <c r="A300" s="113"/>
      <c r="B300" s="457">
        <f t="shared" si="26"/>
        <v>283</v>
      </c>
      <c r="C300" s="458">
        <f t="shared" si="23"/>
        <v>0</v>
      </c>
      <c r="D300" s="458">
        <f t="shared" si="27"/>
        <v>0</v>
      </c>
      <c r="E300" s="458">
        <f>IF(B300="","-",SUM($D$18:D300))</f>
        <v>0</v>
      </c>
      <c r="F300" s="458">
        <f t="shared" si="24"/>
        <v>0</v>
      </c>
      <c r="G300" s="458">
        <f>IF(B300="","-",SUM($F$18:F300))</f>
        <v>0</v>
      </c>
      <c r="H300" s="458">
        <f t="shared" si="25"/>
        <v>0</v>
      </c>
      <c r="I300" s="159"/>
      <c r="J300" s="113"/>
      <c r="K300" s="113"/>
      <c r="M300" s="113"/>
      <c r="N300" s="113"/>
      <c r="O300" s="113"/>
      <c r="P300" s="113"/>
      <c r="Q300" s="113"/>
      <c r="R300" s="113"/>
      <c r="S300" s="113"/>
      <c r="T300" s="113"/>
      <c r="U300" s="113"/>
      <c r="V300" s="113"/>
    </row>
    <row r="301" spans="1:22" x14ac:dyDescent="0.2">
      <c r="A301" s="113"/>
      <c r="B301" s="457">
        <f t="shared" si="26"/>
        <v>284</v>
      </c>
      <c r="C301" s="458">
        <f t="shared" si="23"/>
        <v>0</v>
      </c>
      <c r="D301" s="458">
        <f t="shared" si="27"/>
        <v>0</v>
      </c>
      <c r="E301" s="458">
        <f>IF(B301="","-",SUM($D$18:D301))</f>
        <v>0</v>
      </c>
      <c r="F301" s="458">
        <f t="shared" si="24"/>
        <v>0</v>
      </c>
      <c r="G301" s="458">
        <f>IF(B301="","-",SUM($F$18:F301))</f>
        <v>0</v>
      </c>
      <c r="H301" s="458">
        <f t="shared" si="25"/>
        <v>0</v>
      </c>
      <c r="I301" s="159"/>
      <c r="J301" s="113"/>
      <c r="K301" s="113"/>
      <c r="M301" s="113"/>
      <c r="N301" s="113"/>
      <c r="O301" s="113"/>
      <c r="P301" s="113"/>
      <c r="Q301" s="113"/>
      <c r="R301" s="113"/>
      <c r="S301" s="113"/>
      <c r="T301" s="113"/>
      <c r="U301" s="113"/>
      <c r="V301" s="113"/>
    </row>
    <row r="302" spans="1:22" x14ac:dyDescent="0.2">
      <c r="A302" s="113"/>
      <c r="B302" s="457">
        <f t="shared" si="26"/>
        <v>285</v>
      </c>
      <c r="C302" s="458">
        <f t="shared" si="23"/>
        <v>0</v>
      </c>
      <c r="D302" s="458">
        <f t="shared" si="27"/>
        <v>0</v>
      </c>
      <c r="E302" s="458">
        <f>IF(B302="","-",SUM($D$18:D302))</f>
        <v>0</v>
      </c>
      <c r="F302" s="458">
        <f t="shared" si="24"/>
        <v>0</v>
      </c>
      <c r="G302" s="458">
        <f>IF(B302="","-",SUM($F$18:F302))</f>
        <v>0</v>
      </c>
      <c r="H302" s="458">
        <f t="shared" si="25"/>
        <v>0</v>
      </c>
      <c r="I302" s="159"/>
      <c r="J302" s="113"/>
      <c r="K302" s="113"/>
      <c r="M302" s="113"/>
      <c r="N302" s="113"/>
      <c r="O302" s="113"/>
      <c r="P302" s="113"/>
      <c r="Q302" s="113"/>
      <c r="R302" s="113"/>
      <c r="S302" s="113"/>
      <c r="T302" s="113"/>
      <c r="U302" s="113"/>
      <c r="V302" s="113"/>
    </row>
    <row r="303" spans="1:22" x14ac:dyDescent="0.2">
      <c r="A303" s="113"/>
      <c r="B303" s="457">
        <f t="shared" si="26"/>
        <v>286</v>
      </c>
      <c r="C303" s="458">
        <f t="shared" si="23"/>
        <v>0</v>
      </c>
      <c r="D303" s="458">
        <f t="shared" si="27"/>
        <v>0</v>
      </c>
      <c r="E303" s="458">
        <f>IF(B303="","-",SUM($D$18:D303))</f>
        <v>0</v>
      </c>
      <c r="F303" s="458">
        <f t="shared" si="24"/>
        <v>0</v>
      </c>
      <c r="G303" s="458">
        <f>IF(B303="","-",SUM($F$18:F303))</f>
        <v>0</v>
      </c>
      <c r="H303" s="458">
        <f t="shared" si="25"/>
        <v>0</v>
      </c>
      <c r="I303" s="159"/>
      <c r="J303" s="113"/>
      <c r="K303" s="113"/>
      <c r="M303" s="113"/>
      <c r="N303" s="113"/>
      <c r="O303" s="113"/>
      <c r="P303" s="113"/>
      <c r="Q303" s="113"/>
      <c r="R303" s="113"/>
      <c r="S303" s="113"/>
      <c r="T303" s="113"/>
      <c r="U303" s="113"/>
      <c r="V303" s="113"/>
    </row>
    <row r="304" spans="1:22" x14ac:dyDescent="0.2">
      <c r="A304" s="113"/>
      <c r="B304" s="457">
        <f t="shared" si="26"/>
        <v>287</v>
      </c>
      <c r="C304" s="458">
        <f t="shared" si="23"/>
        <v>0</v>
      </c>
      <c r="D304" s="458">
        <f t="shared" si="27"/>
        <v>0</v>
      </c>
      <c r="E304" s="458">
        <f>IF(B304="","-",SUM($D$18:D304))</f>
        <v>0</v>
      </c>
      <c r="F304" s="458">
        <f t="shared" si="24"/>
        <v>0</v>
      </c>
      <c r="G304" s="458">
        <f>IF(B304="","-",SUM($F$18:F304))</f>
        <v>0</v>
      </c>
      <c r="H304" s="458">
        <f t="shared" si="25"/>
        <v>0</v>
      </c>
      <c r="I304" s="159"/>
      <c r="J304" s="113"/>
      <c r="K304" s="113"/>
      <c r="M304" s="113"/>
      <c r="N304" s="113"/>
      <c r="O304" s="113"/>
      <c r="P304" s="113"/>
      <c r="Q304" s="113"/>
      <c r="R304" s="113"/>
      <c r="S304" s="113"/>
      <c r="T304" s="113"/>
      <c r="U304" s="113"/>
      <c r="V304" s="113"/>
    </row>
    <row r="305" spans="1:22" x14ac:dyDescent="0.2">
      <c r="A305" s="113"/>
      <c r="B305" s="457">
        <f t="shared" si="26"/>
        <v>288</v>
      </c>
      <c r="C305" s="458">
        <f t="shared" si="23"/>
        <v>0</v>
      </c>
      <c r="D305" s="458">
        <f t="shared" si="27"/>
        <v>0</v>
      </c>
      <c r="E305" s="458">
        <f>IF(B305="","-",SUM($D$18:D305))</f>
        <v>0</v>
      </c>
      <c r="F305" s="458">
        <f t="shared" si="24"/>
        <v>0</v>
      </c>
      <c r="G305" s="458">
        <f>IF(B305="","-",SUM($F$18:F305))</f>
        <v>0</v>
      </c>
      <c r="H305" s="458">
        <f t="shared" si="25"/>
        <v>0</v>
      </c>
      <c r="I305" s="159"/>
      <c r="J305" s="113"/>
      <c r="K305" s="113"/>
      <c r="M305" s="113"/>
      <c r="N305" s="113"/>
      <c r="O305" s="113"/>
      <c r="P305" s="113"/>
      <c r="Q305" s="113"/>
      <c r="R305" s="113"/>
      <c r="S305" s="113"/>
      <c r="T305" s="113"/>
      <c r="U305" s="113"/>
      <c r="V305" s="113"/>
    </row>
    <row r="306" spans="1:22" x14ac:dyDescent="0.2">
      <c r="A306" s="113"/>
      <c r="B306" s="457">
        <f t="shared" si="26"/>
        <v>289</v>
      </c>
      <c r="C306" s="458">
        <f t="shared" si="23"/>
        <v>0</v>
      </c>
      <c r="D306" s="458">
        <f t="shared" si="27"/>
        <v>0</v>
      </c>
      <c r="E306" s="458">
        <f>IF(B306="","-",SUM($D$18:D306))</f>
        <v>0</v>
      </c>
      <c r="F306" s="458">
        <f t="shared" si="24"/>
        <v>0</v>
      </c>
      <c r="G306" s="458">
        <f>IF(B306="","-",SUM($F$18:F306))</f>
        <v>0</v>
      </c>
      <c r="H306" s="458">
        <f t="shared" si="25"/>
        <v>0</v>
      </c>
      <c r="I306" s="159"/>
      <c r="J306" s="113"/>
      <c r="K306" s="113"/>
      <c r="M306" s="113"/>
      <c r="N306" s="113"/>
      <c r="O306" s="113"/>
      <c r="P306" s="113"/>
      <c r="Q306" s="113"/>
      <c r="R306" s="113"/>
      <c r="S306" s="113"/>
      <c r="T306" s="113"/>
      <c r="U306" s="113"/>
      <c r="V306" s="113"/>
    </row>
    <row r="307" spans="1:22" x14ac:dyDescent="0.2">
      <c r="A307" s="113"/>
      <c r="B307" s="457">
        <f t="shared" si="26"/>
        <v>290</v>
      </c>
      <c r="C307" s="458">
        <f t="shared" si="23"/>
        <v>0</v>
      </c>
      <c r="D307" s="458">
        <f t="shared" si="27"/>
        <v>0</v>
      </c>
      <c r="E307" s="458">
        <f>IF(B307="","-",SUM($D$18:D307))</f>
        <v>0</v>
      </c>
      <c r="F307" s="458">
        <f t="shared" si="24"/>
        <v>0</v>
      </c>
      <c r="G307" s="458">
        <f>IF(B307="","-",SUM($F$18:F307))</f>
        <v>0</v>
      </c>
      <c r="H307" s="458">
        <f t="shared" si="25"/>
        <v>0</v>
      </c>
      <c r="I307" s="159"/>
      <c r="J307" s="113"/>
      <c r="K307" s="113"/>
      <c r="M307" s="113"/>
      <c r="N307" s="113"/>
      <c r="O307" s="113"/>
      <c r="P307" s="113"/>
      <c r="Q307" s="113"/>
      <c r="R307" s="113"/>
      <c r="S307" s="113"/>
      <c r="T307" s="113"/>
      <c r="U307" s="113"/>
      <c r="V307" s="113"/>
    </row>
    <row r="308" spans="1:22" x14ac:dyDescent="0.2">
      <c r="A308" s="113"/>
      <c r="B308" s="457">
        <f t="shared" si="26"/>
        <v>291</v>
      </c>
      <c r="C308" s="458">
        <f t="shared" si="23"/>
        <v>0</v>
      </c>
      <c r="D308" s="458">
        <f t="shared" si="27"/>
        <v>0</v>
      </c>
      <c r="E308" s="458">
        <f>IF(B308="","-",SUM($D$18:D308))</f>
        <v>0</v>
      </c>
      <c r="F308" s="458">
        <f t="shared" si="24"/>
        <v>0</v>
      </c>
      <c r="G308" s="458">
        <f>IF(B308="","-",SUM($F$18:F308))</f>
        <v>0</v>
      </c>
      <c r="H308" s="458">
        <f t="shared" si="25"/>
        <v>0</v>
      </c>
      <c r="I308" s="159"/>
      <c r="J308" s="113"/>
      <c r="K308" s="113"/>
      <c r="M308" s="113"/>
      <c r="N308" s="113"/>
      <c r="O308" s="113"/>
      <c r="P308" s="113"/>
      <c r="Q308" s="113"/>
      <c r="R308" s="113"/>
      <c r="S308" s="113"/>
      <c r="T308" s="113"/>
      <c r="U308" s="113"/>
      <c r="V308" s="113"/>
    </row>
    <row r="309" spans="1:22" x14ac:dyDescent="0.2">
      <c r="A309" s="113"/>
      <c r="B309" s="457">
        <f t="shared" si="26"/>
        <v>292</v>
      </c>
      <c r="C309" s="458">
        <f t="shared" si="23"/>
        <v>0</v>
      </c>
      <c r="D309" s="458">
        <f t="shared" si="27"/>
        <v>0</v>
      </c>
      <c r="E309" s="458">
        <f>IF(B309="","-",SUM($D$18:D309))</f>
        <v>0</v>
      </c>
      <c r="F309" s="458">
        <f t="shared" si="24"/>
        <v>0</v>
      </c>
      <c r="G309" s="458">
        <f>IF(B309="","-",SUM($F$18:F309))</f>
        <v>0</v>
      </c>
      <c r="H309" s="458">
        <f t="shared" si="25"/>
        <v>0</v>
      </c>
      <c r="I309" s="159"/>
      <c r="J309" s="113"/>
      <c r="K309" s="113"/>
      <c r="M309" s="113"/>
      <c r="N309" s="113"/>
      <c r="O309" s="113"/>
      <c r="P309" s="113"/>
      <c r="Q309" s="113"/>
      <c r="R309" s="113"/>
      <c r="S309" s="113"/>
      <c r="T309" s="113"/>
      <c r="U309" s="113"/>
      <c r="V309" s="113"/>
    </row>
    <row r="310" spans="1:22" x14ac:dyDescent="0.2">
      <c r="A310" s="113"/>
      <c r="B310" s="457">
        <f t="shared" si="26"/>
        <v>293</v>
      </c>
      <c r="C310" s="458">
        <f t="shared" si="23"/>
        <v>0</v>
      </c>
      <c r="D310" s="458">
        <f t="shared" si="27"/>
        <v>0</v>
      </c>
      <c r="E310" s="458">
        <f>IF(B310="","-",SUM($D$18:D310))</f>
        <v>0</v>
      </c>
      <c r="F310" s="458">
        <f t="shared" si="24"/>
        <v>0</v>
      </c>
      <c r="G310" s="458">
        <f>IF(B310="","-",SUM($F$18:F310))</f>
        <v>0</v>
      </c>
      <c r="H310" s="458">
        <f t="shared" si="25"/>
        <v>0</v>
      </c>
      <c r="I310" s="159"/>
      <c r="J310" s="113"/>
      <c r="K310" s="113"/>
      <c r="M310" s="113"/>
      <c r="N310" s="113"/>
      <c r="O310" s="113"/>
      <c r="P310" s="113"/>
      <c r="Q310" s="113"/>
      <c r="R310" s="113"/>
      <c r="S310" s="113"/>
      <c r="T310" s="113"/>
      <c r="U310" s="113"/>
      <c r="V310" s="113"/>
    </row>
    <row r="311" spans="1:22" x14ac:dyDescent="0.2">
      <c r="A311" s="113"/>
      <c r="B311" s="457">
        <f t="shared" si="26"/>
        <v>294</v>
      </c>
      <c r="C311" s="458">
        <f t="shared" si="23"/>
        <v>0</v>
      </c>
      <c r="D311" s="458">
        <f t="shared" si="27"/>
        <v>0</v>
      </c>
      <c r="E311" s="458">
        <f>IF(B311="","-",SUM($D$18:D311))</f>
        <v>0</v>
      </c>
      <c r="F311" s="458">
        <f t="shared" si="24"/>
        <v>0</v>
      </c>
      <c r="G311" s="458">
        <f>IF(B311="","-",SUM($F$18:F311))</f>
        <v>0</v>
      </c>
      <c r="H311" s="458">
        <f t="shared" si="25"/>
        <v>0</v>
      </c>
      <c r="I311" s="159"/>
      <c r="J311" s="113"/>
      <c r="K311" s="113"/>
      <c r="M311" s="113"/>
      <c r="N311" s="113"/>
      <c r="O311" s="113"/>
      <c r="P311" s="113"/>
      <c r="Q311" s="113"/>
      <c r="R311" s="113"/>
      <c r="S311" s="113"/>
      <c r="T311" s="113"/>
      <c r="U311" s="113"/>
      <c r="V311" s="113"/>
    </row>
    <row r="312" spans="1:22" x14ac:dyDescent="0.2">
      <c r="A312" s="113"/>
      <c r="B312" s="457">
        <f t="shared" si="26"/>
        <v>295</v>
      </c>
      <c r="C312" s="458">
        <f t="shared" si="23"/>
        <v>0</v>
      </c>
      <c r="D312" s="458">
        <f t="shared" si="27"/>
        <v>0</v>
      </c>
      <c r="E312" s="458">
        <f>IF(B312="","-",SUM($D$18:D312))</f>
        <v>0</v>
      </c>
      <c r="F312" s="458">
        <f t="shared" si="24"/>
        <v>0</v>
      </c>
      <c r="G312" s="458">
        <f>IF(B312="","-",SUM($F$18:F312))</f>
        <v>0</v>
      </c>
      <c r="H312" s="458">
        <f t="shared" si="25"/>
        <v>0</v>
      </c>
      <c r="I312" s="159"/>
      <c r="J312" s="113"/>
      <c r="K312" s="113"/>
      <c r="M312" s="113"/>
      <c r="N312" s="113"/>
      <c r="O312" s="113"/>
      <c r="P312" s="113"/>
      <c r="Q312" s="113"/>
      <c r="R312" s="113"/>
      <c r="S312" s="113"/>
      <c r="T312" s="113"/>
      <c r="U312" s="113"/>
      <c r="V312" s="113"/>
    </row>
    <row r="313" spans="1:22" x14ac:dyDescent="0.2">
      <c r="A313" s="113"/>
      <c r="B313" s="457">
        <f t="shared" si="26"/>
        <v>296</v>
      </c>
      <c r="C313" s="458">
        <f t="shared" si="23"/>
        <v>0</v>
      </c>
      <c r="D313" s="458">
        <f t="shared" si="27"/>
        <v>0</v>
      </c>
      <c r="E313" s="458">
        <f>IF(B313="","-",SUM($D$18:D313))</f>
        <v>0</v>
      </c>
      <c r="F313" s="458">
        <f t="shared" si="24"/>
        <v>0</v>
      </c>
      <c r="G313" s="458">
        <f>IF(B313="","-",SUM($F$18:F313))</f>
        <v>0</v>
      </c>
      <c r="H313" s="458">
        <f t="shared" si="25"/>
        <v>0</v>
      </c>
      <c r="I313" s="159"/>
      <c r="J313" s="113"/>
      <c r="K313" s="113"/>
      <c r="M313" s="113"/>
      <c r="N313" s="113"/>
      <c r="O313" s="113"/>
      <c r="P313" s="113"/>
      <c r="Q313" s="113"/>
      <c r="R313" s="113"/>
      <c r="S313" s="113"/>
      <c r="T313" s="113"/>
      <c r="U313" s="113"/>
      <c r="V313" s="113"/>
    </row>
    <row r="314" spans="1:22" x14ac:dyDescent="0.2">
      <c r="A314" s="113"/>
      <c r="B314" s="457">
        <f t="shared" si="26"/>
        <v>297</v>
      </c>
      <c r="C314" s="458">
        <f t="shared" si="23"/>
        <v>0</v>
      </c>
      <c r="D314" s="458">
        <f t="shared" si="27"/>
        <v>0</v>
      </c>
      <c r="E314" s="458">
        <f>IF(B314="","-",SUM($D$18:D314))</f>
        <v>0</v>
      </c>
      <c r="F314" s="458">
        <f t="shared" si="24"/>
        <v>0</v>
      </c>
      <c r="G314" s="458">
        <f>IF(B314="","-",SUM($F$18:F314))</f>
        <v>0</v>
      </c>
      <c r="H314" s="458">
        <f t="shared" si="25"/>
        <v>0</v>
      </c>
      <c r="I314" s="159"/>
      <c r="J314" s="113"/>
      <c r="K314" s="113"/>
      <c r="M314" s="113"/>
      <c r="N314" s="113"/>
      <c r="O314" s="113"/>
      <c r="P314" s="113"/>
      <c r="Q314" s="113"/>
      <c r="R314" s="113"/>
      <c r="S314" s="113"/>
      <c r="T314" s="113"/>
      <c r="U314" s="113"/>
      <c r="V314" s="113"/>
    </row>
    <row r="315" spans="1:22" x14ac:dyDescent="0.2">
      <c r="A315" s="113"/>
      <c r="B315" s="457">
        <f t="shared" si="26"/>
        <v>298</v>
      </c>
      <c r="C315" s="458">
        <f t="shared" si="23"/>
        <v>0</v>
      </c>
      <c r="D315" s="458">
        <f t="shared" si="27"/>
        <v>0</v>
      </c>
      <c r="E315" s="458">
        <f>IF(B315="","-",SUM($D$18:D315))</f>
        <v>0</v>
      </c>
      <c r="F315" s="458">
        <f t="shared" si="24"/>
        <v>0</v>
      </c>
      <c r="G315" s="458">
        <f>IF(B315="","-",SUM($F$18:F315))</f>
        <v>0</v>
      </c>
      <c r="H315" s="458">
        <f t="shared" si="25"/>
        <v>0</v>
      </c>
      <c r="I315" s="159"/>
      <c r="J315" s="113"/>
      <c r="K315" s="113"/>
      <c r="M315" s="113"/>
      <c r="N315" s="113"/>
      <c r="O315" s="113"/>
      <c r="P315" s="113"/>
      <c r="Q315" s="113"/>
      <c r="R315" s="113"/>
      <c r="S315" s="113"/>
      <c r="T315" s="113"/>
      <c r="U315" s="113"/>
      <c r="V315" s="113"/>
    </row>
    <row r="316" spans="1:22" x14ac:dyDescent="0.2">
      <c r="A316" s="113"/>
      <c r="B316" s="457">
        <f t="shared" si="26"/>
        <v>299</v>
      </c>
      <c r="C316" s="458">
        <f t="shared" si="23"/>
        <v>0</v>
      </c>
      <c r="D316" s="458">
        <f t="shared" si="27"/>
        <v>0</v>
      </c>
      <c r="E316" s="458">
        <f>IF(B316="","-",SUM($D$18:D316))</f>
        <v>0</v>
      </c>
      <c r="F316" s="458">
        <f t="shared" si="24"/>
        <v>0</v>
      </c>
      <c r="G316" s="458">
        <f>IF(B316="","-",SUM($F$18:F316))</f>
        <v>0</v>
      </c>
      <c r="H316" s="458">
        <f t="shared" si="25"/>
        <v>0</v>
      </c>
      <c r="I316" s="159"/>
      <c r="J316" s="113"/>
      <c r="K316" s="113"/>
      <c r="M316" s="113"/>
      <c r="N316" s="113"/>
      <c r="O316" s="113"/>
      <c r="P316" s="113"/>
      <c r="Q316" s="113"/>
      <c r="R316" s="113"/>
      <c r="S316" s="113"/>
      <c r="T316" s="113"/>
      <c r="U316" s="113"/>
      <c r="V316" s="113"/>
    </row>
    <row r="317" spans="1:22" x14ac:dyDescent="0.2">
      <c r="A317" s="113"/>
      <c r="B317" s="457">
        <f t="shared" si="26"/>
        <v>300</v>
      </c>
      <c r="C317" s="458">
        <f t="shared" si="23"/>
        <v>0</v>
      </c>
      <c r="D317" s="458">
        <f t="shared" si="27"/>
        <v>0</v>
      </c>
      <c r="E317" s="458">
        <f>IF(B317="","-",SUM($D$18:D317))</f>
        <v>0</v>
      </c>
      <c r="F317" s="458">
        <f t="shared" si="24"/>
        <v>0</v>
      </c>
      <c r="G317" s="458">
        <f>IF(B317="","-",SUM($F$18:F317))</f>
        <v>0</v>
      </c>
      <c r="H317" s="458">
        <f t="shared" si="25"/>
        <v>0</v>
      </c>
      <c r="I317" s="159"/>
      <c r="J317" s="113"/>
      <c r="K317" s="113"/>
      <c r="M317" s="113"/>
      <c r="N317" s="113"/>
      <c r="O317" s="113"/>
      <c r="P317" s="113"/>
      <c r="Q317" s="113"/>
      <c r="R317" s="113"/>
      <c r="S317" s="113"/>
      <c r="T317" s="113"/>
      <c r="U317" s="113"/>
      <c r="V317" s="113"/>
    </row>
    <row r="318" spans="1:22" x14ac:dyDescent="0.2">
      <c r="A318" s="113"/>
      <c r="B318" s="457">
        <f t="shared" si="26"/>
        <v>301</v>
      </c>
      <c r="C318" s="458">
        <f t="shared" si="23"/>
        <v>0</v>
      </c>
      <c r="D318" s="458">
        <f t="shared" si="27"/>
        <v>0</v>
      </c>
      <c r="E318" s="458">
        <f>IF(B318="","-",SUM($D$18:D318))</f>
        <v>0</v>
      </c>
      <c r="F318" s="458">
        <f t="shared" si="24"/>
        <v>0</v>
      </c>
      <c r="G318" s="458">
        <f>IF(B318="","-",SUM($F$18:F318))</f>
        <v>0</v>
      </c>
      <c r="H318" s="458">
        <f t="shared" si="25"/>
        <v>0</v>
      </c>
      <c r="I318" s="159"/>
      <c r="J318" s="113"/>
      <c r="K318" s="113"/>
      <c r="M318" s="113"/>
      <c r="N318" s="113"/>
      <c r="O318" s="113"/>
      <c r="P318" s="113"/>
      <c r="Q318" s="113"/>
      <c r="R318" s="113"/>
      <c r="S318" s="113"/>
      <c r="T318" s="113"/>
      <c r="U318" s="113"/>
      <c r="V318" s="113"/>
    </row>
    <row r="319" spans="1:22" x14ac:dyDescent="0.2">
      <c r="A319" s="113"/>
      <c r="B319" s="457">
        <f t="shared" si="26"/>
        <v>302</v>
      </c>
      <c r="C319" s="458">
        <f t="shared" si="23"/>
        <v>0</v>
      </c>
      <c r="D319" s="458">
        <f t="shared" si="27"/>
        <v>0</v>
      </c>
      <c r="E319" s="458">
        <f>IF(B319="","-",SUM($D$18:D319))</f>
        <v>0</v>
      </c>
      <c r="F319" s="458">
        <f t="shared" si="24"/>
        <v>0</v>
      </c>
      <c r="G319" s="458">
        <f>IF(B319="","-",SUM($F$18:F319))</f>
        <v>0</v>
      </c>
      <c r="H319" s="458">
        <f t="shared" si="25"/>
        <v>0</v>
      </c>
      <c r="I319" s="159"/>
      <c r="J319" s="113"/>
      <c r="K319" s="113"/>
      <c r="M319" s="113"/>
      <c r="N319" s="113"/>
      <c r="O319" s="113"/>
      <c r="P319" s="113"/>
      <c r="Q319" s="113"/>
      <c r="R319" s="113"/>
      <c r="S319" s="113"/>
      <c r="T319" s="113"/>
      <c r="U319" s="113"/>
      <c r="V319" s="113"/>
    </row>
    <row r="320" spans="1:22" x14ac:dyDescent="0.2">
      <c r="A320" s="113"/>
      <c r="B320" s="457">
        <f t="shared" si="26"/>
        <v>303</v>
      </c>
      <c r="C320" s="458">
        <f t="shared" si="23"/>
        <v>0</v>
      </c>
      <c r="D320" s="458">
        <f t="shared" si="27"/>
        <v>0</v>
      </c>
      <c r="E320" s="458">
        <f>IF(B320="","-",SUM($D$18:D320))</f>
        <v>0</v>
      </c>
      <c r="F320" s="458">
        <f t="shared" si="24"/>
        <v>0</v>
      </c>
      <c r="G320" s="458">
        <f>IF(B320="","-",SUM($F$18:F320))</f>
        <v>0</v>
      </c>
      <c r="H320" s="458">
        <f t="shared" si="25"/>
        <v>0</v>
      </c>
      <c r="I320" s="159"/>
      <c r="J320" s="113"/>
      <c r="K320" s="113"/>
      <c r="M320" s="113"/>
      <c r="N320" s="113"/>
      <c r="O320" s="113"/>
      <c r="P320" s="113"/>
      <c r="Q320" s="113"/>
      <c r="R320" s="113"/>
      <c r="S320" s="113"/>
      <c r="T320" s="113"/>
      <c r="U320" s="113"/>
      <c r="V320" s="113"/>
    </row>
    <row r="321" spans="1:22" x14ac:dyDescent="0.2">
      <c r="A321" s="113"/>
      <c r="B321" s="457">
        <f t="shared" si="26"/>
        <v>304</v>
      </c>
      <c r="C321" s="458">
        <f t="shared" si="23"/>
        <v>0</v>
      </c>
      <c r="D321" s="458">
        <f t="shared" si="27"/>
        <v>0</v>
      </c>
      <c r="E321" s="458">
        <f>IF(B321="","-",SUM($D$18:D321))</f>
        <v>0</v>
      </c>
      <c r="F321" s="458">
        <f t="shared" si="24"/>
        <v>0</v>
      </c>
      <c r="G321" s="458">
        <f>IF(B321="","-",SUM($F$18:F321))</f>
        <v>0</v>
      </c>
      <c r="H321" s="458">
        <f t="shared" si="25"/>
        <v>0</v>
      </c>
      <c r="I321" s="159"/>
      <c r="J321" s="113"/>
      <c r="K321" s="113"/>
      <c r="M321" s="113"/>
      <c r="N321" s="113"/>
      <c r="O321" s="113"/>
      <c r="P321" s="113"/>
      <c r="Q321" s="113"/>
      <c r="R321" s="113"/>
      <c r="S321" s="113"/>
      <c r="T321" s="113"/>
      <c r="U321" s="113"/>
      <c r="V321" s="113"/>
    </row>
    <row r="322" spans="1:22" x14ac:dyDescent="0.2">
      <c r="A322" s="113"/>
      <c r="B322" s="457">
        <f t="shared" si="26"/>
        <v>305</v>
      </c>
      <c r="C322" s="458">
        <f t="shared" si="23"/>
        <v>0</v>
      </c>
      <c r="D322" s="458">
        <f t="shared" si="27"/>
        <v>0</v>
      </c>
      <c r="E322" s="458">
        <f>IF(B322="","-",SUM($D$18:D322))</f>
        <v>0</v>
      </c>
      <c r="F322" s="458">
        <f t="shared" si="24"/>
        <v>0</v>
      </c>
      <c r="G322" s="458">
        <f>IF(B322="","-",SUM($F$18:F322))</f>
        <v>0</v>
      </c>
      <c r="H322" s="458">
        <f t="shared" si="25"/>
        <v>0</v>
      </c>
      <c r="I322" s="159"/>
      <c r="J322" s="113"/>
      <c r="K322" s="113"/>
      <c r="M322" s="113"/>
      <c r="N322" s="113"/>
      <c r="O322" s="113"/>
      <c r="P322" s="113"/>
      <c r="Q322" s="113"/>
      <c r="R322" s="113"/>
      <c r="S322" s="113"/>
      <c r="T322" s="113"/>
      <c r="U322" s="113"/>
      <c r="V322" s="113"/>
    </row>
    <row r="323" spans="1:22" x14ac:dyDescent="0.2">
      <c r="A323" s="113"/>
      <c r="B323" s="457">
        <f t="shared" si="26"/>
        <v>306</v>
      </c>
      <c r="C323" s="458">
        <f t="shared" si="23"/>
        <v>0</v>
      </c>
      <c r="D323" s="458">
        <f t="shared" si="27"/>
        <v>0</v>
      </c>
      <c r="E323" s="458">
        <f>IF(B323="","-",SUM($D$18:D323))</f>
        <v>0</v>
      </c>
      <c r="F323" s="458">
        <f t="shared" si="24"/>
        <v>0</v>
      </c>
      <c r="G323" s="458">
        <f>IF(B323="","-",SUM($F$18:F323))</f>
        <v>0</v>
      </c>
      <c r="H323" s="458">
        <f t="shared" si="25"/>
        <v>0</v>
      </c>
      <c r="I323" s="159"/>
      <c r="J323" s="113"/>
      <c r="K323" s="113"/>
      <c r="M323" s="113"/>
      <c r="N323" s="113"/>
      <c r="O323" s="113"/>
      <c r="P323" s="113"/>
      <c r="Q323" s="113"/>
      <c r="R323" s="113"/>
      <c r="S323" s="113"/>
      <c r="T323" s="113"/>
      <c r="U323" s="113"/>
      <c r="V323" s="113"/>
    </row>
    <row r="324" spans="1:22" x14ac:dyDescent="0.2">
      <c r="A324" s="113"/>
      <c r="B324" s="457">
        <f t="shared" si="26"/>
        <v>307</v>
      </c>
      <c r="C324" s="458">
        <f t="shared" si="23"/>
        <v>0</v>
      </c>
      <c r="D324" s="458">
        <f t="shared" si="27"/>
        <v>0</v>
      </c>
      <c r="E324" s="458">
        <f>IF(B324="","-",SUM($D$18:D324))</f>
        <v>0</v>
      </c>
      <c r="F324" s="458">
        <f t="shared" si="24"/>
        <v>0</v>
      </c>
      <c r="G324" s="458">
        <f>IF(B324="","-",SUM($F$18:F324))</f>
        <v>0</v>
      </c>
      <c r="H324" s="458">
        <f t="shared" si="25"/>
        <v>0</v>
      </c>
      <c r="I324" s="159"/>
      <c r="J324" s="113"/>
      <c r="K324" s="113"/>
      <c r="M324" s="113"/>
      <c r="N324" s="113"/>
      <c r="O324" s="113"/>
      <c r="P324" s="113"/>
      <c r="Q324" s="113"/>
      <c r="R324" s="113"/>
      <c r="S324" s="113"/>
      <c r="T324" s="113"/>
      <c r="U324" s="113"/>
      <c r="V324" s="113"/>
    </row>
    <row r="325" spans="1:22" x14ac:dyDescent="0.2">
      <c r="A325" s="113"/>
      <c r="B325" s="457">
        <f t="shared" si="26"/>
        <v>308</v>
      </c>
      <c r="C325" s="458">
        <f t="shared" si="23"/>
        <v>0</v>
      </c>
      <c r="D325" s="458">
        <f t="shared" si="27"/>
        <v>0</v>
      </c>
      <c r="E325" s="458">
        <f>IF(B325="","-",SUM($D$18:D325))</f>
        <v>0</v>
      </c>
      <c r="F325" s="458">
        <f t="shared" si="24"/>
        <v>0</v>
      </c>
      <c r="G325" s="458">
        <f>IF(B325="","-",SUM($F$18:F325))</f>
        <v>0</v>
      </c>
      <c r="H325" s="458">
        <f t="shared" si="25"/>
        <v>0</v>
      </c>
      <c r="I325" s="159"/>
      <c r="J325" s="113"/>
      <c r="K325" s="113"/>
      <c r="M325" s="113"/>
      <c r="N325" s="113"/>
      <c r="O325" s="113"/>
      <c r="P325" s="113"/>
      <c r="Q325" s="113"/>
      <c r="R325" s="113"/>
      <c r="S325" s="113"/>
      <c r="T325" s="113"/>
      <c r="U325" s="113"/>
      <c r="V325" s="113"/>
    </row>
    <row r="326" spans="1:22" x14ac:dyDescent="0.2">
      <c r="A326" s="113"/>
      <c r="B326" s="457">
        <f t="shared" si="26"/>
        <v>309</v>
      </c>
      <c r="C326" s="458">
        <f t="shared" si="23"/>
        <v>0</v>
      </c>
      <c r="D326" s="458">
        <f t="shared" si="27"/>
        <v>0</v>
      </c>
      <c r="E326" s="458">
        <f>IF(B326="","-",SUM($D$18:D326))</f>
        <v>0</v>
      </c>
      <c r="F326" s="458">
        <f t="shared" si="24"/>
        <v>0</v>
      </c>
      <c r="G326" s="458">
        <f>IF(B326="","-",SUM($F$18:F326))</f>
        <v>0</v>
      </c>
      <c r="H326" s="458">
        <f t="shared" si="25"/>
        <v>0</v>
      </c>
      <c r="I326" s="159"/>
      <c r="J326" s="113"/>
      <c r="K326" s="463"/>
      <c r="M326" s="113"/>
      <c r="N326" s="113"/>
      <c r="O326" s="113"/>
      <c r="P326" s="113"/>
      <c r="Q326" s="113"/>
      <c r="R326" s="113"/>
      <c r="S326" s="113"/>
      <c r="T326" s="113"/>
      <c r="U326" s="113"/>
      <c r="V326" s="113"/>
    </row>
    <row r="327" spans="1:22" x14ac:dyDescent="0.2">
      <c r="A327" s="113"/>
      <c r="B327" s="457">
        <f t="shared" si="26"/>
        <v>310</v>
      </c>
      <c r="C327" s="458">
        <f t="shared" si="23"/>
        <v>0</v>
      </c>
      <c r="D327" s="458">
        <f t="shared" si="27"/>
        <v>0</v>
      </c>
      <c r="E327" s="458">
        <f>IF(B327="","-",SUM($D$18:D327))</f>
        <v>0</v>
      </c>
      <c r="F327" s="458">
        <f t="shared" si="24"/>
        <v>0</v>
      </c>
      <c r="G327" s="458">
        <f>IF(B327="","-",SUM($F$18:F327))</f>
        <v>0</v>
      </c>
      <c r="H327" s="458">
        <f t="shared" si="25"/>
        <v>0</v>
      </c>
      <c r="I327" s="159"/>
      <c r="J327" s="113"/>
      <c r="K327" s="113"/>
      <c r="M327" s="113"/>
      <c r="N327" s="113"/>
      <c r="O327" s="113"/>
      <c r="P327" s="113"/>
      <c r="Q327" s="113"/>
      <c r="R327" s="113"/>
      <c r="S327" s="113"/>
      <c r="T327" s="113"/>
      <c r="U327" s="113"/>
      <c r="V327" s="113"/>
    </row>
    <row r="328" spans="1:22" x14ac:dyDescent="0.2">
      <c r="A328" s="113"/>
      <c r="B328" s="457">
        <f t="shared" si="26"/>
        <v>311</v>
      </c>
      <c r="C328" s="458">
        <f t="shared" si="23"/>
        <v>0</v>
      </c>
      <c r="D328" s="458">
        <f t="shared" si="27"/>
        <v>0</v>
      </c>
      <c r="E328" s="458">
        <f>IF(B328="","-",SUM($D$18:D328))</f>
        <v>0</v>
      </c>
      <c r="F328" s="458">
        <f t="shared" si="24"/>
        <v>0</v>
      </c>
      <c r="G328" s="458">
        <f>IF(B328="","-",SUM($F$18:F328))</f>
        <v>0</v>
      </c>
      <c r="H328" s="458">
        <f t="shared" si="25"/>
        <v>0</v>
      </c>
      <c r="I328" s="159"/>
      <c r="J328" s="113"/>
      <c r="K328" s="113"/>
      <c r="M328" s="113"/>
      <c r="N328" s="113"/>
      <c r="O328" s="113"/>
      <c r="P328" s="113"/>
      <c r="Q328" s="113"/>
      <c r="R328" s="113"/>
      <c r="S328" s="113"/>
      <c r="T328" s="113"/>
      <c r="U328" s="113"/>
      <c r="V328" s="113"/>
    </row>
    <row r="329" spans="1:22" x14ac:dyDescent="0.2">
      <c r="A329" s="113"/>
      <c r="B329" s="457">
        <f t="shared" si="26"/>
        <v>312</v>
      </c>
      <c r="C329" s="458">
        <f t="shared" si="23"/>
        <v>0</v>
      </c>
      <c r="D329" s="458">
        <f t="shared" si="27"/>
        <v>0</v>
      </c>
      <c r="E329" s="458">
        <f>IF(B329="","-",SUM($D$18:D329))</f>
        <v>0</v>
      </c>
      <c r="F329" s="458">
        <f t="shared" si="24"/>
        <v>0</v>
      </c>
      <c r="G329" s="458">
        <f>IF(B329="","-",SUM($F$18:F329))</f>
        <v>0</v>
      </c>
      <c r="H329" s="458">
        <f t="shared" si="25"/>
        <v>0</v>
      </c>
      <c r="I329" s="159"/>
      <c r="J329" s="113"/>
      <c r="K329" s="113"/>
      <c r="M329" s="113"/>
      <c r="N329" s="113"/>
      <c r="O329" s="113"/>
      <c r="P329" s="113"/>
      <c r="Q329" s="113"/>
      <c r="R329" s="113"/>
      <c r="S329" s="113"/>
      <c r="T329" s="113"/>
      <c r="U329" s="113"/>
      <c r="V329" s="113"/>
    </row>
    <row r="330" spans="1:22" x14ac:dyDescent="0.2">
      <c r="A330" s="113"/>
      <c r="B330" s="457">
        <f t="shared" si="26"/>
        <v>313</v>
      </c>
      <c r="C330" s="458">
        <f t="shared" si="23"/>
        <v>0</v>
      </c>
      <c r="D330" s="458">
        <f t="shared" si="27"/>
        <v>0</v>
      </c>
      <c r="E330" s="458">
        <f>IF(B330="","-",SUM($D$18:D330))</f>
        <v>0</v>
      </c>
      <c r="F330" s="458">
        <f t="shared" si="24"/>
        <v>0</v>
      </c>
      <c r="G330" s="458">
        <f>IF(B330="","-",SUM($F$18:F330))</f>
        <v>0</v>
      </c>
      <c r="H330" s="458">
        <f t="shared" si="25"/>
        <v>0</v>
      </c>
      <c r="I330" s="159"/>
      <c r="J330" s="113"/>
      <c r="K330" s="113"/>
      <c r="M330" s="113"/>
      <c r="N330" s="113"/>
      <c r="O330" s="113"/>
      <c r="P330" s="113"/>
      <c r="Q330" s="113"/>
      <c r="R330" s="113"/>
      <c r="S330" s="113"/>
      <c r="T330" s="113"/>
      <c r="U330" s="113"/>
      <c r="V330" s="113"/>
    </row>
    <row r="331" spans="1:22" x14ac:dyDescent="0.2">
      <c r="A331" s="113"/>
      <c r="B331" s="457">
        <f t="shared" si="26"/>
        <v>314</v>
      </c>
      <c r="C331" s="458">
        <f t="shared" si="23"/>
        <v>0</v>
      </c>
      <c r="D331" s="458">
        <f t="shared" si="27"/>
        <v>0</v>
      </c>
      <c r="E331" s="458">
        <f>IF(B331="","-",SUM($D$18:D331))</f>
        <v>0</v>
      </c>
      <c r="F331" s="458">
        <f t="shared" si="24"/>
        <v>0</v>
      </c>
      <c r="G331" s="458">
        <f>IF(B331="","-",SUM($F$18:F331))</f>
        <v>0</v>
      </c>
      <c r="H331" s="458">
        <f t="shared" si="25"/>
        <v>0</v>
      </c>
      <c r="I331" s="159"/>
      <c r="J331" s="113"/>
      <c r="K331" s="113"/>
      <c r="M331" s="113"/>
      <c r="N331" s="113"/>
      <c r="O331" s="113"/>
      <c r="P331" s="113"/>
      <c r="Q331" s="113"/>
      <c r="R331" s="113"/>
      <c r="S331" s="113"/>
      <c r="T331" s="113"/>
      <c r="U331" s="113"/>
      <c r="V331" s="113"/>
    </row>
    <row r="332" spans="1:22" x14ac:dyDescent="0.2">
      <c r="A332" s="113"/>
      <c r="B332" s="457">
        <f t="shared" si="26"/>
        <v>315</v>
      </c>
      <c r="C332" s="458">
        <f t="shared" si="23"/>
        <v>0</v>
      </c>
      <c r="D332" s="458">
        <f t="shared" si="27"/>
        <v>0</v>
      </c>
      <c r="E332" s="458">
        <f>IF(B332="","-",SUM($D$18:D332))</f>
        <v>0</v>
      </c>
      <c r="F332" s="458">
        <f t="shared" si="24"/>
        <v>0</v>
      </c>
      <c r="G332" s="458">
        <f>IF(B332="","-",SUM($F$18:F332))</f>
        <v>0</v>
      </c>
      <c r="H332" s="458">
        <f t="shared" si="25"/>
        <v>0</v>
      </c>
      <c r="I332" s="159"/>
      <c r="J332" s="113"/>
      <c r="K332" s="113"/>
      <c r="M332" s="113"/>
      <c r="N332" s="113"/>
      <c r="O332" s="113"/>
      <c r="P332" s="113"/>
      <c r="Q332" s="113"/>
      <c r="R332" s="113"/>
      <c r="S332" s="113"/>
      <c r="T332" s="113"/>
      <c r="U332" s="113"/>
      <c r="V332" s="113"/>
    </row>
    <row r="333" spans="1:22" x14ac:dyDescent="0.2">
      <c r="A333" s="113"/>
      <c r="B333" s="457">
        <f t="shared" si="26"/>
        <v>316</v>
      </c>
      <c r="C333" s="458">
        <f t="shared" si="23"/>
        <v>0</v>
      </c>
      <c r="D333" s="458">
        <f t="shared" si="27"/>
        <v>0</v>
      </c>
      <c r="E333" s="458">
        <f>IF(B333="","-",SUM($D$18:D333))</f>
        <v>0</v>
      </c>
      <c r="F333" s="458">
        <f t="shared" si="24"/>
        <v>0</v>
      </c>
      <c r="G333" s="458">
        <f>IF(B333="","-",SUM($F$18:F333))</f>
        <v>0</v>
      </c>
      <c r="H333" s="458">
        <f t="shared" si="25"/>
        <v>0</v>
      </c>
      <c r="I333" s="159"/>
      <c r="J333" s="113"/>
      <c r="K333" s="113"/>
      <c r="M333" s="113"/>
      <c r="N333" s="113"/>
      <c r="O333" s="113"/>
      <c r="P333" s="113"/>
      <c r="Q333" s="113"/>
      <c r="R333" s="113"/>
      <c r="S333" s="113"/>
      <c r="T333" s="113"/>
      <c r="U333" s="113"/>
      <c r="V333" s="113"/>
    </row>
    <row r="334" spans="1:22" x14ac:dyDescent="0.2">
      <c r="A334" s="113"/>
      <c r="B334" s="457">
        <f t="shared" si="26"/>
        <v>317</v>
      </c>
      <c r="C334" s="458">
        <f t="shared" si="23"/>
        <v>0</v>
      </c>
      <c r="D334" s="458">
        <f t="shared" si="27"/>
        <v>0</v>
      </c>
      <c r="E334" s="458">
        <f>IF(B334="","-",SUM($D$18:D334))</f>
        <v>0</v>
      </c>
      <c r="F334" s="458">
        <f t="shared" si="24"/>
        <v>0</v>
      </c>
      <c r="G334" s="458">
        <f>IF(B334="","-",SUM($F$18:F334))</f>
        <v>0</v>
      </c>
      <c r="H334" s="458">
        <f t="shared" si="25"/>
        <v>0</v>
      </c>
      <c r="I334" s="159"/>
      <c r="J334" s="113"/>
      <c r="K334" s="113"/>
      <c r="M334" s="113"/>
      <c r="N334" s="113"/>
      <c r="O334" s="113"/>
      <c r="P334" s="113"/>
      <c r="Q334" s="113"/>
      <c r="R334" s="113"/>
      <c r="S334" s="113"/>
      <c r="T334" s="113"/>
      <c r="U334" s="113"/>
      <c r="V334" s="113"/>
    </row>
    <row r="335" spans="1:22" x14ac:dyDescent="0.2">
      <c r="A335" s="113"/>
      <c r="B335" s="457">
        <f t="shared" si="26"/>
        <v>318</v>
      </c>
      <c r="C335" s="458">
        <f t="shared" si="23"/>
        <v>0</v>
      </c>
      <c r="D335" s="458">
        <f t="shared" si="27"/>
        <v>0</v>
      </c>
      <c r="E335" s="458">
        <f>IF(B335="","-",SUM($D$18:D335))</f>
        <v>0</v>
      </c>
      <c r="F335" s="458">
        <f t="shared" si="24"/>
        <v>0</v>
      </c>
      <c r="G335" s="458">
        <f>IF(B335="","-",SUM($F$18:F335))</f>
        <v>0</v>
      </c>
      <c r="H335" s="458">
        <f t="shared" si="25"/>
        <v>0</v>
      </c>
      <c r="I335" s="159"/>
      <c r="J335" s="113"/>
      <c r="K335" s="113"/>
      <c r="M335" s="113"/>
      <c r="N335" s="113"/>
      <c r="O335" s="113"/>
      <c r="P335" s="113"/>
      <c r="Q335" s="113"/>
      <c r="R335" s="113"/>
      <c r="S335" s="113"/>
      <c r="T335" s="113"/>
      <c r="U335" s="113"/>
      <c r="V335" s="113"/>
    </row>
    <row r="336" spans="1:22" x14ac:dyDescent="0.2">
      <c r="A336" s="113"/>
      <c r="B336" s="457">
        <f t="shared" si="26"/>
        <v>319</v>
      </c>
      <c r="C336" s="458">
        <f t="shared" si="23"/>
        <v>0</v>
      </c>
      <c r="D336" s="458">
        <f t="shared" si="27"/>
        <v>0</v>
      </c>
      <c r="E336" s="458">
        <f>IF(B336="","-",SUM($D$18:D336))</f>
        <v>0</v>
      </c>
      <c r="F336" s="458">
        <f t="shared" si="24"/>
        <v>0</v>
      </c>
      <c r="G336" s="458">
        <f>IF(B336="","-",SUM($F$18:F336))</f>
        <v>0</v>
      </c>
      <c r="H336" s="458">
        <f t="shared" si="25"/>
        <v>0</v>
      </c>
      <c r="I336" s="159"/>
      <c r="J336" s="113"/>
      <c r="K336" s="113"/>
      <c r="M336" s="113"/>
      <c r="N336" s="113"/>
      <c r="O336" s="113"/>
      <c r="P336" s="113"/>
      <c r="Q336" s="113"/>
      <c r="R336" s="113"/>
      <c r="S336" s="113"/>
      <c r="T336" s="113"/>
      <c r="U336" s="113"/>
      <c r="V336" s="113"/>
    </row>
    <row r="337" spans="1:22" x14ac:dyDescent="0.2">
      <c r="A337" s="113"/>
      <c r="B337" s="457">
        <f t="shared" si="26"/>
        <v>320</v>
      </c>
      <c r="C337" s="458">
        <f t="shared" si="23"/>
        <v>0</v>
      </c>
      <c r="D337" s="458">
        <f t="shared" si="27"/>
        <v>0</v>
      </c>
      <c r="E337" s="458">
        <f>IF(B337="","-",SUM($D$18:D337))</f>
        <v>0</v>
      </c>
      <c r="F337" s="458">
        <f t="shared" si="24"/>
        <v>0</v>
      </c>
      <c r="G337" s="458">
        <f>IF(B337="","-",SUM($F$18:F337))</f>
        <v>0</v>
      </c>
      <c r="H337" s="458">
        <f t="shared" si="25"/>
        <v>0</v>
      </c>
      <c r="I337" s="159"/>
      <c r="J337" s="113"/>
      <c r="K337" s="113"/>
      <c r="M337" s="113"/>
      <c r="N337" s="113"/>
      <c r="O337" s="113"/>
      <c r="P337" s="113"/>
      <c r="Q337" s="113"/>
      <c r="R337" s="113"/>
      <c r="S337" s="113"/>
      <c r="T337" s="113"/>
      <c r="U337" s="113"/>
      <c r="V337" s="113"/>
    </row>
    <row r="338" spans="1:22" x14ac:dyDescent="0.2">
      <c r="A338" s="113"/>
      <c r="B338" s="457">
        <f t="shared" si="26"/>
        <v>321</v>
      </c>
      <c r="C338" s="458">
        <f t="shared" ref="C338:C378" si="28">IF(B338="","-",$D$7)</f>
        <v>0</v>
      </c>
      <c r="D338" s="458">
        <f t="shared" si="27"/>
        <v>0</v>
      </c>
      <c r="E338" s="458">
        <f>IF(B338="","-",SUM($D$18:D338))</f>
        <v>0</v>
      </c>
      <c r="F338" s="458">
        <f t="shared" ref="F338:F378" si="29">IF(B338="","-",C338-D338)</f>
        <v>0</v>
      </c>
      <c r="G338" s="458">
        <f>IF(B338="","-",SUM($F$18:F338))</f>
        <v>0</v>
      </c>
      <c r="H338" s="458">
        <f t="shared" ref="H338:H378" si="30">IF(B338="","-",H337-F338)</f>
        <v>0</v>
      </c>
      <c r="I338" s="159"/>
      <c r="J338" s="113"/>
      <c r="K338" s="113"/>
      <c r="M338" s="113"/>
      <c r="N338" s="113"/>
      <c r="O338" s="113"/>
      <c r="P338" s="113"/>
      <c r="Q338" s="113"/>
      <c r="R338" s="113"/>
      <c r="S338" s="113"/>
      <c r="T338" s="113"/>
      <c r="U338" s="113"/>
      <c r="V338" s="113"/>
    </row>
    <row r="339" spans="1:22" x14ac:dyDescent="0.2">
      <c r="A339" s="113"/>
      <c r="B339" s="457">
        <f t="shared" ref="B339:B377" si="31">IF(B338&gt;=$D$5*12,"",B338+1)</f>
        <v>322</v>
      </c>
      <c r="C339" s="458">
        <f t="shared" si="28"/>
        <v>0</v>
      </c>
      <c r="D339" s="458">
        <f t="shared" ref="D339:D378" si="32">IF(B339="","-",$D$4/12*H338)</f>
        <v>0</v>
      </c>
      <c r="E339" s="458">
        <f>IF(B339="","-",SUM($D$18:D339))</f>
        <v>0</v>
      </c>
      <c r="F339" s="458">
        <f t="shared" si="29"/>
        <v>0</v>
      </c>
      <c r="G339" s="458">
        <f>IF(B339="","-",SUM($F$18:F339))</f>
        <v>0</v>
      </c>
      <c r="H339" s="458">
        <f t="shared" si="30"/>
        <v>0</v>
      </c>
      <c r="I339" s="159"/>
      <c r="J339" s="113"/>
      <c r="K339" s="113"/>
      <c r="M339" s="113"/>
      <c r="N339" s="113"/>
      <c r="O339" s="113"/>
      <c r="P339" s="113"/>
      <c r="Q339" s="113"/>
      <c r="R339" s="113"/>
      <c r="S339" s="113"/>
      <c r="T339" s="113"/>
      <c r="U339" s="113"/>
      <c r="V339" s="113"/>
    </row>
    <row r="340" spans="1:22" x14ac:dyDescent="0.2">
      <c r="A340" s="113"/>
      <c r="B340" s="457">
        <f t="shared" si="31"/>
        <v>323</v>
      </c>
      <c r="C340" s="458">
        <f t="shared" si="28"/>
        <v>0</v>
      </c>
      <c r="D340" s="458">
        <f t="shared" si="32"/>
        <v>0</v>
      </c>
      <c r="E340" s="458">
        <f>IF(B340="","-",SUM($D$18:D340))</f>
        <v>0</v>
      </c>
      <c r="F340" s="458">
        <f t="shared" si="29"/>
        <v>0</v>
      </c>
      <c r="G340" s="458">
        <f>IF(B340="","-",SUM($F$18:F340))</f>
        <v>0</v>
      </c>
      <c r="H340" s="458">
        <f t="shared" si="30"/>
        <v>0</v>
      </c>
      <c r="I340" s="159"/>
      <c r="J340" s="113"/>
      <c r="K340" s="113"/>
      <c r="M340" s="113"/>
      <c r="N340" s="113"/>
      <c r="O340" s="113"/>
      <c r="P340" s="113"/>
      <c r="Q340" s="113"/>
      <c r="R340" s="113"/>
      <c r="S340" s="113"/>
      <c r="T340" s="113"/>
      <c r="U340" s="113"/>
      <c r="V340" s="113"/>
    </row>
    <row r="341" spans="1:22" x14ac:dyDescent="0.2">
      <c r="A341" s="113"/>
      <c r="B341" s="457">
        <f t="shared" si="31"/>
        <v>324</v>
      </c>
      <c r="C341" s="458">
        <f t="shared" si="28"/>
        <v>0</v>
      </c>
      <c r="D341" s="458">
        <f t="shared" si="32"/>
        <v>0</v>
      </c>
      <c r="E341" s="458">
        <f>IF(B341="","-",SUM($D$18:D341))</f>
        <v>0</v>
      </c>
      <c r="F341" s="458">
        <f t="shared" si="29"/>
        <v>0</v>
      </c>
      <c r="G341" s="458">
        <f>IF(B341="","-",SUM($F$18:F341))</f>
        <v>0</v>
      </c>
      <c r="H341" s="458">
        <f t="shared" si="30"/>
        <v>0</v>
      </c>
      <c r="I341" s="159"/>
      <c r="J341" s="113"/>
      <c r="K341" s="113"/>
      <c r="M341" s="113"/>
      <c r="N341" s="113"/>
      <c r="O341" s="113"/>
      <c r="P341" s="113"/>
      <c r="Q341" s="113"/>
      <c r="R341" s="113"/>
      <c r="S341" s="113"/>
      <c r="T341" s="113"/>
      <c r="U341" s="113"/>
      <c r="V341" s="113"/>
    </row>
    <row r="342" spans="1:22" x14ac:dyDescent="0.2">
      <c r="A342" s="113"/>
      <c r="B342" s="457">
        <f t="shared" si="31"/>
        <v>325</v>
      </c>
      <c r="C342" s="458">
        <f t="shared" si="28"/>
        <v>0</v>
      </c>
      <c r="D342" s="458">
        <f t="shared" si="32"/>
        <v>0</v>
      </c>
      <c r="E342" s="458">
        <f>IF(B342="","-",SUM($D$18:D342))</f>
        <v>0</v>
      </c>
      <c r="F342" s="458">
        <f t="shared" si="29"/>
        <v>0</v>
      </c>
      <c r="G342" s="458">
        <f>IF(B342="","-",SUM($F$18:F342))</f>
        <v>0</v>
      </c>
      <c r="H342" s="458">
        <f t="shared" si="30"/>
        <v>0</v>
      </c>
      <c r="I342" s="159"/>
      <c r="J342" s="113"/>
      <c r="K342" s="113"/>
      <c r="M342" s="113"/>
      <c r="N342" s="113"/>
      <c r="O342" s="113"/>
      <c r="P342" s="113"/>
      <c r="Q342" s="113"/>
      <c r="R342" s="113"/>
      <c r="S342" s="113"/>
      <c r="T342" s="113"/>
      <c r="U342" s="113"/>
      <c r="V342" s="113"/>
    </row>
    <row r="343" spans="1:22" x14ac:dyDescent="0.2">
      <c r="A343" s="113"/>
      <c r="B343" s="457">
        <f t="shared" si="31"/>
        <v>326</v>
      </c>
      <c r="C343" s="458">
        <f t="shared" si="28"/>
        <v>0</v>
      </c>
      <c r="D343" s="458">
        <f t="shared" si="32"/>
        <v>0</v>
      </c>
      <c r="E343" s="458">
        <f>IF(B343="","-",SUM($D$18:D343))</f>
        <v>0</v>
      </c>
      <c r="F343" s="458">
        <f t="shared" si="29"/>
        <v>0</v>
      </c>
      <c r="G343" s="458">
        <f>IF(B343="","-",SUM($F$18:F343))</f>
        <v>0</v>
      </c>
      <c r="H343" s="458">
        <f t="shared" si="30"/>
        <v>0</v>
      </c>
      <c r="I343" s="159"/>
      <c r="J343" s="113"/>
      <c r="K343" s="113"/>
      <c r="M343" s="113"/>
      <c r="N343" s="113"/>
      <c r="O343" s="113"/>
      <c r="P343" s="113"/>
      <c r="Q343" s="113"/>
      <c r="R343" s="113"/>
      <c r="S343" s="113"/>
      <c r="T343" s="113"/>
      <c r="U343" s="113"/>
      <c r="V343" s="113"/>
    </row>
    <row r="344" spans="1:22" x14ac:dyDescent="0.2">
      <c r="A344" s="113"/>
      <c r="B344" s="457">
        <f t="shared" si="31"/>
        <v>327</v>
      </c>
      <c r="C344" s="458">
        <f t="shared" si="28"/>
        <v>0</v>
      </c>
      <c r="D344" s="458">
        <f t="shared" si="32"/>
        <v>0</v>
      </c>
      <c r="E344" s="458">
        <f>IF(B344="","-",SUM($D$18:D344))</f>
        <v>0</v>
      </c>
      <c r="F344" s="458">
        <f t="shared" si="29"/>
        <v>0</v>
      </c>
      <c r="G344" s="458">
        <f>IF(B344="","-",SUM($F$18:F344))</f>
        <v>0</v>
      </c>
      <c r="H344" s="458">
        <f t="shared" si="30"/>
        <v>0</v>
      </c>
      <c r="I344" s="159"/>
      <c r="J344" s="113"/>
      <c r="K344" s="113"/>
      <c r="M344" s="113"/>
      <c r="N344" s="113"/>
      <c r="O344" s="113"/>
      <c r="P344" s="113"/>
      <c r="Q344" s="113"/>
      <c r="R344" s="113"/>
      <c r="S344" s="113"/>
      <c r="T344" s="113"/>
      <c r="U344" s="113"/>
      <c r="V344" s="113"/>
    </row>
    <row r="345" spans="1:22" x14ac:dyDescent="0.2">
      <c r="A345" s="113"/>
      <c r="B345" s="457">
        <f t="shared" si="31"/>
        <v>328</v>
      </c>
      <c r="C345" s="458">
        <f t="shared" si="28"/>
        <v>0</v>
      </c>
      <c r="D345" s="458">
        <f t="shared" si="32"/>
        <v>0</v>
      </c>
      <c r="E345" s="458">
        <f>IF(B345="","-",SUM($D$18:D345))</f>
        <v>0</v>
      </c>
      <c r="F345" s="458">
        <f t="shared" si="29"/>
        <v>0</v>
      </c>
      <c r="G345" s="458">
        <f>IF(B345="","-",SUM($F$18:F345))</f>
        <v>0</v>
      </c>
      <c r="H345" s="458">
        <f t="shared" si="30"/>
        <v>0</v>
      </c>
      <c r="I345" s="159"/>
      <c r="J345" s="113"/>
      <c r="K345" s="113"/>
      <c r="M345" s="113"/>
      <c r="N345" s="113"/>
      <c r="O345" s="113"/>
      <c r="P345" s="113"/>
      <c r="Q345" s="113"/>
      <c r="R345" s="113"/>
      <c r="S345" s="113"/>
      <c r="T345" s="113"/>
      <c r="U345" s="113"/>
      <c r="V345" s="113"/>
    </row>
    <row r="346" spans="1:22" x14ac:dyDescent="0.2">
      <c r="A346" s="113"/>
      <c r="B346" s="457">
        <f t="shared" si="31"/>
        <v>329</v>
      </c>
      <c r="C346" s="458">
        <f t="shared" si="28"/>
        <v>0</v>
      </c>
      <c r="D346" s="458">
        <f t="shared" si="32"/>
        <v>0</v>
      </c>
      <c r="E346" s="458">
        <f>IF(B346="","-",SUM($D$18:D346))</f>
        <v>0</v>
      </c>
      <c r="F346" s="458">
        <f t="shared" si="29"/>
        <v>0</v>
      </c>
      <c r="G346" s="458">
        <f>IF(B346="","-",SUM($F$18:F346))</f>
        <v>0</v>
      </c>
      <c r="H346" s="458">
        <f t="shared" si="30"/>
        <v>0</v>
      </c>
      <c r="I346" s="159"/>
      <c r="J346" s="113"/>
      <c r="K346" s="113"/>
      <c r="M346" s="113"/>
      <c r="N346" s="113"/>
      <c r="O346" s="113"/>
      <c r="P346" s="113"/>
      <c r="Q346" s="113"/>
      <c r="R346" s="113"/>
      <c r="S346" s="113"/>
      <c r="T346" s="113"/>
      <c r="U346" s="113"/>
      <c r="V346" s="113"/>
    </row>
    <row r="347" spans="1:22" x14ac:dyDescent="0.2">
      <c r="A347" s="113"/>
      <c r="B347" s="457">
        <f t="shared" si="31"/>
        <v>330</v>
      </c>
      <c r="C347" s="458">
        <f t="shared" si="28"/>
        <v>0</v>
      </c>
      <c r="D347" s="458">
        <f t="shared" si="32"/>
        <v>0</v>
      </c>
      <c r="E347" s="458">
        <f>IF(B347="","-",SUM($D$18:D347))</f>
        <v>0</v>
      </c>
      <c r="F347" s="458">
        <f t="shared" si="29"/>
        <v>0</v>
      </c>
      <c r="G347" s="458">
        <f>IF(B347="","-",SUM($F$18:F347))</f>
        <v>0</v>
      </c>
      <c r="H347" s="458">
        <f t="shared" si="30"/>
        <v>0</v>
      </c>
      <c r="I347" s="159"/>
      <c r="J347" s="113"/>
      <c r="K347" s="113"/>
      <c r="M347" s="113"/>
      <c r="N347" s="113"/>
      <c r="O347" s="113"/>
      <c r="P347" s="113"/>
      <c r="Q347" s="113"/>
      <c r="R347" s="113"/>
      <c r="S347" s="113"/>
      <c r="T347" s="113"/>
      <c r="U347" s="113"/>
      <c r="V347" s="113"/>
    </row>
    <row r="348" spans="1:22" x14ac:dyDescent="0.2">
      <c r="A348" s="113"/>
      <c r="B348" s="457">
        <f t="shared" si="31"/>
        <v>331</v>
      </c>
      <c r="C348" s="458">
        <f t="shared" si="28"/>
        <v>0</v>
      </c>
      <c r="D348" s="458">
        <f t="shared" si="32"/>
        <v>0</v>
      </c>
      <c r="E348" s="458">
        <f>IF(B348="","-",SUM($D$18:D348))</f>
        <v>0</v>
      </c>
      <c r="F348" s="458">
        <f t="shared" si="29"/>
        <v>0</v>
      </c>
      <c r="G348" s="458">
        <f>IF(B348="","-",SUM($F$18:F348))</f>
        <v>0</v>
      </c>
      <c r="H348" s="458">
        <f t="shared" si="30"/>
        <v>0</v>
      </c>
      <c r="I348" s="159"/>
      <c r="J348" s="113"/>
      <c r="K348" s="113"/>
      <c r="M348" s="113"/>
      <c r="N348" s="113"/>
      <c r="O348" s="113"/>
      <c r="P348" s="113"/>
      <c r="Q348" s="113"/>
      <c r="R348" s="113"/>
      <c r="S348" s="113"/>
      <c r="T348" s="113"/>
      <c r="U348" s="113"/>
      <c r="V348" s="113"/>
    </row>
    <row r="349" spans="1:22" x14ac:dyDescent="0.2">
      <c r="A349" s="113"/>
      <c r="B349" s="457">
        <f t="shared" si="31"/>
        <v>332</v>
      </c>
      <c r="C349" s="458">
        <f t="shared" si="28"/>
        <v>0</v>
      </c>
      <c r="D349" s="458">
        <f t="shared" si="32"/>
        <v>0</v>
      </c>
      <c r="E349" s="458">
        <f>IF(B349="","-",SUM($D$18:D349))</f>
        <v>0</v>
      </c>
      <c r="F349" s="458">
        <f t="shared" si="29"/>
        <v>0</v>
      </c>
      <c r="G349" s="458">
        <f>IF(B349="","-",SUM($F$18:F349))</f>
        <v>0</v>
      </c>
      <c r="H349" s="458">
        <f t="shared" si="30"/>
        <v>0</v>
      </c>
      <c r="I349" s="159"/>
      <c r="J349" s="113"/>
      <c r="K349" s="113"/>
      <c r="M349" s="113"/>
      <c r="N349" s="113"/>
      <c r="O349" s="113"/>
      <c r="P349" s="113"/>
      <c r="Q349" s="113"/>
      <c r="R349" s="113"/>
      <c r="S349" s="113"/>
      <c r="T349" s="113"/>
      <c r="U349" s="113"/>
      <c r="V349" s="113"/>
    </row>
    <row r="350" spans="1:22" x14ac:dyDescent="0.2">
      <c r="A350" s="113"/>
      <c r="B350" s="457">
        <f t="shared" si="31"/>
        <v>333</v>
      </c>
      <c r="C350" s="458">
        <f t="shared" si="28"/>
        <v>0</v>
      </c>
      <c r="D350" s="458">
        <f t="shared" si="32"/>
        <v>0</v>
      </c>
      <c r="E350" s="458">
        <f>IF(B350="","-",SUM($D$18:D350))</f>
        <v>0</v>
      </c>
      <c r="F350" s="458">
        <f t="shared" si="29"/>
        <v>0</v>
      </c>
      <c r="G350" s="458">
        <f>IF(B350="","-",SUM($F$18:F350))</f>
        <v>0</v>
      </c>
      <c r="H350" s="458">
        <f t="shared" si="30"/>
        <v>0</v>
      </c>
      <c r="I350" s="159"/>
      <c r="J350" s="113"/>
      <c r="K350" s="113"/>
      <c r="M350" s="113"/>
      <c r="N350" s="113"/>
      <c r="O350" s="113"/>
      <c r="P350" s="113"/>
      <c r="Q350" s="113"/>
      <c r="R350" s="113"/>
      <c r="S350" s="113"/>
      <c r="T350" s="113"/>
      <c r="U350" s="113"/>
      <c r="V350" s="113"/>
    </row>
    <row r="351" spans="1:22" x14ac:dyDescent="0.2">
      <c r="A351" s="113"/>
      <c r="B351" s="457">
        <f t="shared" si="31"/>
        <v>334</v>
      </c>
      <c r="C351" s="458">
        <f t="shared" si="28"/>
        <v>0</v>
      </c>
      <c r="D351" s="458">
        <f t="shared" si="32"/>
        <v>0</v>
      </c>
      <c r="E351" s="458">
        <f>IF(B351="","-",SUM($D$18:D351))</f>
        <v>0</v>
      </c>
      <c r="F351" s="458">
        <f t="shared" si="29"/>
        <v>0</v>
      </c>
      <c r="G351" s="458">
        <f>IF(B351="","-",SUM($F$18:F351))</f>
        <v>0</v>
      </c>
      <c r="H351" s="458">
        <f t="shared" si="30"/>
        <v>0</v>
      </c>
      <c r="I351" s="159"/>
      <c r="J351" s="113"/>
      <c r="K351" s="113"/>
      <c r="M351" s="113"/>
      <c r="N351" s="113"/>
      <c r="O351" s="113"/>
      <c r="P351" s="113"/>
      <c r="Q351" s="113"/>
      <c r="R351" s="113"/>
      <c r="S351" s="113"/>
      <c r="T351" s="113"/>
      <c r="U351" s="113"/>
      <c r="V351" s="113"/>
    </row>
    <row r="352" spans="1:22" x14ac:dyDescent="0.2">
      <c r="A352" s="113"/>
      <c r="B352" s="457">
        <f t="shared" si="31"/>
        <v>335</v>
      </c>
      <c r="C352" s="458">
        <f t="shared" si="28"/>
        <v>0</v>
      </c>
      <c r="D352" s="458">
        <f t="shared" si="32"/>
        <v>0</v>
      </c>
      <c r="E352" s="458">
        <f>IF(B352="","-",SUM($D$18:D352))</f>
        <v>0</v>
      </c>
      <c r="F352" s="458">
        <f t="shared" si="29"/>
        <v>0</v>
      </c>
      <c r="G352" s="458">
        <f>IF(B352="","-",SUM($F$18:F352))</f>
        <v>0</v>
      </c>
      <c r="H352" s="458">
        <f t="shared" si="30"/>
        <v>0</v>
      </c>
      <c r="I352" s="159"/>
      <c r="J352" s="113"/>
      <c r="K352" s="113"/>
      <c r="M352" s="113"/>
      <c r="N352" s="113"/>
      <c r="O352" s="113"/>
      <c r="P352" s="113"/>
      <c r="Q352" s="113"/>
      <c r="R352" s="113"/>
      <c r="S352" s="113"/>
      <c r="T352" s="113"/>
      <c r="U352" s="113"/>
      <c r="V352" s="113"/>
    </row>
    <row r="353" spans="1:22" x14ac:dyDescent="0.2">
      <c r="A353" s="113"/>
      <c r="B353" s="457">
        <f t="shared" si="31"/>
        <v>336</v>
      </c>
      <c r="C353" s="458">
        <f t="shared" si="28"/>
        <v>0</v>
      </c>
      <c r="D353" s="458">
        <f t="shared" si="32"/>
        <v>0</v>
      </c>
      <c r="E353" s="458">
        <f>IF(B353="","-",SUM($D$18:D353))</f>
        <v>0</v>
      </c>
      <c r="F353" s="458">
        <f t="shared" si="29"/>
        <v>0</v>
      </c>
      <c r="G353" s="458">
        <f>IF(B353="","-",SUM($F$18:F353))</f>
        <v>0</v>
      </c>
      <c r="H353" s="458">
        <f t="shared" si="30"/>
        <v>0</v>
      </c>
      <c r="I353" s="159"/>
      <c r="J353" s="113"/>
      <c r="K353" s="113"/>
      <c r="M353" s="113"/>
      <c r="N353" s="113"/>
      <c r="O353" s="113"/>
      <c r="P353" s="113"/>
      <c r="Q353" s="113"/>
      <c r="R353" s="113"/>
      <c r="S353" s="113"/>
      <c r="T353" s="113"/>
      <c r="U353" s="113"/>
      <c r="V353" s="113"/>
    </row>
    <row r="354" spans="1:22" x14ac:dyDescent="0.2">
      <c r="A354" s="113"/>
      <c r="B354" s="457">
        <f t="shared" si="31"/>
        <v>337</v>
      </c>
      <c r="C354" s="458">
        <f t="shared" si="28"/>
        <v>0</v>
      </c>
      <c r="D354" s="458">
        <f t="shared" si="32"/>
        <v>0</v>
      </c>
      <c r="E354" s="458">
        <f>IF(B354="","-",SUM($D$18:D354))</f>
        <v>0</v>
      </c>
      <c r="F354" s="458">
        <f t="shared" si="29"/>
        <v>0</v>
      </c>
      <c r="G354" s="458">
        <f>IF(B354="","-",SUM($F$18:F354))</f>
        <v>0</v>
      </c>
      <c r="H354" s="458">
        <f t="shared" si="30"/>
        <v>0</v>
      </c>
      <c r="I354" s="159"/>
      <c r="J354" s="113"/>
      <c r="K354" s="113"/>
      <c r="M354" s="113"/>
      <c r="N354" s="113"/>
      <c r="O354" s="113"/>
      <c r="P354" s="113"/>
      <c r="Q354" s="113"/>
      <c r="R354" s="113"/>
      <c r="S354" s="113"/>
      <c r="T354" s="113"/>
      <c r="U354" s="113"/>
      <c r="V354" s="113"/>
    </row>
    <row r="355" spans="1:22" x14ac:dyDescent="0.2">
      <c r="A355" s="113"/>
      <c r="B355" s="457">
        <f t="shared" si="31"/>
        <v>338</v>
      </c>
      <c r="C355" s="458">
        <f t="shared" si="28"/>
        <v>0</v>
      </c>
      <c r="D355" s="458">
        <f t="shared" si="32"/>
        <v>0</v>
      </c>
      <c r="E355" s="458">
        <f>IF(B355="","-",SUM($D$18:D355))</f>
        <v>0</v>
      </c>
      <c r="F355" s="458">
        <f t="shared" si="29"/>
        <v>0</v>
      </c>
      <c r="G355" s="458">
        <f>IF(B355="","-",SUM($F$18:F355))</f>
        <v>0</v>
      </c>
      <c r="H355" s="458">
        <f t="shared" si="30"/>
        <v>0</v>
      </c>
      <c r="I355" s="159"/>
      <c r="J355" s="113"/>
      <c r="K355" s="113"/>
      <c r="M355" s="113"/>
      <c r="N355" s="113"/>
      <c r="O355" s="113"/>
      <c r="P355" s="113"/>
      <c r="Q355" s="113"/>
      <c r="R355" s="113"/>
      <c r="S355" s="113"/>
      <c r="T355" s="113"/>
      <c r="U355" s="113"/>
      <c r="V355" s="113"/>
    </row>
    <row r="356" spans="1:22" x14ac:dyDescent="0.2">
      <c r="A356" s="113"/>
      <c r="B356" s="457">
        <f t="shared" si="31"/>
        <v>339</v>
      </c>
      <c r="C356" s="458">
        <f t="shared" si="28"/>
        <v>0</v>
      </c>
      <c r="D356" s="458">
        <f t="shared" si="32"/>
        <v>0</v>
      </c>
      <c r="E356" s="458">
        <f>IF(B356="","-",SUM($D$18:D356))</f>
        <v>0</v>
      </c>
      <c r="F356" s="458">
        <f t="shared" si="29"/>
        <v>0</v>
      </c>
      <c r="G356" s="458">
        <f>IF(B356="","-",SUM($F$18:F356))</f>
        <v>0</v>
      </c>
      <c r="H356" s="458">
        <f t="shared" si="30"/>
        <v>0</v>
      </c>
      <c r="I356" s="159"/>
      <c r="J356" s="113"/>
      <c r="K356" s="113"/>
      <c r="M356" s="113"/>
      <c r="N356" s="113"/>
      <c r="O356" s="113"/>
      <c r="P356" s="113"/>
      <c r="Q356" s="113"/>
      <c r="R356" s="113"/>
      <c r="S356" s="113"/>
      <c r="T356" s="113"/>
      <c r="U356" s="113"/>
      <c r="V356" s="113"/>
    </row>
    <row r="357" spans="1:22" x14ac:dyDescent="0.2">
      <c r="A357" s="113"/>
      <c r="B357" s="457">
        <f t="shared" si="31"/>
        <v>340</v>
      </c>
      <c r="C357" s="458">
        <f t="shared" si="28"/>
        <v>0</v>
      </c>
      <c r="D357" s="458">
        <f t="shared" si="32"/>
        <v>0</v>
      </c>
      <c r="E357" s="458">
        <f>IF(B357="","-",SUM($D$18:D357))</f>
        <v>0</v>
      </c>
      <c r="F357" s="458">
        <f t="shared" si="29"/>
        <v>0</v>
      </c>
      <c r="G357" s="458">
        <f>IF(B357="","-",SUM($F$18:F357))</f>
        <v>0</v>
      </c>
      <c r="H357" s="458">
        <f t="shared" si="30"/>
        <v>0</v>
      </c>
      <c r="I357" s="159"/>
      <c r="J357" s="113"/>
      <c r="K357" s="113"/>
      <c r="M357" s="113"/>
      <c r="N357" s="113"/>
      <c r="O357" s="113"/>
      <c r="P357" s="113"/>
      <c r="Q357" s="113"/>
      <c r="R357" s="113"/>
      <c r="S357" s="113"/>
      <c r="T357" s="113"/>
      <c r="U357" s="113"/>
      <c r="V357" s="113"/>
    </row>
    <row r="358" spans="1:22" x14ac:dyDescent="0.2">
      <c r="A358" s="113"/>
      <c r="B358" s="457">
        <f t="shared" si="31"/>
        <v>341</v>
      </c>
      <c r="C358" s="458">
        <f t="shared" si="28"/>
        <v>0</v>
      </c>
      <c r="D358" s="458">
        <f t="shared" si="32"/>
        <v>0</v>
      </c>
      <c r="E358" s="458">
        <f>IF(B358="","-",SUM($D$18:D358))</f>
        <v>0</v>
      </c>
      <c r="F358" s="458">
        <f t="shared" si="29"/>
        <v>0</v>
      </c>
      <c r="G358" s="458">
        <f>IF(B358="","-",SUM($F$18:F358))</f>
        <v>0</v>
      </c>
      <c r="H358" s="458">
        <f t="shared" si="30"/>
        <v>0</v>
      </c>
      <c r="I358" s="159"/>
      <c r="J358" s="113"/>
      <c r="K358" s="113"/>
      <c r="M358" s="113"/>
      <c r="N358" s="113"/>
      <c r="O358" s="113"/>
      <c r="P358" s="113"/>
      <c r="Q358" s="113"/>
      <c r="R358" s="113"/>
      <c r="S358" s="113"/>
      <c r="T358" s="113"/>
      <c r="U358" s="113"/>
      <c r="V358" s="113"/>
    </row>
    <row r="359" spans="1:22" x14ac:dyDescent="0.2">
      <c r="A359" s="113"/>
      <c r="B359" s="457">
        <f t="shared" si="31"/>
        <v>342</v>
      </c>
      <c r="C359" s="458">
        <f t="shared" si="28"/>
        <v>0</v>
      </c>
      <c r="D359" s="458">
        <f t="shared" si="32"/>
        <v>0</v>
      </c>
      <c r="E359" s="458">
        <f>IF(B359="","-",SUM($D$18:D359))</f>
        <v>0</v>
      </c>
      <c r="F359" s="458">
        <f t="shared" si="29"/>
        <v>0</v>
      </c>
      <c r="G359" s="458">
        <f>IF(B359="","-",SUM($F$18:F359))</f>
        <v>0</v>
      </c>
      <c r="H359" s="458">
        <f t="shared" si="30"/>
        <v>0</v>
      </c>
      <c r="I359" s="159"/>
      <c r="J359" s="113"/>
      <c r="K359" s="113"/>
      <c r="M359" s="113"/>
      <c r="N359" s="113"/>
      <c r="O359" s="113"/>
      <c r="P359" s="113"/>
      <c r="Q359" s="113"/>
      <c r="R359" s="113"/>
      <c r="S359" s="113"/>
      <c r="T359" s="113"/>
      <c r="U359" s="113"/>
      <c r="V359" s="113"/>
    </row>
    <row r="360" spans="1:22" x14ac:dyDescent="0.2">
      <c r="A360" s="113"/>
      <c r="B360" s="457">
        <f t="shared" si="31"/>
        <v>343</v>
      </c>
      <c r="C360" s="458">
        <f t="shared" si="28"/>
        <v>0</v>
      </c>
      <c r="D360" s="458">
        <f t="shared" si="32"/>
        <v>0</v>
      </c>
      <c r="E360" s="458">
        <f>IF(B360="","-",SUM($D$18:D360))</f>
        <v>0</v>
      </c>
      <c r="F360" s="458">
        <f t="shared" si="29"/>
        <v>0</v>
      </c>
      <c r="G360" s="458">
        <f>IF(B360="","-",SUM($F$18:F360))</f>
        <v>0</v>
      </c>
      <c r="H360" s="458">
        <f t="shared" si="30"/>
        <v>0</v>
      </c>
      <c r="I360" s="159"/>
      <c r="J360" s="113"/>
      <c r="K360" s="113"/>
      <c r="M360" s="113"/>
      <c r="N360" s="113"/>
      <c r="O360" s="113"/>
      <c r="P360" s="113"/>
      <c r="Q360" s="113"/>
      <c r="R360" s="113"/>
      <c r="S360" s="113"/>
      <c r="T360" s="113"/>
      <c r="U360" s="113"/>
      <c r="V360" s="113"/>
    </row>
    <row r="361" spans="1:22" x14ac:dyDescent="0.2">
      <c r="A361" s="113"/>
      <c r="B361" s="457">
        <f t="shared" si="31"/>
        <v>344</v>
      </c>
      <c r="C361" s="458">
        <f t="shared" si="28"/>
        <v>0</v>
      </c>
      <c r="D361" s="458">
        <f t="shared" si="32"/>
        <v>0</v>
      </c>
      <c r="E361" s="458">
        <f>IF(B361="","-",SUM($D$18:D361))</f>
        <v>0</v>
      </c>
      <c r="F361" s="458">
        <f t="shared" si="29"/>
        <v>0</v>
      </c>
      <c r="G361" s="458">
        <f>IF(B361="","-",SUM($F$18:F361))</f>
        <v>0</v>
      </c>
      <c r="H361" s="458">
        <f t="shared" si="30"/>
        <v>0</v>
      </c>
      <c r="I361" s="159"/>
      <c r="J361" s="113"/>
      <c r="K361" s="113"/>
      <c r="M361" s="113"/>
      <c r="N361" s="113"/>
      <c r="O361" s="113"/>
      <c r="P361" s="113"/>
      <c r="Q361" s="113"/>
      <c r="R361" s="113"/>
      <c r="S361" s="113"/>
      <c r="T361" s="113"/>
      <c r="U361" s="113"/>
      <c r="V361" s="113"/>
    </row>
    <row r="362" spans="1:22" x14ac:dyDescent="0.2">
      <c r="A362" s="113"/>
      <c r="B362" s="457">
        <f t="shared" si="31"/>
        <v>345</v>
      </c>
      <c r="C362" s="458">
        <f t="shared" si="28"/>
        <v>0</v>
      </c>
      <c r="D362" s="458">
        <f t="shared" si="32"/>
        <v>0</v>
      </c>
      <c r="E362" s="458">
        <f>IF(B362="","-",SUM($D$18:D362))</f>
        <v>0</v>
      </c>
      <c r="F362" s="458">
        <f t="shared" si="29"/>
        <v>0</v>
      </c>
      <c r="G362" s="458">
        <f>IF(B362="","-",SUM($F$18:F362))</f>
        <v>0</v>
      </c>
      <c r="H362" s="458">
        <f t="shared" si="30"/>
        <v>0</v>
      </c>
      <c r="I362" s="159"/>
      <c r="J362" s="113"/>
      <c r="K362" s="113"/>
      <c r="M362" s="113"/>
      <c r="N362" s="113"/>
      <c r="O362" s="113"/>
      <c r="P362" s="113"/>
      <c r="Q362" s="113"/>
      <c r="R362" s="113"/>
      <c r="S362" s="113"/>
      <c r="T362" s="113"/>
      <c r="U362" s="113"/>
      <c r="V362" s="113"/>
    </row>
    <row r="363" spans="1:22" x14ac:dyDescent="0.2">
      <c r="A363" s="113"/>
      <c r="B363" s="457">
        <f t="shared" si="31"/>
        <v>346</v>
      </c>
      <c r="C363" s="458">
        <f t="shared" si="28"/>
        <v>0</v>
      </c>
      <c r="D363" s="458">
        <f t="shared" si="32"/>
        <v>0</v>
      </c>
      <c r="E363" s="458">
        <f>IF(B363="","-",SUM($D$18:D363))</f>
        <v>0</v>
      </c>
      <c r="F363" s="458">
        <f t="shared" si="29"/>
        <v>0</v>
      </c>
      <c r="G363" s="458">
        <f>IF(B363="","-",SUM($F$18:F363))</f>
        <v>0</v>
      </c>
      <c r="H363" s="458">
        <f t="shared" si="30"/>
        <v>0</v>
      </c>
      <c r="I363" s="159"/>
      <c r="J363" s="113"/>
      <c r="K363" s="113"/>
      <c r="M363" s="113"/>
      <c r="N363" s="113"/>
      <c r="O363" s="113"/>
      <c r="P363" s="113"/>
      <c r="Q363" s="113"/>
      <c r="R363" s="113"/>
      <c r="S363" s="113"/>
      <c r="T363" s="113"/>
      <c r="U363" s="113"/>
      <c r="V363" s="113"/>
    </row>
    <row r="364" spans="1:22" x14ac:dyDescent="0.2">
      <c r="A364" s="113"/>
      <c r="B364" s="457">
        <f t="shared" si="31"/>
        <v>347</v>
      </c>
      <c r="C364" s="458">
        <f t="shared" si="28"/>
        <v>0</v>
      </c>
      <c r="D364" s="458">
        <f t="shared" si="32"/>
        <v>0</v>
      </c>
      <c r="E364" s="458">
        <f>IF(B364="","-",SUM($D$18:D364))</f>
        <v>0</v>
      </c>
      <c r="F364" s="458">
        <f t="shared" si="29"/>
        <v>0</v>
      </c>
      <c r="G364" s="458">
        <f>IF(B364="","-",SUM($F$18:F364))</f>
        <v>0</v>
      </c>
      <c r="H364" s="458">
        <f t="shared" si="30"/>
        <v>0</v>
      </c>
      <c r="I364" s="159"/>
      <c r="J364" s="113"/>
      <c r="K364" s="113"/>
      <c r="M364" s="113"/>
      <c r="N364" s="113"/>
      <c r="O364" s="113"/>
      <c r="P364" s="113"/>
      <c r="Q364" s="113"/>
      <c r="R364" s="113"/>
      <c r="S364" s="113"/>
      <c r="T364" s="113"/>
      <c r="U364" s="113"/>
      <c r="V364" s="113"/>
    </row>
    <row r="365" spans="1:22" x14ac:dyDescent="0.2">
      <c r="A365" s="113"/>
      <c r="B365" s="457">
        <f t="shared" si="31"/>
        <v>348</v>
      </c>
      <c r="C365" s="458">
        <f t="shared" si="28"/>
        <v>0</v>
      </c>
      <c r="D365" s="458">
        <f t="shared" si="32"/>
        <v>0</v>
      </c>
      <c r="E365" s="458">
        <f>IF(B365="","-",SUM($D$18:D365))</f>
        <v>0</v>
      </c>
      <c r="F365" s="458">
        <f t="shared" si="29"/>
        <v>0</v>
      </c>
      <c r="G365" s="458">
        <f>IF(B365="","-",SUM($F$18:F365))</f>
        <v>0</v>
      </c>
      <c r="H365" s="458">
        <f t="shared" si="30"/>
        <v>0</v>
      </c>
      <c r="I365" s="159"/>
      <c r="J365" s="113"/>
      <c r="K365" s="113"/>
      <c r="M365" s="113"/>
      <c r="N365" s="113"/>
      <c r="O365" s="113"/>
      <c r="P365" s="113"/>
      <c r="Q365" s="113"/>
      <c r="R365" s="113"/>
      <c r="S365" s="113"/>
      <c r="T365" s="113"/>
      <c r="U365" s="113"/>
      <c r="V365" s="113"/>
    </row>
    <row r="366" spans="1:22" x14ac:dyDescent="0.2">
      <c r="A366" s="113"/>
      <c r="B366" s="457">
        <f t="shared" si="31"/>
        <v>349</v>
      </c>
      <c r="C366" s="458">
        <f t="shared" si="28"/>
        <v>0</v>
      </c>
      <c r="D366" s="458">
        <f t="shared" si="32"/>
        <v>0</v>
      </c>
      <c r="E366" s="458">
        <f>IF(B366="","-",SUM($D$18:D366))</f>
        <v>0</v>
      </c>
      <c r="F366" s="458">
        <f t="shared" si="29"/>
        <v>0</v>
      </c>
      <c r="G366" s="458">
        <f>IF(B366="","-",SUM($F$18:F366))</f>
        <v>0</v>
      </c>
      <c r="H366" s="458">
        <f t="shared" si="30"/>
        <v>0</v>
      </c>
      <c r="I366" s="159"/>
      <c r="J366" s="113"/>
      <c r="K366" s="113"/>
      <c r="M366" s="113"/>
      <c r="N366" s="113"/>
      <c r="O366" s="113"/>
      <c r="P366" s="113"/>
      <c r="Q366" s="113"/>
      <c r="R366" s="113"/>
      <c r="S366" s="113"/>
      <c r="T366" s="113"/>
      <c r="U366" s="113"/>
      <c r="V366" s="113"/>
    </row>
    <row r="367" spans="1:22" x14ac:dyDescent="0.2">
      <c r="A367" s="113"/>
      <c r="B367" s="457">
        <f t="shared" si="31"/>
        <v>350</v>
      </c>
      <c r="C367" s="458">
        <f t="shared" si="28"/>
        <v>0</v>
      </c>
      <c r="D367" s="458">
        <f t="shared" si="32"/>
        <v>0</v>
      </c>
      <c r="E367" s="458">
        <f>IF(B367="","-",SUM($D$18:D367))</f>
        <v>0</v>
      </c>
      <c r="F367" s="458">
        <f t="shared" si="29"/>
        <v>0</v>
      </c>
      <c r="G367" s="458">
        <f>IF(B367="","-",SUM($F$18:F367))</f>
        <v>0</v>
      </c>
      <c r="H367" s="458">
        <f t="shared" si="30"/>
        <v>0</v>
      </c>
      <c r="I367" s="159"/>
      <c r="J367" s="113"/>
      <c r="K367" s="113"/>
      <c r="M367" s="113"/>
      <c r="N367" s="113"/>
      <c r="O367" s="113"/>
      <c r="P367" s="113"/>
      <c r="Q367" s="113"/>
      <c r="R367" s="113"/>
      <c r="S367" s="113"/>
      <c r="T367" s="113"/>
      <c r="U367" s="113"/>
      <c r="V367" s="113"/>
    </row>
    <row r="368" spans="1:22" x14ac:dyDescent="0.2">
      <c r="A368" s="113"/>
      <c r="B368" s="457">
        <f t="shared" si="31"/>
        <v>351</v>
      </c>
      <c r="C368" s="458">
        <f t="shared" si="28"/>
        <v>0</v>
      </c>
      <c r="D368" s="458">
        <f t="shared" si="32"/>
        <v>0</v>
      </c>
      <c r="E368" s="458">
        <f>IF(B368="","-",SUM($D$18:D368))</f>
        <v>0</v>
      </c>
      <c r="F368" s="458">
        <f t="shared" si="29"/>
        <v>0</v>
      </c>
      <c r="G368" s="458">
        <f>IF(B368="","-",SUM($F$18:F368))</f>
        <v>0</v>
      </c>
      <c r="H368" s="458">
        <f t="shared" si="30"/>
        <v>0</v>
      </c>
      <c r="I368" s="159"/>
      <c r="J368" s="113"/>
      <c r="K368" s="113"/>
      <c r="M368" s="113"/>
      <c r="N368" s="113"/>
      <c r="O368" s="113"/>
      <c r="P368" s="113"/>
      <c r="Q368" s="113"/>
      <c r="R368" s="113"/>
      <c r="S368" s="113"/>
      <c r="T368" s="113"/>
      <c r="U368" s="113"/>
      <c r="V368" s="113"/>
    </row>
    <row r="369" spans="1:22" x14ac:dyDescent="0.2">
      <c r="A369" s="113"/>
      <c r="B369" s="457">
        <f t="shared" si="31"/>
        <v>352</v>
      </c>
      <c r="C369" s="458">
        <f t="shared" si="28"/>
        <v>0</v>
      </c>
      <c r="D369" s="458">
        <f t="shared" si="32"/>
        <v>0</v>
      </c>
      <c r="E369" s="458">
        <f>IF(B369="","-",SUM($D$18:D369))</f>
        <v>0</v>
      </c>
      <c r="F369" s="458">
        <f t="shared" si="29"/>
        <v>0</v>
      </c>
      <c r="G369" s="458">
        <f>IF(B369="","-",SUM($F$18:F369))</f>
        <v>0</v>
      </c>
      <c r="H369" s="458">
        <f t="shared" si="30"/>
        <v>0</v>
      </c>
      <c r="I369" s="159"/>
      <c r="J369" s="113"/>
      <c r="K369" s="113"/>
      <c r="M369" s="113"/>
      <c r="N369" s="113"/>
      <c r="O369" s="113"/>
      <c r="P369" s="113"/>
      <c r="Q369" s="113"/>
      <c r="R369" s="113"/>
      <c r="S369" s="113"/>
      <c r="T369" s="113"/>
      <c r="U369" s="113"/>
      <c r="V369" s="113"/>
    </row>
    <row r="370" spans="1:22" x14ac:dyDescent="0.2">
      <c r="A370" s="113"/>
      <c r="B370" s="457">
        <f t="shared" si="31"/>
        <v>353</v>
      </c>
      <c r="C370" s="458">
        <f t="shared" si="28"/>
        <v>0</v>
      </c>
      <c r="D370" s="458">
        <f t="shared" si="32"/>
        <v>0</v>
      </c>
      <c r="E370" s="458">
        <f>IF(B370="","-",SUM($D$18:D370))</f>
        <v>0</v>
      </c>
      <c r="F370" s="458">
        <f t="shared" si="29"/>
        <v>0</v>
      </c>
      <c r="G370" s="458">
        <f>IF(B370="","-",SUM($F$18:F370))</f>
        <v>0</v>
      </c>
      <c r="H370" s="458">
        <f t="shared" si="30"/>
        <v>0</v>
      </c>
      <c r="I370" s="159"/>
      <c r="J370" s="113"/>
      <c r="K370" s="113"/>
      <c r="M370" s="113"/>
      <c r="N370" s="113"/>
      <c r="O370" s="113"/>
      <c r="P370" s="113"/>
      <c r="Q370" s="113"/>
      <c r="R370" s="113"/>
      <c r="S370" s="113"/>
      <c r="T370" s="113"/>
      <c r="U370" s="113"/>
      <c r="V370" s="113"/>
    </row>
    <row r="371" spans="1:22" x14ac:dyDescent="0.2">
      <c r="A371" s="113"/>
      <c r="B371" s="457">
        <f t="shared" si="31"/>
        <v>354</v>
      </c>
      <c r="C371" s="458">
        <f t="shared" si="28"/>
        <v>0</v>
      </c>
      <c r="D371" s="458">
        <f t="shared" si="32"/>
        <v>0</v>
      </c>
      <c r="E371" s="458">
        <f>IF(B371="","-",SUM($D$18:D371))</f>
        <v>0</v>
      </c>
      <c r="F371" s="458">
        <f t="shared" si="29"/>
        <v>0</v>
      </c>
      <c r="G371" s="458">
        <f>IF(B371="","-",SUM($F$18:F371))</f>
        <v>0</v>
      </c>
      <c r="H371" s="458">
        <f t="shared" si="30"/>
        <v>0</v>
      </c>
      <c r="I371" s="159"/>
      <c r="J371" s="113"/>
      <c r="K371" s="113"/>
      <c r="M371" s="113"/>
      <c r="N371" s="113"/>
      <c r="O371" s="113"/>
      <c r="P371" s="113"/>
      <c r="Q371" s="113"/>
      <c r="R371" s="113"/>
      <c r="S371" s="113"/>
      <c r="T371" s="113"/>
      <c r="U371" s="113"/>
      <c r="V371" s="113"/>
    </row>
    <row r="372" spans="1:22" x14ac:dyDescent="0.2">
      <c r="A372" s="113"/>
      <c r="B372" s="457">
        <f t="shared" si="31"/>
        <v>355</v>
      </c>
      <c r="C372" s="458">
        <f t="shared" si="28"/>
        <v>0</v>
      </c>
      <c r="D372" s="458">
        <f t="shared" si="32"/>
        <v>0</v>
      </c>
      <c r="E372" s="458">
        <f>IF(B372="","-",SUM($D$18:D372))</f>
        <v>0</v>
      </c>
      <c r="F372" s="458">
        <f t="shared" si="29"/>
        <v>0</v>
      </c>
      <c r="G372" s="458">
        <f>IF(B372="","-",SUM($F$18:F372))</f>
        <v>0</v>
      </c>
      <c r="H372" s="458">
        <f t="shared" si="30"/>
        <v>0</v>
      </c>
      <c r="I372" s="159"/>
      <c r="J372" s="113"/>
      <c r="K372" s="113"/>
      <c r="M372" s="113"/>
      <c r="N372" s="113"/>
      <c r="O372" s="113"/>
      <c r="P372" s="113"/>
      <c r="Q372" s="113"/>
      <c r="R372" s="113"/>
      <c r="S372" s="113"/>
      <c r="T372" s="113"/>
      <c r="U372" s="113"/>
      <c r="V372" s="113"/>
    </row>
    <row r="373" spans="1:22" x14ac:dyDescent="0.2">
      <c r="A373" s="113"/>
      <c r="B373" s="457">
        <f t="shared" si="31"/>
        <v>356</v>
      </c>
      <c r="C373" s="458">
        <f t="shared" si="28"/>
        <v>0</v>
      </c>
      <c r="D373" s="458">
        <f t="shared" si="32"/>
        <v>0</v>
      </c>
      <c r="E373" s="458">
        <f>IF(B373="","-",SUM($D$18:D373))</f>
        <v>0</v>
      </c>
      <c r="F373" s="458">
        <f t="shared" si="29"/>
        <v>0</v>
      </c>
      <c r="G373" s="458">
        <f>IF(B373="","-",SUM($F$18:F373))</f>
        <v>0</v>
      </c>
      <c r="H373" s="458">
        <f t="shared" si="30"/>
        <v>0</v>
      </c>
      <c r="I373" s="159"/>
      <c r="J373" s="113"/>
      <c r="K373" s="113"/>
      <c r="M373" s="113"/>
      <c r="N373" s="113"/>
      <c r="O373" s="113"/>
      <c r="P373" s="113"/>
      <c r="Q373" s="113"/>
      <c r="R373" s="113"/>
      <c r="S373" s="113"/>
      <c r="T373" s="113"/>
      <c r="U373" s="113"/>
      <c r="V373" s="113"/>
    </row>
    <row r="374" spans="1:22" x14ac:dyDescent="0.2">
      <c r="A374" s="113"/>
      <c r="B374" s="457">
        <f t="shared" si="31"/>
        <v>357</v>
      </c>
      <c r="C374" s="458">
        <f t="shared" si="28"/>
        <v>0</v>
      </c>
      <c r="D374" s="458">
        <f t="shared" si="32"/>
        <v>0</v>
      </c>
      <c r="E374" s="458">
        <f>IF(B374="","-",SUM($D$18:D374))</f>
        <v>0</v>
      </c>
      <c r="F374" s="458">
        <f t="shared" si="29"/>
        <v>0</v>
      </c>
      <c r="G374" s="458">
        <f>IF(B374="","-",SUM($F$18:F374))</f>
        <v>0</v>
      </c>
      <c r="H374" s="458">
        <f t="shared" si="30"/>
        <v>0</v>
      </c>
      <c r="I374" s="159"/>
      <c r="J374" s="113"/>
      <c r="K374" s="113"/>
      <c r="M374" s="113"/>
      <c r="N374" s="113"/>
      <c r="O374" s="113"/>
      <c r="P374" s="113"/>
      <c r="Q374" s="113"/>
      <c r="R374" s="113"/>
      <c r="S374" s="113"/>
      <c r="T374" s="113"/>
      <c r="U374" s="113"/>
      <c r="V374" s="113"/>
    </row>
    <row r="375" spans="1:22" x14ac:dyDescent="0.2">
      <c r="A375" s="113"/>
      <c r="B375" s="457">
        <f t="shared" si="31"/>
        <v>358</v>
      </c>
      <c r="C375" s="458">
        <f t="shared" si="28"/>
        <v>0</v>
      </c>
      <c r="D375" s="458">
        <f t="shared" si="32"/>
        <v>0</v>
      </c>
      <c r="E375" s="458">
        <f>IF(B375="","-",SUM($D$18:D375))</f>
        <v>0</v>
      </c>
      <c r="F375" s="458">
        <f t="shared" si="29"/>
        <v>0</v>
      </c>
      <c r="G375" s="458">
        <f>IF(B375="","-",SUM($F$18:F375))</f>
        <v>0</v>
      </c>
      <c r="H375" s="458">
        <f t="shared" si="30"/>
        <v>0</v>
      </c>
      <c r="I375" s="159"/>
      <c r="J375" s="113"/>
      <c r="K375" s="113"/>
      <c r="M375" s="113"/>
      <c r="N375" s="113"/>
      <c r="O375" s="113"/>
      <c r="P375" s="113"/>
      <c r="Q375" s="113"/>
      <c r="R375" s="113"/>
      <c r="S375" s="113"/>
      <c r="T375" s="113"/>
      <c r="U375" s="113"/>
      <c r="V375" s="113"/>
    </row>
    <row r="376" spans="1:22" x14ac:dyDescent="0.2">
      <c r="A376" s="113"/>
      <c r="B376" s="457">
        <f t="shared" si="31"/>
        <v>359</v>
      </c>
      <c r="C376" s="458">
        <f t="shared" si="28"/>
        <v>0</v>
      </c>
      <c r="D376" s="458">
        <f t="shared" si="32"/>
        <v>0</v>
      </c>
      <c r="E376" s="458">
        <f>IF(B376="","-",SUM($D$18:D376))</f>
        <v>0</v>
      </c>
      <c r="F376" s="458">
        <f t="shared" si="29"/>
        <v>0</v>
      </c>
      <c r="G376" s="458">
        <f>IF(B376="","-",SUM($F$18:F376))</f>
        <v>0</v>
      </c>
      <c r="H376" s="458">
        <f t="shared" si="30"/>
        <v>0</v>
      </c>
      <c r="I376" s="159"/>
      <c r="J376" s="113"/>
      <c r="K376" s="113"/>
      <c r="M376" s="113"/>
      <c r="N376" s="113"/>
      <c r="O376" s="113"/>
      <c r="P376" s="113"/>
      <c r="Q376" s="113"/>
      <c r="R376" s="113"/>
      <c r="S376" s="113"/>
      <c r="T376" s="113"/>
      <c r="U376" s="113"/>
      <c r="V376" s="113"/>
    </row>
    <row r="377" spans="1:22" x14ac:dyDescent="0.2">
      <c r="A377" s="113"/>
      <c r="B377" s="457">
        <f t="shared" si="31"/>
        <v>360</v>
      </c>
      <c r="C377" s="458">
        <f t="shared" si="28"/>
        <v>0</v>
      </c>
      <c r="D377" s="458">
        <f t="shared" si="32"/>
        <v>0</v>
      </c>
      <c r="E377" s="458">
        <f>IF(B377="","-",SUM($D$18:D377))</f>
        <v>0</v>
      </c>
      <c r="F377" s="458">
        <f t="shared" si="29"/>
        <v>0</v>
      </c>
      <c r="G377" s="458">
        <f>IF(B377="","-",SUM($F$18:F377))</f>
        <v>0</v>
      </c>
      <c r="H377" s="458">
        <f t="shared" si="30"/>
        <v>0</v>
      </c>
      <c r="I377" s="159"/>
      <c r="J377" s="113"/>
      <c r="K377" s="113"/>
      <c r="M377" s="113"/>
      <c r="N377" s="113"/>
      <c r="O377" s="113"/>
      <c r="P377" s="113"/>
      <c r="Q377" s="113"/>
      <c r="R377" s="113"/>
      <c r="S377" s="113"/>
      <c r="T377" s="113"/>
      <c r="U377" s="113"/>
      <c r="V377" s="113"/>
    </row>
    <row r="378" spans="1:22" x14ac:dyDescent="0.2">
      <c r="A378" s="113"/>
      <c r="B378" s="457" t="str">
        <f>IF(B377&gt;=$D$5*12,"",B377+1)</f>
        <v/>
      </c>
      <c r="C378" s="458" t="str">
        <f t="shared" si="28"/>
        <v>-</v>
      </c>
      <c r="D378" s="458" t="str">
        <f t="shared" si="32"/>
        <v>-</v>
      </c>
      <c r="E378" s="458" t="str">
        <f>IF(B378="","-",SUM($D$18:D378))</f>
        <v>-</v>
      </c>
      <c r="F378" s="458" t="str">
        <f t="shared" si="29"/>
        <v>-</v>
      </c>
      <c r="G378" s="458" t="str">
        <f>IF(B378="","-",SUM($F$18:F378))</f>
        <v>-</v>
      </c>
      <c r="H378" s="458" t="str">
        <f t="shared" si="30"/>
        <v>-</v>
      </c>
      <c r="I378" s="159"/>
      <c r="J378" s="113"/>
      <c r="K378" s="113"/>
      <c r="M378" s="113"/>
      <c r="N378" s="113"/>
      <c r="O378" s="113"/>
      <c r="P378" s="113"/>
      <c r="Q378" s="113"/>
      <c r="R378" s="113"/>
      <c r="S378" s="113"/>
      <c r="T378" s="113"/>
      <c r="U378" s="113"/>
      <c r="V378" s="113"/>
    </row>
    <row r="379" spans="1:22" x14ac:dyDescent="0.2">
      <c r="A379" s="113"/>
      <c r="B379" s="464"/>
      <c r="C379" s="467"/>
      <c r="D379" s="464"/>
      <c r="E379" s="464"/>
      <c r="F379" s="464"/>
      <c r="G379" s="464"/>
      <c r="H379" s="464"/>
      <c r="I379" s="159"/>
      <c r="J379" s="113"/>
      <c r="K379" s="113"/>
      <c r="M379" s="113"/>
      <c r="N379" s="113"/>
      <c r="O379" s="113"/>
      <c r="P379" s="113"/>
      <c r="Q379" s="113"/>
      <c r="R379" s="113"/>
      <c r="S379" s="113"/>
      <c r="T379" s="113"/>
      <c r="U379" s="113"/>
      <c r="V379" s="113"/>
    </row>
    <row r="380" spans="1:22" x14ac:dyDescent="0.2">
      <c r="A380" s="113"/>
      <c r="B380" s="10"/>
      <c r="C380" s="465"/>
      <c r="D380" s="113"/>
      <c r="E380" s="113"/>
      <c r="F380" s="113"/>
      <c r="G380" s="113"/>
      <c r="H380" s="113"/>
      <c r="I380" s="159"/>
      <c r="J380" s="113"/>
      <c r="K380" s="113"/>
      <c r="M380" s="113"/>
      <c r="N380" s="113"/>
      <c r="O380" s="113"/>
      <c r="P380" s="113"/>
      <c r="Q380" s="113"/>
      <c r="R380" s="113"/>
      <c r="S380" s="113"/>
      <c r="T380" s="113"/>
      <c r="U380" s="113"/>
      <c r="V380" s="113"/>
    </row>
    <row r="381" spans="1:22" x14ac:dyDescent="0.2">
      <c r="A381" s="113"/>
      <c r="B381" s="52" t="str">
        <f ca="1">copyright</f>
        <v>Copyright © 2026 Michael Blank.</v>
      </c>
      <c r="C381" s="465"/>
      <c r="D381" s="113"/>
      <c r="E381" s="113"/>
      <c r="F381" s="113"/>
      <c r="G381" s="113"/>
      <c r="H381" s="113"/>
      <c r="I381" s="159"/>
      <c r="J381" s="113"/>
      <c r="K381" s="113"/>
      <c r="M381" s="113"/>
      <c r="N381" s="113"/>
      <c r="O381" s="113"/>
      <c r="P381" s="113"/>
      <c r="Q381" s="113"/>
      <c r="R381" s="113"/>
      <c r="S381" s="113"/>
      <c r="T381" s="113"/>
      <c r="U381" s="113"/>
      <c r="V381" s="113"/>
    </row>
    <row r="382" spans="1:22" x14ac:dyDescent="0.2">
      <c r="A382" s="113"/>
      <c r="B382" s="52" t="s">
        <v>124</v>
      </c>
      <c r="C382" s="465"/>
      <c r="D382" s="113"/>
      <c r="E382" s="113"/>
      <c r="F382" s="113"/>
      <c r="G382" s="113"/>
      <c r="H382" s="113"/>
      <c r="I382" s="159"/>
      <c r="J382" s="113"/>
      <c r="K382" s="113"/>
      <c r="M382" s="113"/>
      <c r="N382" s="113"/>
      <c r="O382" s="113"/>
      <c r="P382" s="113"/>
      <c r="Q382" s="113"/>
      <c r="R382" s="113"/>
      <c r="S382" s="113"/>
      <c r="T382" s="113"/>
      <c r="U382" s="113"/>
      <c r="V382" s="113"/>
    </row>
  </sheetData>
  <customSheetViews>
    <customSheetView guid="{238A3432-2201-4481-B06C-00480E9813A7}" showGridLines="0" fitToPage="1" showRuler="0" topLeftCell="A106">
      <selection activeCell="A14" sqref="A14"/>
      <pageMargins left="0.75" right="0.75" top="0.75" bottom="0.75" header="0.5" footer="0.5"/>
      <pageSetup scale="76" orientation="portrait" r:id="rId1"/>
      <headerFooter alignWithMargins="0"/>
    </customSheetView>
    <customSheetView guid="{A0B83632-25B5-FE44-8A66-2590D6BCDFDC}" showGridLines="0" state="hidden">
      <selection sqref="A1:L1"/>
      <pageMargins left="0.35" right="0.41" top="0.75" bottom="0.75" header="0.5" footer="0.5"/>
      <pageSetup orientation="portrait" r:id="rId2"/>
      <headerFooter alignWithMargins="0"/>
    </customSheetView>
  </customSheetViews>
  <mergeCells count="1">
    <mergeCell ref="A1:L1"/>
  </mergeCells>
  <phoneticPr fontId="6" type="noConversion"/>
  <conditionalFormatting sqref="C13 A13:A14">
    <cfRule type="cellIs" dxfId="2" priority="1" stopIfTrue="1" operator="notEqual">
      <formula>0</formula>
    </cfRule>
  </conditionalFormatting>
  <dataValidations count="1">
    <dataValidation type="list" allowBlank="1" showInputMessage="1" showErrorMessage="1" sqref="F6" xr:uid="{CDD59E15-1161-B544-99B0-1331A8FDDB4A}">
      <formula1>"Option 1, Option 2"</formula1>
    </dataValidation>
  </dataValidations>
  <pageMargins left="0.35" right="0.41" top="0.75" bottom="0.75" header="0.5" footer="0.5"/>
  <pageSetup orientation="portrait"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T382"/>
  <sheetViews>
    <sheetView showGridLines="0" zoomScaleNormal="100" workbookViewId="0">
      <selection sqref="A1:L1"/>
    </sheetView>
  </sheetViews>
  <sheetFormatPr baseColWidth="10" defaultColWidth="9" defaultRowHeight="16" x14ac:dyDescent="0.2"/>
  <cols>
    <col min="1" max="1" width="2.5703125" style="50" customWidth="1"/>
    <col min="2" max="2" width="10.5703125" style="50" customWidth="1"/>
    <col min="3" max="12" width="14.28515625" style="50" customWidth="1"/>
    <col min="13" max="13" width="9.7109375" style="50" customWidth="1"/>
    <col min="14" max="14" width="3.28515625" style="50" customWidth="1"/>
    <col min="15" max="15" width="10.5703125" style="50" customWidth="1"/>
    <col min="16" max="16" width="3.28515625" style="50" customWidth="1"/>
    <col min="17" max="17" width="11.42578125" style="50" customWidth="1"/>
    <col min="18" max="18" width="3.28515625" style="50" customWidth="1"/>
    <col min="19" max="19" width="13" style="50" customWidth="1"/>
    <col min="20" max="20" width="2.5703125" style="50" customWidth="1"/>
    <col min="21" max="21" width="11.42578125" style="50" customWidth="1"/>
    <col min="22" max="22" width="2.28515625" style="50" customWidth="1"/>
    <col min="23" max="23" width="9.5703125" style="50" customWidth="1"/>
    <col min="24" max="24" width="3.28515625" style="50" customWidth="1"/>
    <col min="25" max="25" width="8.85546875" style="50" customWidth="1"/>
    <col min="26" max="26" width="2.140625" style="50" customWidth="1"/>
    <col min="27" max="27" width="9" style="50" customWidth="1"/>
    <col min="28" max="28" width="2.140625" style="50" customWidth="1"/>
    <col min="29" max="29" width="10" style="50" bestFit="1" customWidth="1"/>
    <col min="30" max="16384" width="9" style="50"/>
  </cols>
  <sheetData>
    <row r="1" spans="1:20" ht="20" x14ac:dyDescent="0.2">
      <c r="A1" s="1223" t="s">
        <v>5</v>
      </c>
      <c r="B1" s="1223"/>
      <c r="C1" s="1223"/>
      <c r="D1" s="1223"/>
      <c r="E1" s="1223"/>
      <c r="F1" s="1223"/>
      <c r="G1" s="1223"/>
      <c r="H1" s="1223"/>
      <c r="I1" s="1223"/>
      <c r="J1" s="1223"/>
      <c r="K1" s="1223"/>
      <c r="L1" s="1223"/>
    </row>
    <row r="2" spans="1:20" ht="17" thickBot="1" x14ac:dyDescent="0.25"/>
    <row r="3" spans="1:20" x14ac:dyDescent="0.2">
      <c r="B3" s="604" t="s">
        <v>114</v>
      </c>
      <c r="C3" s="603"/>
      <c r="D3" s="588">
        <f>Summary!D14</f>
        <v>0</v>
      </c>
      <c r="E3" s="617" t="s">
        <v>518</v>
      </c>
      <c r="H3" s="614" t="s">
        <v>516</v>
      </c>
      <c r="I3" s="10"/>
      <c r="J3" s="113"/>
      <c r="K3" s="113"/>
      <c r="L3" s="113"/>
    </row>
    <row r="4" spans="1:20" x14ac:dyDescent="0.2">
      <c r="B4" s="605" t="s">
        <v>13</v>
      </c>
      <c r="D4" s="589">
        <f>Summary!D15</f>
        <v>0</v>
      </c>
      <c r="E4" s="616" t="s">
        <v>519</v>
      </c>
      <c r="F4" s="113"/>
      <c r="H4" s="612" t="s">
        <v>513</v>
      </c>
      <c r="I4" s="10"/>
      <c r="J4" s="113"/>
      <c r="K4" s="113"/>
      <c r="L4" s="113"/>
    </row>
    <row r="5" spans="1:20" ht="17" thickBot="1" x14ac:dyDescent="0.25">
      <c r="B5" s="605" t="s">
        <v>4</v>
      </c>
      <c r="D5" s="590">
        <f>Summary!D16</f>
        <v>0</v>
      </c>
      <c r="E5" s="113"/>
      <c r="H5" s="612" t="s">
        <v>515</v>
      </c>
      <c r="I5" s="10"/>
      <c r="J5" s="113"/>
      <c r="K5" s="113"/>
      <c r="L5" s="113"/>
    </row>
    <row r="6" spans="1:20" ht="17" thickBot="1" x14ac:dyDescent="0.25">
      <c r="B6" s="580" t="s">
        <v>185</v>
      </c>
      <c r="D6" s="591">
        <f>Summary!D17</f>
        <v>0</v>
      </c>
      <c r="E6" s="618"/>
      <c r="F6" s="619" t="s">
        <v>516</v>
      </c>
      <c r="H6" s="113"/>
      <c r="I6" s="10"/>
      <c r="J6" s="113"/>
      <c r="K6" s="113"/>
      <c r="L6" s="113"/>
    </row>
    <row r="7" spans="1:20" x14ac:dyDescent="0.2">
      <c r="B7" s="605" t="s">
        <v>3</v>
      </c>
      <c r="D7" s="592">
        <f>IF(D3=0,0,IF($F$6="Option 1",PMT(D4/12,(D5*12),-D3),PMT(D4/12,(D5*12)-D6,-D3)))</f>
        <v>0</v>
      </c>
      <c r="E7" s="113"/>
      <c r="F7" s="113"/>
      <c r="H7" s="615" t="s">
        <v>517</v>
      </c>
      <c r="I7" s="10"/>
      <c r="J7" s="113"/>
      <c r="K7" s="113"/>
      <c r="L7" s="113"/>
    </row>
    <row r="8" spans="1:20" x14ac:dyDescent="0.2">
      <c r="B8" s="605" t="s">
        <v>17</v>
      </c>
      <c r="D8" s="593">
        <f>SUM(D17:D378)</f>
        <v>0</v>
      </c>
      <c r="E8" s="113"/>
      <c r="F8" s="113"/>
      <c r="H8" s="612" t="s">
        <v>520</v>
      </c>
      <c r="I8" s="10"/>
      <c r="J8" s="113"/>
      <c r="K8" s="113"/>
      <c r="L8" s="113"/>
    </row>
    <row r="9" spans="1:20" ht="17" thickBot="1" x14ac:dyDescent="0.25">
      <c r="B9" s="602" t="s">
        <v>14</v>
      </c>
      <c r="C9" s="594"/>
      <c r="D9" s="595">
        <f>SUM(C18:C29)</f>
        <v>0</v>
      </c>
      <c r="E9" s="113"/>
      <c r="F9" s="113"/>
      <c r="H9" s="613" t="s">
        <v>514</v>
      </c>
      <c r="I9" s="10"/>
      <c r="J9" s="113"/>
      <c r="K9" s="113"/>
      <c r="L9" s="113"/>
    </row>
    <row r="10" spans="1:20" ht="17" thickBot="1" x14ac:dyDescent="0.25">
      <c r="B10" s="469"/>
      <c r="C10" s="470"/>
    </row>
    <row r="11" spans="1:20" x14ac:dyDescent="0.2">
      <c r="B11" s="596" t="s">
        <v>0</v>
      </c>
      <c r="C11" s="597">
        <v>1</v>
      </c>
      <c r="D11" s="597">
        <f t="shared" ref="D11:L11" si="0">C11+1</f>
        <v>2</v>
      </c>
      <c r="E11" s="597">
        <f t="shared" si="0"/>
        <v>3</v>
      </c>
      <c r="F11" s="597">
        <f t="shared" si="0"/>
        <v>4</v>
      </c>
      <c r="G11" s="597">
        <f t="shared" si="0"/>
        <v>5</v>
      </c>
      <c r="H11" s="597">
        <f t="shared" si="0"/>
        <v>6</v>
      </c>
      <c r="I11" s="597">
        <f t="shared" si="0"/>
        <v>7</v>
      </c>
      <c r="J11" s="597">
        <f t="shared" si="0"/>
        <v>8</v>
      </c>
      <c r="K11" s="597">
        <f t="shared" si="0"/>
        <v>9</v>
      </c>
      <c r="L11" s="598">
        <f t="shared" si="0"/>
        <v>10</v>
      </c>
      <c r="N11" s="457"/>
      <c r="P11" s="457"/>
      <c r="R11" s="457"/>
      <c r="S11" s="471"/>
    </row>
    <row r="12" spans="1:20" x14ac:dyDescent="0.2">
      <c r="B12" s="583" t="s">
        <v>8</v>
      </c>
      <c r="C12" s="472">
        <f ca="1">IF(C11&lt;=Summary!$D$16,OFFSET($G$17,12*C11,0),0)</f>
        <v>0</v>
      </c>
      <c r="D12" s="472">
        <f ca="1">IF(D11&lt;=Summary!$D$16,OFFSET($G$17,12*D11,0)-C12,0)</f>
        <v>0</v>
      </c>
      <c r="E12" s="472">
        <f ca="1">IF(E11&lt;=Summary!$D$16,OFFSET($G$17,12*E11,0)-SUM(C12:D12),0)</f>
        <v>0</v>
      </c>
      <c r="F12" s="472">
        <f ca="1">IF(F11&lt;=Summary!$D$16,OFFSET($G$17,12*F11,0)-SUM(C12:E12),0)</f>
        <v>0</v>
      </c>
      <c r="G12" s="472">
        <f ca="1">IF(G11&lt;=Summary!$D$16,OFFSET($G$17,12*G11,0)-SUM(C12:F12),0)</f>
        <v>0</v>
      </c>
      <c r="H12" s="472">
        <f ca="1">IF(H11&lt;=Summary!$D$16,OFFSET($G$17,12*H11,0)-SUM(C12:G12),0)</f>
        <v>0</v>
      </c>
      <c r="I12" s="472">
        <f ca="1">IF(I11&lt;=Summary!$D$16,OFFSET($G$17,12*I11,0)-SUM(C12:H12),0)</f>
        <v>0</v>
      </c>
      <c r="J12" s="472">
        <f ca="1">IF(J11&lt;=Summary!$D$16,OFFSET($G$17,12*J11,0)-SUM(C12:I12),0)</f>
        <v>0</v>
      </c>
      <c r="K12" s="472">
        <f ca="1">IF(K11&lt;=Summary!$D$16,OFFSET($G$17,12*K11,0)-SUM(C12:J12),0)</f>
        <v>0</v>
      </c>
      <c r="L12" s="584">
        <f ca="1">IF(L11&lt;=Summary!$D$16,OFFSET($G$17,12*L11,0)-SUM(C12:K12),0)</f>
        <v>0</v>
      </c>
      <c r="S12" s="473"/>
    </row>
    <row r="13" spans="1:20" x14ac:dyDescent="0.2">
      <c r="B13" s="583" t="s">
        <v>19</v>
      </c>
      <c r="C13" s="472">
        <f ca="1">IF(C11&lt;=Summary!$D$16,OFFSET($E$17,12*C11,0),0)</f>
        <v>0</v>
      </c>
      <c r="D13" s="472">
        <f ca="1">IF(D11&lt;=Summary!$D$16,OFFSET($E$17,12*D11,0)-C13,0)</f>
        <v>0</v>
      </c>
      <c r="E13" s="472">
        <f ca="1">IF(E11&lt;=Summary!$D$16,OFFSET($E$17,12*E11,0)-SUM(C13:D13),0)</f>
        <v>0</v>
      </c>
      <c r="F13" s="472">
        <f ca="1">IF(F11&lt;=Summary!$D$16,OFFSET($E$17,12*F11,0)-SUM(C13:E13),0)</f>
        <v>0</v>
      </c>
      <c r="G13" s="472">
        <f ca="1">IF(G11&lt;=Summary!$D$16,OFFSET($E$17,12*G11,0)-SUM(C13:F13),0)</f>
        <v>0</v>
      </c>
      <c r="H13" s="472">
        <f ca="1">IF(H11&lt;=Summary!$D$16,OFFSET($E$17,12*H11,0)-SUM(C13:G13),0)</f>
        <v>0</v>
      </c>
      <c r="I13" s="472">
        <f ca="1">IF(I11&lt;=Summary!$D$16,OFFSET($E$17,12*I11,0)-SUM(C13:H13),0)</f>
        <v>0</v>
      </c>
      <c r="J13" s="472">
        <f ca="1">IF(J11&lt;=Summary!$D$16,OFFSET($E$17,12*J11,0)-SUM(C13:I13),0)</f>
        <v>0</v>
      </c>
      <c r="K13" s="472">
        <f ca="1">IF(K11&lt;=Summary!$D$16,OFFSET($E$17,12*K11,0)-SUM(C13:J13),0)</f>
        <v>0</v>
      </c>
      <c r="L13" s="584">
        <f ca="1">IF(L11&lt;=Summary!$D$16,OFFSET($E$17,12*L11,0)-SUM(C13:K13),0)</f>
        <v>0</v>
      </c>
      <c r="S13" s="473"/>
    </row>
    <row r="14" spans="1:20" ht="17" thickBot="1" x14ac:dyDescent="0.25">
      <c r="B14" s="585" t="s">
        <v>22</v>
      </c>
      <c r="C14" s="586">
        <f ca="1">IF(C11&lt;=Summary!$D$16,OFFSET($H$17,C11*12,0),0)</f>
        <v>0</v>
      </c>
      <c r="D14" s="586">
        <f ca="1">IF(D11&lt;=Summary!$D$16,OFFSET($H$17,D11*12,0),0)</f>
        <v>0</v>
      </c>
      <c r="E14" s="586">
        <f ca="1">IF(E11&lt;=Summary!$D$16,OFFSET($H$17,E11*12,0),0)</f>
        <v>0</v>
      </c>
      <c r="F14" s="586">
        <f ca="1">IF(F11&lt;=Summary!$D$16,OFFSET($H$17,F11*12,0),0)</f>
        <v>0</v>
      </c>
      <c r="G14" s="586">
        <f ca="1">IF(G11&lt;=Summary!$D$16,OFFSET($H$17,G11*12,0),0)</f>
        <v>0</v>
      </c>
      <c r="H14" s="586">
        <f ca="1">IF(H11&lt;=Summary!$D$16,OFFSET($H$17,H11*12,0),0)</f>
        <v>0</v>
      </c>
      <c r="I14" s="586">
        <f ca="1">IF(I11&lt;=Summary!$D$16,OFFSET($H$17,I11*12,0),0)</f>
        <v>0</v>
      </c>
      <c r="J14" s="586">
        <f ca="1">IF(J11&lt;=Summary!$D$16,OFFSET($H$17,J11*12,0),0)</f>
        <v>0</v>
      </c>
      <c r="K14" s="586">
        <f ca="1">IF(K11&lt;=Summary!$D$16,OFFSET($H$17,K11*12,0),0)</f>
        <v>0</v>
      </c>
      <c r="L14" s="587">
        <f ca="1">IF(L11&lt;=Summary!$D$16,OFFSET($H$17,L11*12,0),0)</f>
        <v>0</v>
      </c>
      <c r="N14" s="474"/>
      <c r="P14" s="474"/>
      <c r="R14" s="474"/>
      <c r="S14" s="474"/>
      <c r="T14" s="474"/>
    </row>
    <row r="16" spans="1:20" s="455" customFormat="1" ht="34" x14ac:dyDescent="0.2">
      <c r="B16" s="567" t="s">
        <v>1</v>
      </c>
      <c r="C16" s="568" t="s">
        <v>18</v>
      </c>
      <c r="D16" s="569" t="s">
        <v>19</v>
      </c>
      <c r="E16" s="568" t="s">
        <v>20</v>
      </c>
      <c r="F16" s="568" t="s">
        <v>8</v>
      </c>
      <c r="G16" s="568" t="s">
        <v>21</v>
      </c>
      <c r="H16" s="568" t="s">
        <v>22</v>
      </c>
    </row>
    <row r="17" spans="2:9" x14ac:dyDescent="0.2">
      <c r="B17" s="599"/>
      <c r="C17" s="600"/>
      <c r="D17" s="600"/>
      <c r="E17" s="600"/>
      <c r="F17" s="600"/>
      <c r="G17" s="600"/>
      <c r="H17" s="601">
        <f>D3</f>
        <v>0</v>
      </c>
      <c r="I17" s="475"/>
    </row>
    <row r="18" spans="2:9" x14ac:dyDescent="0.2">
      <c r="B18" s="457" t="str">
        <f t="shared" ref="B18:B29" si="1">IF(B17&gt;=$D$5*12+$D$6,"",B17+1)</f>
        <v/>
      </c>
      <c r="C18" s="458" t="str">
        <f t="shared" ref="C18:C81" si="2">IF(B18="","-",IF(B18&lt;=$D$6,D18,  $D$7))</f>
        <v>-</v>
      </c>
      <c r="D18" s="458" t="str">
        <f t="shared" ref="D18:D81" si="3">IF(B18="","-",$D$4/12*H17)</f>
        <v>-</v>
      </c>
      <c r="E18" s="458" t="str">
        <f>IF(B18="","-",SUM($D$18:D18))</f>
        <v>-</v>
      </c>
      <c r="F18" s="458" t="str">
        <f t="shared" ref="F18:F81" si="4">IF(B18="","-",C18-D18)</f>
        <v>-</v>
      </c>
      <c r="G18" s="458" t="str">
        <f>IF(B18="","-",SUM($F$18:F18))</f>
        <v>-</v>
      </c>
      <c r="H18" s="458" t="str">
        <f t="shared" ref="H18:H81" si="5">IF(B18="","-",H17-F18)</f>
        <v>-</v>
      </c>
    </row>
    <row r="19" spans="2:9" x14ac:dyDescent="0.2">
      <c r="B19" s="457" t="str">
        <f t="shared" si="1"/>
        <v/>
      </c>
      <c r="C19" s="458" t="str">
        <f t="shared" si="2"/>
        <v>-</v>
      </c>
      <c r="D19" s="458" t="str">
        <f t="shared" si="3"/>
        <v>-</v>
      </c>
      <c r="E19" s="458" t="str">
        <f>IF(B19="","-",SUM($D$18:D19))</f>
        <v>-</v>
      </c>
      <c r="F19" s="458" t="str">
        <f t="shared" si="4"/>
        <v>-</v>
      </c>
      <c r="G19" s="458" t="str">
        <f>IF(B19="","-",SUM($F$18:F19))</f>
        <v>-</v>
      </c>
      <c r="H19" s="458" t="str">
        <f t="shared" si="5"/>
        <v>-</v>
      </c>
    </row>
    <row r="20" spans="2:9" x14ac:dyDescent="0.2">
      <c r="B20" s="457" t="str">
        <f t="shared" si="1"/>
        <v/>
      </c>
      <c r="C20" s="458" t="str">
        <f t="shared" si="2"/>
        <v>-</v>
      </c>
      <c r="D20" s="458" t="str">
        <f t="shared" si="3"/>
        <v>-</v>
      </c>
      <c r="E20" s="458" t="str">
        <f>IF(B20="","-",SUM($D$18:D20))</f>
        <v>-</v>
      </c>
      <c r="F20" s="458" t="str">
        <f t="shared" si="4"/>
        <v>-</v>
      </c>
      <c r="G20" s="458" t="str">
        <f>IF(B20="","-",SUM($F$18:F20))</f>
        <v>-</v>
      </c>
      <c r="H20" s="458" t="str">
        <f t="shared" si="5"/>
        <v>-</v>
      </c>
    </row>
    <row r="21" spans="2:9" x14ac:dyDescent="0.2">
      <c r="B21" s="457" t="str">
        <f t="shared" si="1"/>
        <v/>
      </c>
      <c r="C21" s="458" t="str">
        <f t="shared" si="2"/>
        <v>-</v>
      </c>
      <c r="D21" s="458" t="str">
        <f t="shared" si="3"/>
        <v>-</v>
      </c>
      <c r="E21" s="458" t="str">
        <f>IF(B21="","-",SUM($D$18:D21))</f>
        <v>-</v>
      </c>
      <c r="F21" s="458" t="str">
        <f t="shared" si="4"/>
        <v>-</v>
      </c>
      <c r="G21" s="458" t="str">
        <f>IF(B21="","-",SUM($F$18:F21))</f>
        <v>-</v>
      </c>
      <c r="H21" s="458" t="str">
        <f t="shared" si="5"/>
        <v>-</v>
      </c>
    </row>
    <row r="22" spans="2:9" x14ac:dyDescent="0.2">
      <c r="B22" s="457" t="str">
        <f t="shared" si="1"/>
        <v/>
      </c>
      <c r="C22" s="458" t="str">
        <f t="shared" si="2"/>
        <v>-</v>
      </c>
      <c r="D22" s="458" t="str">
        <f t="shared" si="3"/>
        <v>-</v>
      </c>
      <c r="E22" s="458" t="str">
        <f>IF(B22="","-",SUM($D$18:D22))</f>
        <v>-</v>
      </c>
      <c r="F22" s="458" t="str">
        <f t="shared" si="4"/>
        <v>-</v>
      </c>
      <c r="G22" s="458" t="str">
        <f>IF(B22="","-",SUM($F$18:F22))</f>
        <v>-</v>
      </c>
      <c r="H22" s="458" t="str">
        <f t="shared" si="5"/>
        <v>-</v>
      </c>
    </row>
    <row r="23" spans="2:9" x14ac:dyDescent="0.2">
      <c r="B23" s="457" t="str">
        <f t="shared" si="1"/>
        <v/>
      </c>
      <c r="C23" s="458" t="str">
        <f t="shared" si="2"/>
        <v>-</v>
      </c>
      <c r="D23" s="458" t="str">
        <f t="shared" si="3"/>
        <v>-</v>
      </c>
      <c r="E23" s="458" t="str">
        <f>IF(B23="","-",SUM($D$18:D23))</f>
        <v>-</v>
      </c>
      <c r="F23" s="458" t="str">
        <f t="shared" si="4"/>
        <v>-</v>
      </c>
      <c r="G23" s="458" t="str">
        <f>IF(B23="","-",SUM($F$18:F23))</f>
        <v>-</v>
      </c>
      <c r="H23" s="458" t="str">
        <f t="shared" si="5"/>
        <v>-</v>
      </c>
    </row>
    <row r="24" spans="2:9" x14ac:dyDescent="0.2">
      <c r="B24" s="457" t="str">
        <f t="shared" si="1"/>
        <v/>
      </c>
      <c r="C24" s="458" t="str">
        <f t="shared" si="2"/>
        <v>-</v>
      </c>
      <c r="D24" s="458" t="str">
        <f t="shared" si="3"/>
        <v>-</v>
      </c>
      <c r="E24" s="458" t="str">
        <f>IF(B24="","-",SUM($D$18:D24))</f>
        <v>-</v>
      </c>
      <c r="F24" s="458" t="str">
        <f t="shared" si="4"/>
        <v>-</v>
      </c>
      <c r="G24" s="458" t="str">
        <f>IF(B24="","-",SUM($F$18:F24))</f>
        <v>-</v>
      </c>
      <c r="H24" s="458" t="str">
        <f t="shared" si="5"/>
        <v>-</v>
      </c>
    </row>
    <row r="25" spans="2:9" x14ac:dyDescent="0.2">
      <c r="B25" s="457" t="str">
        <f t="shared" si="1"/>
        <v/>
      </c>
      <c r="C25" s="458" t="str">
        <f t="shared" si="2"/>
        <v>-</v>
      </c>
      <c r="D25" s="458" t="str">
        <f t="shared" si="3"/>
        <v>-</v>
      </c>
      <c r="E25" s="458" t="str">
        <f>IF(B25="","-",SUM($D$18:D25))</f>
        <v>-</v>
      </c>
      <c r="F25" s="458" t="str">
        <f t="shared" si="4"/>
        <v>-</v>
      </c>
      <c r="G25" s="458" t="str">
        <f>IF(B25="","-",SUM($F$18:F25))</f>
        <v>-</v>
      </c>
      <c r="H25" s="458" t="str">
        <f t="shared" si="5"/>
        <v>-</v>
      </c>
    </row>
    <row r="26" spans="2:9" x14ac:dyDescent="0.2">
      <c r="B26" s="457" t="str">
        <f t="shared" si="1"/>
        <v/>
      </c>
      <c r="C26" s="458" t="str">
        <f t="shared" si="2"/>
        <v>-</v>
      </c>
      <c r="D26" s="458" t="str">
        <f t="shared" si="3"/>
        <v>-</v>
      </c>
      <c r="E26" s="458" t="str">
        <f>IF(B26="","-",SUM($D$18:D26))</f>
        <v>-</v>
      </c>
      <c r="F26" s="458" t="str">
        <f t="shared" si="4"/>
        <v>-</v>
      </c>
      <c r="G26" s="458" t="str">
        <f>IF(B26="","-",SUM($F$18:F26))</f>
        <v>-</v>
      </c>
      <c r="H26" s="458" t="str">
        <f t="shared" si="5"/>
        <v>-</v>
      </c>
    </row>
    <row r="27" spans="2:9" x14ac:dyDescent="0.2">
      <c r="B27" s="457" t="str">
        <f t="shared" si="1"/>
        <v/>
      </c>
      <c r="C27" s="458" t="str">
        <f t="shared" si="2"/>
        <v>-</v>
      </c>
      <c r="D27" s="458" t="str">
        <f t="shared" si="3"/>
        <v>-</v>
      </c>
      <c r="E27" s="458" t="str">
        <f>IF(B27="","-",SUM($D$18:D27))</f>
        <v>-</v>
      </c>
      <c r="F27" s="458" t="str">
        <f t="shared" si="4"/>
        <v>-</v>
      </c>
      <c r="G27" s="458" t="str">
        <f>IF(B27="","-",SUM($F$18:F27))</f>
        <v>-</v>
      </c>
      <c r="H27" s="458" t="str">
        <f t="shared" si="5"/>
        <v>-</v>
      </c>
    </row>
    <row r="28" spans="2:9" x14ac:dyDescent="0.2">
      <c r="B28" s="457" t="str">
        <f t="shared" si="1"/>
        <v/>
      </c>
      <c r="C28" s="458" t="str">
        <f t="shared" si="2"/>
        <v>-</v>
      </c>
      <c r="D28" s="458" t="str">
        <f t="shared" si="3"/>
        <v>-</v>
      </c>
      <c r="E28" s="458" t="str">
        <f>IF(B28="","-",SUM($D$18:D28))</f>
        <v>-</v>
      </c>
      <c r="F28" s="458" t="str">
        <f t="shared" si="4"/>
        <v>-</v>
      </c>
      <c r="G28" s="458" t="str">
        <f>IF(B28="","-",SUM($F$18:F28))</f>
        <v>-</v>
      </c>
      <c r="H28" s="458" t="str">
        <f t="shared" si="5"/>
        <v>-</v>
      </c>
      <c r="I28" s="476"/>
    </row>
    <row r="29" spans="2:9" x14ac:dyDescent="0.2">
      <c r="B29" s="459" t="str">
        <f t="shared" si="1"/>
        <v/>
      </c>
      <c r="C29" s="460" t="str">
        <f t="shared" si="2"/>
        <v>-</v>
      </c>
      <c r="D29" s="460" t="str">
        <f t="shared" si="3"/>
        <v>-</v>
      </c>
      <c r="E29" s="460" t="str">
        <f>IF(B29="","-",SUM($D$18:D29))</f>
        <v>-</v>
      </c>
      <c r="F29" s="460" t="str">
        <f t="shared" si="4"/>
        <v>-</v>
      </c>
      <c r="G29" s="460" t="str">
        <f>IF(B29="","-",SUM($F$18:F29))</f>
        <v>-</v>
      </c>
      <c r="H29" s="460" t="str">
        <f t="shared" si="5"/>
        <v>-</v>
      </c>
    </row>
    <row r="30" spans="2:9" x14ac:dyDescent="0.2">
      <c r="B30" s="457" t="str">
        <f t="shared" ref="B30:B93" si="6">IF(B29&gt;=$D$5*12,"",B29+1)</f>
        <v/>
      </c>
      <c r="C30" s="458" t="str">
        <f t="shared" si="2"/>
        <v>-</v>
      </c>
      <c r="D30" s="458" t="str">
        <f t="shared" si="3"/>
        <v>-</v>
      </c>
      <c r="E30" s="458" t="str">
        <f>IF(B30="","-",SUM($D$18:D30))</f>
        <v>-</v>
      </c>
      <c r="F30" s="458" t="str">
        <f t="shared" si="4"/>
        <v>-</v>
      </c>
      <c r="G30" s="458" t="str">
        <f>IF(B30="","-",SUM($F$18:F30))</f>
        <v>-</v>
      </c>
      <c r="H30" s="458" t="str">
        <f t="shared" si="5"/>
        <v>-</v>
      </c>
    </row>
    <row r="31" spans="2:9" x14ac:dyDescent="0.2">
      <c r="B31" s="457" t="str">
        <f t="shared" si="6"/>
        <v/>
      </c>
      <c r="C31" s="458" t="str">
        <f t="shared" si="2"/>
        <v>-</v>
      </c>
      <c r="D31" s="458" t="str">
        <f t="shared" si="3"/>
        <v>-</v>
      </c>
      <c r="E31" s="458" t="str">
        <f>IF(B31="","-",SUM($D$18:D31))</f>
        <v>-</v>
      </c>
      <c r="F31" s="458" t="str">
        <f t="shared" si="4"/>
        <v>-</v>
      </c>
      <c r="G31" s="458" t="str">
        <f>IF(B31="","-",SUM($F$18:F31))</f>
        <v>-</v>
      </c>
      <c r="H31" s="458" t="str">
        <f t="shared" si="5"/>
        <v>-</v>
      </c>
    </row>
    <row r="32" spans="2:9" x14ac:dyDescent="0.2">
      <c r="B32" s="457" t="str">
        <f t="shared" si="6"/>
        <v/>
      </c>
      <c r="C32" s="458" t="str">
        <f t="shared" si="2"/>
        <v>-</v>
      </c>
      <c r="D32" s="458" t="str">
        <f t="shared" si="3"/>
        <v>-</v>
      </c>
      <c r="E32" s="458" t="str">
        <f>IF(B32="","-",SUM($D$18:D32))</f>
        <v>-</v>
      </c>
      <c r="F32" s="458" t="str">
        <f t="shared" si="4"/>
        <v>-</v>
      </c>
      <c r="G32" s="458" t="str">
        <f>IF(B32="","-",SUM($F$18:F32))</f>
        <v>-</v>
      </c>
      <c r="H32" s="458" t="str">
        <f t="shared" si="5"/>
        <v>-</v>
      </c>
    </row>
    <row r="33" spans="2:9" x14ac:dyDescent="0.2">
      <c r="B33" s="457" t="str">
        <f t="shared" si="6"/>
        <v/>
      </c>
      <c r="C33" s="458" t="str">
        <f t="shared" si="2"/>
        <v>-</v>
      </c>
      <c r="D33" s="458" t="str">
        <f t="shared" si="3"/>
        <v>-</v>
      </c>
      <c r="E33" s="458" t="str">
        <f>IF(B33="","-",SUM($D$18:D33))</f>
        <v>-</v>
      </c>
      <c r="F33" s="458" t="str">
        <f t="shared" si="4"/>
        <v>-</v>
      </c>
      <c r="G33" s="458" t="str">
        <f>IF(B33="","-",SUM($F$18:F33))</f>
        <v>-</v>
      </c>
      <c r="H33" s="458" t="str">
        <f t="shared" si="5"/>
        <v>-</v>
      </c>
    </row>
    <row r="34" spans="2:9" x14ac:dyDescent="0.2">
      <c r="B34" s="457" t="str">
        <f t="shared" si="6"/>
        <v/>
      </c>
      <c r="C34" s="458" t="str">
        <f t="shared" si="2"/>
        <v>-</v>
      </c>
      <c r="D34" s="458" t="str">
        <f t="shared" si="3"/>
        <v>-</v>
      </c>
      <c r="E34" s="458" t="str">
        <f>IF(B34="","-",SUM($D$18:D34))</f>
        <v>-</v>
      </c>
      <c r="F34" s="458" t="str">
        <f t="shared" si="4"/>
        <v>-</v>
      </c>
      <c r="G34" s="458" t="str">
        <f>IF(B34="","-",SUM($F$18:F34))</f>
        <v>-</v>
      </c>
      <c r="H34" s="458" t="str">
        <f t="shared" si="5"/>
        <v>-</v>
      </c>
    </row>
    <row r="35" spans="2:9" x14ac:dyDescent="0.2">
      <c r="B35" s="457" t="str">
        <f t="shared" si="6"/>
        <v/>
      </c>
      <c r="C35" s="458" t="str">
        <f t="shared" si="2"/>
        <v>-</v>
      </c>
      <c r="D35" s="458" t="str">
        <f t="shared" si="3"/>
        <v>-</v>
      </c>
      <c r="E35" s="458" t="str">
        <f>IF(B35="","-",SUM($D$18:D35))</f>
        <v>-</v>
      </c>
      <c r="F35" s="458" t="str">
        <f t="shared" si="4"/>
        <v>-</v>
      </c>
      <c r="G35" s="458" t="str">
        <f>IF(B35="","-",SUM($F$18:F35))</f>
        <v>-</v>
      </c>
      <c r="H35" s="458" t="str">
        <f t="shared" si="5"/>
        <v>-</v>
      </c>
    </row>
    <row r="36" spans="2:9" x14ac:dyDescent="0.2">
      <c r="B36" s="457" t="str">
        <f t="shared" si="6"/>
        <v/>
      </c>
      <c r="C36" s="458" t="str">
        <f t="shared" si="2"/>
        <v>-</v>
      </c>
      <c r="D36" s="458" t="str">
        <f t="shared" si="3"/>
        <v>-</v>
      </c>
      <c r="E36" s="458" t="str">
        <f>IF(B36="","-",SUM($D$18:D36))</f>
        <v>-</v>
      </c>
      <c r="F36" s="458" t="str">
        <f t="shared" si="4"/>
        <v>-</v>
      </c>
      <c r="G36" s="458" t="str">
        <f>IF(B36="","-",SUM($F$18:F36))</f>
        <v>-</v>
      </c>
      <c r="H36" s="458" t="str">
        <f t="shared" si="5"/>
        <v>-</v>
      </c>
    </row>
    <row r="37" spans="2:9" x14ac:dyDescent="0.2">
      <c r="B37" s="457" t="str">
        <f t="shared" si="6"/>
        <v/>
      </c>
      <c r="C37" s="458" t="str">
        <f t="shared" si="2"/>
        <v>-</v>
      </c>
      <c r="D37" s="458" t="str">
        <f t="shared" si="3"/>
        <v>-</v>
      </c>
      <c r="E37" s="458" t="str">
        <f>IF(B37="","-",SUM($D$18:D37))</f>
        <v>-</v>
      </c>
      <c r="F37" s="458" t="str">
        <f t="shared" si="4"/>
        <v>-</v>
      </c>
      <c r="G37" s="458" t="str">
        <f>IF(B37="","-",SUM($F$18:F37))</f>
        <v>-</v>
      </c>
      <c r="H37" s="458" t="str">
        <f t="shared" si="5"/>
        <v>-</v>
      </c>
    </row>
    <row r="38" spans="2:9" x14ac:dyDescent="0.2">
      <c r="B38" s="457" t="str">
        <f t="shared" si="6"/>
        <v/>
      </c>
      <c r="C38" s="458" t="str">
        <f t="shared" si="2"/>
        <v>-</v>
      </c>
      <c r="D38" s="458" t="str">
        <f t="shared" si="3"/>
        <v>-</v>
      </c>
      <c r="E38" s="458" t="str">
        <f>IF(B38="","-",SUM($D$18:D38))</f>
        <v>-</v>
      </c>
      <c r="F38" s="458" t="str">
        <f t="shared" si="4"/>
        <v>-</v>
      </c>
      <c r="G38" s="458" t="str">
        <f>IF(B38="","-",SUM($F$18:F38))</f>
        <v>-</v>
      </c>
      <c r="H38" s="458" t="str">
        <f t="shared" si="5"/>
        <v>-</v>
      </c>
    </row>
    <row r="39" spans="2:9" x14ac:dyDescent="0.2">
      <c r="B39" s="457" t="str">
        <f t="shared" si="6"/>
        <v/>
      </c>
      <c r="C39" s="458" t="str">
        <f t="shared" si="2"/>
        <v>-</v>
      </c>
      <c r="D39" s="458" t="str">
        <f t="shared" si="3"/>
        <v>-</v>
      </c>
      <c r="E39" s="458" t="str">
        <f>IF(B39="","-",SUM($D$18:D39))</f>
        <v>-</v>
      </c>
      <c r="F39" s="458" t="str">
        <f t="shared" si="4"/>
        <v>-</v>
      </c>
      <c r="G39" s="458" t="str">
        <f>IF(B39="","-",SUM($F$18:F39))</f>
        <v>-</v>
      </c>
      <c r="H39" s="458" t="str">
        <f t="shared" si="5"/>
        <v>-</v>
      </c>
    </row>
    <row r="40" spans="2:9" x14ac:dyDescent="0.2">
      <c r="B40" s="457" t="str">
        <f t="shared" si="6"/>
        <v/>
      </c>
      <c r="C40" s="458" t="str">
        <f t="shared" si="2"/>
        <v>-</v>
      </c>
      <c r="D40" s="458" t="str">
        <f t="shared" si="3"/>
        <v>-</v>
      </c>
      <c r="E40" s="458" t="str">
        <f>IF(B40="","-",SUM($D$18:D40))</f>
        <v>-</v>
      </c>
      <c r="F40" s="458" t="str">
        <f t="shared" si="4"/>
        <v>-</v>
      </c>
      <c r="G40" s="458" t="str">
        <f>IF(B40="","-",SUM($F$18:F40))</f>
        <v>-</v>
      </c>
      <c r="H40" s="458" t="str">
        <f t="shared" si="5"/>
        <v>-</v>
      </c>
      <c r="I40" s="476"/>
    </row>
    <row r="41" spans="2:9" x14ac:dyDescent="0.2">
      <c r="B41" s="459" t="str">
        <f t="shared" si="6"/>
        <v/>
      </c>
      <c r="C41" s="460" t="str">
        <f t="shared" si="2"/>
        <v>-</v>
      </c>
      <c r="D41" s="460" t="str">
        <f t="shared" si="3"/>
        <v>-</v>
      </c>
      <c r="E41" s="460" t="str">
        <f>IF(B41="","-",SUM($D$18:D41))</f>
        <v>-</v>
      </c>
      <c r="F41" s="460" t="str">
        <f t="shared" si="4"/>
        <v>-</v>
      </c>
      <c r="G41" s="460" t="str">
        <f>IF(B41="","-",SUM($F$18:F41))</f>
        <v>-</v>
      </c>
      <c r="H41" s="460" t="str">
        <f t="shared" si="5"/>
        <v>-</v>
      </c>
    </row>
    <row r="42" spans="2:9" x14ac:dyDescent="0.2">
      <c r="B42" s="457" t="str">
        <f t="shared" si="6"/>
        <v/>
      </c>
      <c r="C42" s="458" t="str">
        <f t="shared" si="2"/>
        <v>-</v>
      </c>
      <c r="D42" s="458" t="str">
        <f t="shared" si="3"/>
        <v>-</v>
      </c>
      <c r="E42" s="458" t="str">
        <f>IF(B42="","-",SUM($D$18:D42))</f>
        <v>-</v>
      </c>
      <c r="F42" s="458" t="str">
        <f t="shared" si="4"/>
        <v>-</v>
      </c>
      <c r="G42" s="458" t="str">
        <f>IF(B42="","-",SUM($F$18:F42))</f>
        <v>-</v>
      </c>
      <c r="H42" s="458" t="str">
        <f t="shared" si="5"/>
        <v>-</v>
      </c>
    </row>
    <row r="43" spans="2:9" x14ac:dyDescent="0.2">
      <c r="B43" s="457" t="str">
        <f t="shared" si="6"/>
        <v/>
      </c>
      <c r="C43" s="458" t="str">
        <f t="shared" si="2"/>
        <v>-</v>
      </c>
      <c r="D43" s="458" t="str">
        <f t="shared" si="3"/>
        <v>-</v>
      </c>
      <c r="E43" s="458" t="str">
        <f>IF(B43="","-",SUM($D$18:D43))</f>
        <v>-</v>
      </c>
      <c r="F43" s="458" t="str">
        <f t="shared" si="4"/>
        <v>-</v>
      </c>
      <c r="G43" s="458" t="str">
        <f>IF(B43="","-",SUM($F$18:F43))</f>
        <v>-</v>
      </c>
      <c r="H43" s="458" t="str">
        <f t="shared" si="5"/>
        <v>-</v>
      </c>
    </row>
    <row r="44" spans="2:9" x14ac:dyDescent="0.2">
      <c r="B44" s="457" t="str">
        <f t="shared" si="6"/>
        <v/>
      </c>
      <c r="C44" s="458" t="str">
        <f t="shared" si="2"/>
        <v>-</v>
      </c>
      <c r="D44" s="458" t="str">
        <f t="shared" si="3"/>
        <v>-</v>
      </c>
      <c r="E44" s="458" t="str">
        <f>IF(B44="","-",SUM($D$18:D44))</f>
        <v>-</v>
      </c>
      <c r="F44" s="458" t="str">
        <f t="shared" si="4"/>
        <v>-</v>
      </c>
      <c r="G44" s="458" t="str">
        <f>IF(B44="","-",SUM($F$18:F44))</f>
        <v>-</v>
      </c>
      <c r="H44" s="458" t="str">
        <f t="shared" si="5"/>
        <v>-</v>
      </c>
    </row>
    <row r="45" spans="2:9" x14ac:dyDescent="0.2">
      <c r="B45" s="457" t="str">
        <f t="shared" si="6"/>
        <v/>
      </c>
      <c r="C45" s="458" t="str">
        <f t="shared" si="2"/>
        <v>-</v>
      </c>
      <c r="D45" s="458" t="str">
        <f t="shared" si="3"/>
        <v>-</v>
      </c>
      <c r="E45" s="458" t="str">
        <f>IF(B45="","-",SUM($D$18:D45))</f>
        <v>-</v>
      </c>
      <c r="F45" s="458" t="str">
        <f t="shared" si="4"/>
        <v>-</v>
      </c>
      <c r="G45" s="458" t="str">
        <f>IF(B45="","-",SUM($F$18:F45))</f>
        <v>-</v>
      </c>
      <c r="H45" s="458" t="str">
        <f t="shared" si="5"/>
        <v>-</v>
      </c>
    </row>
    <row r="46" spans="2:9" x14ac:dyDescent="0.2">
      <c r="B46" s="457" t="str">
        <f t="shared" si="6"/>
        <v/>
      </c>
      <c r="C46" s="458" t="str">
        <f t="shared" si="2"/>
        <v>-</v>
      </c>
      <c r="D46" s="458" t="str">
        <f t="shared" si="3"/>
        <v>-</v>
      </c>
      <c r="E46" s="458" t="str">
        <f>IF(B46="","-",SUM($D$18:D46))</f>
        <v>-</v>
      </c>
      <c r="F46" s="458" t="str">
        <f t="shared" si="4"/>
        <v>-</v>
      </c>
      <c r="G46" s="458" t="str">
        <f>IF(B46="","-",SUM($F$18:F46))</f>
        <v>-</v>
      </c>
      <c r="H46" s="458" t="str">
        <f t="shared" si="5"/>
        <v>-</v>
      </c>
    </row>
    <row r="47" spans="2:9" x14ac:dyDescent="0.2">
      <c r="B47" s="457" t="str">
        <f t="shared" si="6"/>
        <v/>
      </c>
      <c r="C47" s="458" t="str">
        <f t="shared" si="2"/>
        <v>-</v>
      </c>
      <c r="D47" s="458" t="str">
        <f t="shared" si="3"/>
        <v>-</v>
      </c>
      <c r="E47" s="458" t="str">
        <f>IF(B47="","-",SUM($D$18:D47))</f>
        <v>-</v>
      </c>
      <c r="F47" s="458" t="str">
        <f t="shared" si="4"/>
        <v>-</v>
      </c>
      <c r="G47" s="458" t="str">
        <f>IF(B47="","-",SUM($F$18:F47))</f>
        <v>-</v>
      </c>
      <c r="H47" s="458" t="str">
        <f t="shared" si="5"/>
        <v>-</v>
      </c>
    </row>
    <row r="48" spans="2:9" x14ac:dyDescent="0.2">
      <c r="B48" s="457" t="str">
        <f t="shared" si="6"/>
        <v/>
      </c>
      <c r="C48" s="458" t="str">
        <f t="shared" si="2"/>
        <v>-</v>
      </c>
      <c r="D48" s="458" t="str">
        <f t="shared" si="3"/>
        <v>-</v>
      </c>
      <c r="E48" s="458" t="str">
        <f>IF(B48="","-",SUM($D$18:D48))</f>
        <v>-</v>
      </c>
      <c r="F48" s="458" t="str">
        <f t="shared" si="4"/>
        <v>-</v>
      </c>
      <c r="G48" s="458" t="str">
        <f>IF(B48="","-",SUM($F$18:F48))</f>
        <v>-</v>
      </c>
      <c r="H48" s="458" t="str">
        <f t="shared" si="5"/>
        <v>-</v>
      </c>
    </row>
    <row r="49" spans="2:9" x14ac:dyDescent="0.2">
      <c r="B49" s="457" t="str">
        <f t="shared" si="6"/>
        <v/>
      </c>
      <c r="C49" s="458" t="str">
        <f t="shared" si="2"/>
        <v>-</v>
      </c>
      <c r="D49" s="458" t="str">
        <f t="shared" si="3"/>
        <v>-</v>
      </c>
      <c r="E49" s="458" t="str">
        <f>IF(B49="","-",SUM($D$18:D49))</f>
        <v>-</v>
      </c>
      <c r="F49" s="458" t="str">
        <f t="shared" si="4"/>
        <v>-</v>
      </c>
      <c r="G49" s="458" t="str">
        <f>IF(B49="","-",SUM($F$18:F49))</f>
        <v>-</v>
      </c>
      <c r="H49" s="458" t="str">
        <f t="shared" si="5"/>
        <v>-</v>
      </c>
    </row>
    <row r="50" spans="2:9" x14ac:dyDescent="0.2">
      <c r="B50" s="457" t="str">
        <f t="shared" si="6"/>
        <v/>
      </c>
      <c r="C50" s="458" t="str">
        <f t="shared" si="2"/>
        <v>-</v>
      </c>
      <c r="D50" s="458" t="str">
        <f t="shared" si="3"/>
        <v>-</v>
      </c>
      <c r="E50" s="458" t="str">
        <f>IF(B50="","-",SUM($D$18:D50))</f>
        <v>-</v>
      </c>
      <c r="F50" s="458" t="str">
        <f t="shared" si="4"/>
        <v>-</v>
      </c>
      <c r="G50" s="458" t="str">
        <f>IF(B50="","-",SUM($F$18:F50))</f>
        <v>-</v>
      </c>
      <c r="H50" s="458" t="str">
        <f t="shared" si="5"/>
        <v>-</v>
      </c>
    </row>
    <row r="51" spans="2:9" x14ac:dyDescent="0.2">
      <c r="B51" s="457" t="str">
        <f t="shared" si="6"/>
        <v/>
      </c>
      <c r="C51" s="458" t="str">
        <f t="shared" si="2"/>
        <v>-</v>
      </c>
      <c r="D51" s="458" t="str">
        <f t="shared" si="3"/>
        <v>-</v>
      </c>
      <c r="E51" s="458" t="str">
        <f>IF(B51="","-",SUM($D$18:D51))</f>
        <v>-</v>
      </c>
      <c r="F51" s="458" t="str">
        <f t="shared" si="4"/>
        <v>-</v>
      </c>
      <c r="G51" s="458" t="str">
        <f>IF(B51="","-",SUM($F$18:F51))</f>
        <v>-</v>
      </c>
      <c r="H51" s="458" t="str">
        <f t="shared" si="5"/>
        <v>-</v>
      </c>
    </row>
    <row r="52" spans="2:9" x14ac:dyDescent="0.2">
      <c r="B52" s="457" t="str">
        <f t="shared" si="6"/>
        <v/>
      </c>
      <c r="C52" s="458" t="str">
        <f t="shared" si="2"/>
        <v>-</v>
      </c>
      <c r="D52" s="458" t="str">
        <f t="shared" si="3"/>
        <v>-</v>
      </c>
      <c r="E52" s="458" t="str">
        <f>IF(B52="","-",SUM($D$18:D52))</f>
        <v>-</v>
      </c>
      <c r="F52" s="458" t="str">
        <f t="shared" si="4"/>
        <v>-</v>
      </c>
      <c r="G52" s="458" t="str">
        <f>IF(B52="","-",SUM($F$18:F52))</f>
        <v>-</v>
      </c>
      <c r="H52" s="458" t="str">
        <f t="shared" si="5"/>
        <v>-</v>
      </c>
      <c r="I52" s="476"/>
    </row>
    <row r="53" spans="2:9" x14ac:dyDescent="0.2">
      <c r="B53" s="459" t="str">
        <f t="shared" si="6"/>
        <v/>
      </c>
      <c r="C53" s="460" t="str">
        <f t="shared" si="2"/>
        <v>-</v>
      </c>
      <c r="D53" s="460" t="str">
        <f t="shared" si="3"/>
        <v>-</v>
      </c>
      <c r="E53" s="460" t="str">
        <f>IF(B53="","-",SUM($D$18:D53))</f>
        <v>-</v>
      </c>
      <c r="F53" s="460" t="str">
        <f t="shared" si="4"/>
        <v>-</v>
      </c>
      <c r="G53" s="460" t="str">
        <f>IF(B53="","-",SUM($F$18:F53))</f>
        <v>-</v>
      </c>
      <c r="H53" s="460" t="str">
        <f t="shared" si="5"/>
        <v>-</v>
      </c>
    </row>
    <row r="54" spans="2:9" x14ac:dyDescent="0.2">
      <c r="B54" s="457" t="str">
        <f t="shared" si="6"/>
        <v/>
      </c>
      <c r="C54" s="458" t="str">
        <f t="shared" si="2"/>
        <v>-</v>
      </c>
      <c r="D54" s="458" t="str">
        <f t="shared" si="3"/>
        <v>-</v>
      </c>
      <c r="E54" s="458" t="str">
        <f>IF(B54="","-",SUM($D$18:D54))</f>
        <v>-</v>
      </c>
      <c r="F54" s="458" t="str">
        <f t="shared" si="4"/>
        <v>-</v>
      </c>
      <c r="G54" s="458" t="str">
        <f>IF(B54="","-",SUM($F$18:F54))</f>
        <v>-</v>
      </c>
      <c r="H54" s="458" t="str">
        <f t="shared" si="5"/>
        <v>-</v>
      </c>
    </row>
    <row r="55" spans="2:9" x14ac:dyDescent="0.2">
      <c r="B55" s="457" t="str">
        <f t="shared" si="6"/>
        <v/>
      </c>
      <c r="C55" s="458" t="str">
        <f t="shared" si="2"/>
        <v>-</v>
      </c>
      <c r="D55" s="458" t="str">
        <f t="shared" si="3"/>
        <v>-</v>
      </c>
      <c r="E55" s="458" t="str">
        <f>IF(B55="","-",SUM($D$18:D55))</f>
        <v>-</v>
      </c>
      <c r="F55" s="458" t="str">
        <f t="shared" si="4"/>
        <v>-</v>
      </c>
      <c r="G55" s="458" t="str">
        <f>IF(B55="","-",SUM($F$18:F55))</f>
        <v>-</v>
      </c>
      <c r="H55" s="458" t="str">
        <f t="shared" si="5"/>
        <v>-</v>
      </c>
    </row>
    <row r="56" spans="2:9" x14ac:dyDescent="0.2">
      <c r="B56" s="457" t="str">
        <f t="shared" si="6"/>
        <v/>
      </c>
      <c r="C56" s="458" t="str">
        <f t="shared" si="2"/>
        <v>-</v>
      </c>
      <c r="D56" s="458" t="str">
        <f t="shared" si="3"/>
        <v>-</v>
      </c>
      <c r="E56" s="458" t="str">
        <f>IF(B56="","-",SUM($D$18:D56))</f>
        <v>-</v>
      </c>
      <c r="F56" s="458" t="str">
        <f t="shared" si="4"/>
        <v>-</v>
      </c>
      <c r="G56" s="458" t="str">
        <f>IF(B56="","-",SUM($F$18:F56))</f>
        <v>-</v>
      </c>
      <c r="H56" s="458" t="str">
        <f t="shared" si="5"/>
        <v>-</v>
      </c>
    </row>
    <row r="57" spans="2:9" x14ac:dyDescent="0.2">
      <c r="B57" s="457" t="str">
        <f t="shared" si="6"/>
        <v/>
      </c>
      <c r="C57" s="458" t="str">
        <f t="shared" si="2"/>
        <v>-</v>
      </c>
      <c r="D57" s="458" t="str">
        <f t="shared" si="3"/>
        <v>-</v>
      </c>
      <c r="E57" s="458" t="str">
        <f>IF(B57="","-",SUM($D$18:D57))</f>
        <v>-</v>
      </c>
      <c r="F57" s="458" t="str">
        <f t="shared" si="4"/>
        <v>-</v>
      </c>
      <c r="G57" s="458" t="str">
        <f>IF(B57="","-",SUM($F$18:F57))</f>
        <v>-</v>
      </c>
      <c r="H57" s="458" t="str">
        <f t="shared" si="5"/>
        <v>-</v>
      </c>
    </row>
    <row r="58" spans="2:9" x14ac:dyDescent="0.2">
      <c r="B58" s="457" t="str">
        <f t="shared" si="6"/>
        <v/>
      </c>
      <c r="C58" s="458" t="str">
        <f t="shared" si="2"/>
        <v>-</v>
      </c>
      <c r="D58" s="458" t="str">
        <f t="shared" si="3"/>
        <v>-</v>
      </c>
      <c r="E58" s="458" t="str">
        <f>IF(B58="","-",SUM($D$18:D58))</f>
        <v>-</v>
      </c>
      <c r="F58" s="458" t="str">
        <f t="shared" si="4"/>
        <v>-</v>
      </c>
      <c r="G58" s="458" t="str">
        <f>IF(B58="","-",SUM($F$18:F58))</f>
        <v>-</v>
      </c>
      <c r="H58" s="458" t="str">
        <f t="shared" si="5"/>
        <v>-</v>
      </c>
    </row>
    <row r="59" spans="2:9" x14ac:dyDescent="0.2">
      <c r="B59" s="457" t="str">
        <f t="shared" si="6"/>
        <v/>
      </c>
      <c r="C59" s="458" t="str">
        <f t="shared" si="2"/>
        <v>-</v>
      </c>
      <c r="D59" s="458" t="str">
        <f t="shared" si="3"/>
        <v>-</v>
      </c>
      <c r="E59" s="458" t="str">
        <f>IF(B59="","-",SUM($D$18:D59))</f>
        <v>-</v>
      </c>
      <c r="F59" s="458" t="str">
        <f t="shared" si="4"/>
        <v>-</v>
      </c>
      <c r="G59" s="458" t="str">
        <f>IF(B59="","-",SUM($F$18:F59))</f>
        <v>-</v>
      </c>
      <c r="H59" s="458" t="str">
        <f t="shared" si="5"/>
        <v>-</v>
      </c>
    </row>
    <row r="60" spans="2:9" x14ac:dyDescent="0.2">
      <c r="B60" s="457" t="str">
        <f t="shared" si="6"/>
        <v/>
      </c>
      <c r="C60" s="458" t="str">
        <f t="shared" si="2"/>
        <v>-</v>
      </c>
      <c r="D60" s="458" t="str">
        <f t="shared" si="3"/>
        <v>-</v>
      </c>
      <c r="E60" s="458" t="str">
        <f>IF(B60="","-",SUM($D$18:D60))</f>
        <v>-</v>
      </c>
      <c r="F60" s="458" t="str">
        <f t="shared" si="4"/>
        <v>-</v>
      </c>
      <c r="G60" s="458" t="str">
        <f>IF(B60="","-",SUM($F$18:F60))</f>
        <v>-</v>
      </c>
      <c r="H60" s="458" t="str">
        <f t="shared" si="5"/>
        <v>-</v>
      </c>
    </row>
    <row r="61" spans="2:9" x14ac:dyDescent="0.2">
      <c r="B61" s="457" t="str">
        <f t="shared" si="6"/>
        <v/>
      </c>
      <c r="C61" s="458" t="str">
        <f t="shared" si="2"/>
        <v>-</v>
      </c>
      <c r="D61" s="458" t="str">
        <f t="shared" si="3"/>
        <v>-</v>
      </c>
      <c r="E61" s="458" t="str">
        <f>IF(B61="","-",SUM($D$18:D61))</f>
        <v>-</v>
      </c>
      <c r="F61" s="458" t="str">
        <f t="shared" si="4"/>
        <v>-</v>
      </c>
      <c r="G61" s="458" t="str">
        <f>IF(B61="","-",SUM($F$18:F61))</f>
        <v>-</v>
      </c>
      <c r="H61" s="458" t="str">
        <f t="shared" si="5"/>
        <v>-</v>
      </c>
    </row>
    <row r="62" spans="2:9" x14ac:dyDescent="0.2">
      <c r="B62" s="457" t="str">
        <f t="shared" si="6"/>
        <v/>
      </c>
      <c r="C62" s="458" t="str">
        <f t="shared" si="2"/>
        <v>-</v>
      </c>
      <c r="D62" s="458" t="str">
        <f t="shared" si="3"/>
        <v>-</v>
      </c>
      <c r="E62" s="458" t="str">
        <f>IF(B62="","-",SUM($D$18:D62))</f>
        <v>-</v>
      </c>
      <c r="F62" s="458" t="str">
        <f t="shared" si="4"/>
        <v>-</v>
      </c>
      <c r="G62" s="458" t="str">
        <f>IF(B62="","-",SUM($F$18:F62))</f>
        <v>-</v>
      </c>
      <c r="H62" s="458" t="str">
        <f t="shared" si="5"/>
        <v>-</v>
      </c>
    </row>
    <row r="63" spans="2:9" x14ac:dyDescent="0.2">
      <c r="B63" s="457" t="str">
        <f t="shared" si="6"/>
        <v/>
      </c>
      <c r="C63" s="458" t="str">
        <f t="shared" si="2"/>
        <v>-</v>
      </c>
      <c r="D63" s="458" t="str">
        <f t="shared" si="3"/>
        <v>-</v>
      </c>
      <c r="E63" s="458" t="str">
        <f>IF(B63="","-",SUM($D$18:D63))</f>
        <v>-</v>
      </c>
      <c r="F63" s="458" t="str">
        <f t="shared" si="4"/>
        <v>-</v>
      </c>
      <c r="G63" s="458" t="str">
        <f>IF(B63="","-",SUM($F$18:F63))</f>
        <v>-</v>
      </c>
      <c r="H63" s="458" t="str">
        <f t="shared" si="5"/>
        <v>-</v>
      </c>
    </row>
    <row r="64" spans="2:9" x14ac:dyDescent="0.2">
      <c r="B64" s="457" t="str">
        <f t="shared" si="6"/>
        <v/>
      </c>
      <c r="C64" s="458" t="str">
        <f t="shared" si="2"/>
        <v>-</v>
      </c>
      <c r="D64" s="458" t="str">
        <f t="shared" si="3"/>
        <v>-</v>
      </c>
      <c r="E64" s="458" t="str">
        <f>IF(B64="","-",SUM($D$18:D64))</f>
        <v>-</v>
      </c>
      <c r="F64" s="458" t="str">
        <f t="shared" si="4"/>
        <v>-</v>
      </c>
      <c r="G64" s="458" t="str">
        <f>IF(B64="","-",SUM($F$18:F64))</f>
        <v>-</v>
      </c>
      <c r="H64" s="458" t="str">
        <f t="shared" si="5"/>
        <v>-</v>
      </c>
      <c r="I64" s="476"/>
    </row>
    <row r="65" spans="2:9" x14ac:dyDescent="0.2">
      <c r="B65" s="459" t="str">
        <f>IF(B64&gt;=$D$5*12,"",B64+1)</f>
        <v/>
      </c>
      <c r="C65" s="460" t="str">
        <f t="shared" si="2"/>
        <v>-</v>
      </c>
      <c r="D65" s="460" t="str">
        <f t="shared" si="3"/>
        <v>-</v>
      </c>
      <c r="E65" s="460" t="str">
        <f>IF(B65="","-",SUM($D$18:D65))</f>
        <v>-</v>
      </c>
      <c r="F65" s="460" t="str">
        <f t="shared" si="4"/>
        <v>-</v>
      </c>
      <c r="G65" s="460" t="str">
        <f>IF(B65="","-",SUM($F$18:F65))</f>
        <v>-</v>
      </c>
      <c r="H65" s="460" t="str">
        <f t="shared" si="5"/>
        <v>-</v>
      </c>
    </row>
    <row r="66" spans="2:9" x14ac:dyDescent="0.2">
      <c r="B66" s="457" t="str">
        <f t="shared" si="6"/>
        <v/>
      </c>
      <c r="C66" s="458" t="str">
        <f t="shared" si="2"/>
        <v>-</v>
      </c>
      <c r="D66" s="458" t="str">
        <f t="shared" si="3"/>
        <v>-</v>
      </c>
      <c r="E66" s="458" t="str">
        <f>IF(B66="","-",SUM($D$18:D66))</f>
        <v>-</v>
      </c>
      <c r="F66" s="458" t="str">
        <f t="shared" si="4"/>
        <v>-</v>
      </c>
      <c r="G66" s="458" t="str">
        <f>IF(B66="","-",SUM($F$18:F66))</f>
        <v>-</v>
      </c>
      <c r="H66" s="458" t="str">
        <f t="shared" si="5"/>
        <v>-</v>
      </c>
    </row>
    <row r="67" spans="2:9" x14ac:dyDescent="0.2">
      <c r="B67" s="457" t="str">
        <f t="shared" si="6"/>
        <v/>
      </c>
      <c r="C67" s="458" t="str">
        <f t="shared" si="2"/>
        <v>-</v>
      </c>
      <c r="D67" s="458" t="str">
        <f t="shared" si="3"/>
        <v>-</v>
      </c>
      <c r="E67" s="458" t="str">
        <f>IF(B67="","-",SUM($D$18:D67))</f>
        <v>-</v>
      </c>
      <c r="F67" s="458" t="str">
        <f t="shared" si="4"/>
        <v>-</v>
      </c>
      <c r="G67" s="458" t="str">
        <f>IF(B67="","-",SUM($F$18:F67))</f>
        <v>-</v>
      </c>
      <c r="H67" s="458" t="str">
        <f t="shared" si="5"/>
        <v>-</v>
      </c>
    </row>
    <row r="68" spans="2:9" x14ac:dyDescent="0.2">
      <c r="B68" s="457" t="str">
        <f t="shared" si="6"/>
        <v/>
      </c>
      <c r="C68" s="458" t="str">
        <f t="shared" si="2"/>
        <v>-</v>
      </c>
      <c r="D68" s="458" t="str">
        <f t="shared" si="3"/>
        <v>-</v>
      </c>
      <c r="E68" s="458" t="str">
        <f>IF(B68="","-",SUM($D$18:D68))</f>
        <v>-</v>
      </c>
      <c r="F68" s="458" t="str">
        <f t="shared" si="4"/>
        <v>-</v>
      </c>
      <c r="G68" s="458" t="str">
        <f>IF(B68="","-",SUM($F$18:F68))</f>
        <v>-</v>
      </c>
      <c r="H68" s="458" t="str">
        <f t="shared" si="5"/>
        <v>-</v>
      </c>
    </row>
    <row r="69" spans="2:9" x14ac:dyDescent="0.2">
      <c r="B69" s="457" t="str">
        <f t="shared" si="6"/>
        <v/>
      </c>
      <c r="C69" s="458" t="str">
        <f t="shared" si="2"/>
        <v>-</v>
      </c>
      <c r="D69" s="458" t="str">
        <f t="shared" si="3"/>
        <v>-</v>
      </c>
      <c r="E69" s="458" t="str">
        <f>IF(B69="","-",SUM($D$18:D69))</f>
        <v>-</v>
      </c>
      <c r="F69" s="458" t="str">
        <f t="shared" si="4"/>
        <v>-</v>
      </c>
      <c r="G69" s="458" t="str">
        <f>IF(B69="","-",SUM($F$18:F69))</f>
        <v>-</v>
      </c>
      <c r="H69" s="458" t="str">
        <f t="shared" si="5"/>
        <v>-</v>
      </c>
    </row>
    <row r="70" spans="2:9" x14ac:dyDescent="0.2">
      <c r="B70" s="457" t="str">
        <f t="shared" si="6"/>
        <v/>
      </c>
      <c r="C70" s="458" t="str">
        <f t="shared" si="2"/>
        <v>-</v>
      </c>
      <c r="D70" s="458" t="str">
        <f t="shared" si="3"/>
        <v>-</v>
      </c>
      <c r="E70" s="458" t="str">
        <f>IF(B70="","-",SUM($D$18:D70))</f>
        <v>-</v>
      </c>
      <c r="F70" s="458" t="str">
        <f t="shared" si="4"/>
        <v>-</v>
      </c>
      <c r="G70" s="458" t="str">
        <f>IF(B70="","-",SUM($F$18:F70))</f>
        <v>-</v>
      </c>
      <c r="H70" s="458" t="str">
        <f t="shared" si="5"/>
        <v>-</v>
      </c>
    </row>
    <row r="71" spans="2:9" x14ac:dyDescent="0.2">
      <c r="B71" s="457" t="str">
        <f t="shared" si="6"/>
        <v/>
      </c>
      <c r="C71" s="458" t="str">
        <f t="shared" si="2"/>
        <v>-</v>
      </c>
      <c r="D71" s="458" t="str">
        <f t="shared" si="3"/>
        <v>-</v>
      </c>
      <c r="E71" s="458" t="str">
        <f>IF(B71="","-",SUM($D$18:D71))</f>
        <v>-</v>
      </c>
      <c r="F71" s="458" t="str">
        <f t="shared" si="4"/>
        <v>-</v>
      </c>
      <c r="G71" s="458" t="str">
        <f>IF(B71="","-",SUM($F$18:F71))</f>
        <v>-</v>
      </c>
      <c r="H71" s="458" t="str">
        <f t="shared" si="5"/>
        <v>-</v>
      </c>
    </row>
    <row r="72" spans="2:9" x14ac:dyDescent="0.2">
      <c r="B72" s="457" t="str">
        <f t="shared" si="6"/>
        <v/>
      </c>
      <c r="C72" s="458" t="str">
        <f t="shared" si="2"/>
        <v>-</v>
      </c>
      <c r="D72" s="458" t="str">
        <f t="shared" si="3"/>
        <v>-</v>
      </c>
      <c r="E72" s="458" t="str">
        <f>IF(B72="","-",SUM($D$18:D72))</f>
        <v>-</v>
      </c>
      <c r="F72" s="458" t="str">
        <f t="shared" si="4"/>
        <v>-</v>
      </c>
      <c r="G72" s="458" t="str">
        <f>IF(B72="","-",SUM($F$18:F72))</f>
        <v>-</v>
      </c>
      <c r="H72" s="458" t="str">
        <f t="shared" si="5"/>
        <v>-</v>
      </c>
    </row>
    <row r="73" spans="2:9" x14ac:dyDescent="0.2">
      <c r="B73" s="457" t="str">
        <f t="shared" si="6"/>
        <v/>
      </c>
      <c r="C73" s="458" t="str">
        <f t="shared" si="2"/>
        <v>-</v>
      </c>
      <c r="D73" s="458" t="str">
        <f t="shared" si="3"/>
        <v>-</v>
      </c>
      <c r="E73" s="458" t="str">
        <f>IF(B73="","-",SUM($D$18:D73))</f>
        <v>-</v>
      </c>
      <c r="F73" s="458" t="str">
        <f t="shared" si="4"/>
        <v>-</v>
      </c>
      <c r="G73" s="458" t="str">
        <f>IF(B73="","-",SUM($F$18:F73))</f>
        <v>-</v>
      </c>
      <c r="H73" s="458" t="str">
        <f t="shared" si="5"/>
        <v>-</v>
      </c>
    </row>
    <row r="74" spans="2:9" x14ac:dyDescent="0.2">
      <c r="B74" s="457" t="str">
        <f t="shared" si="6"/>
        <v/>
      </c>
      <c r="C74" s="458" t="str">
        <f t="shared" si="2"/>
        <v>-</v>
      </c>
      <c r="D74" s="458" t="str">
        <f t="shared" si="3"/>
        <v>-</v>
      </c>
      <c r="E74" s="458" t="str">
        <f>IF(B74="","-",SUM($D$18:D74))</f>
        <v>-</v>
      </c>
      <c r="F74" s="458" t="str">
        <f t="shared" si="4"/>
        <v>-</v>
      </c>
      <c r="G74" s="458" t="str">
        <f>IF(B74="","-",SUM($F$18:F74))</f>
        <v>-</v>
      </c>
      <c r="H74" s="458" t="str">
        <f t="shared" si="5"/>
        <v>-</v>
      </c>
    </row>
    <row r="75" spans="2:9" x14ac:dyDescent="0.2">
      <c r="B75" s="457" t="str">
        <f t="shared" si="6"/>
        <v/>
      </c>
      <c r="C75" s="458" t="str">
        <f t="shared" si="2"/>
        <v>-</v>
      </c>
      <c r="D75" s="458" t="str">
        <f t="shared" si="3"/>
        <v>-</v>
      </c>
      <c r="E75" s="458" t="str">
        <f>IF(B75="","-",SUM($D$18:D75))</f>
        <v>-</v>
      </c>
      <c r="F75" s="458" t="str">
        <f t="shared" si="4"/>
        <v>-</v>
      </c>
      <c r="G75" s="458" t="str">
        <f>IF(B75="","-",SUM($F$18:F75))</f>
        <v>-</v>
      </c>
      <c r="H75" s="458" t="str">
        <f t="shared" si="5"/>
        <v>-</v>
      </c>
    </row>
    <row r="76" spans="2:9" x14ac:dyDescent="0.2">
      <c r="B76" s="457" t="str">
        <f t="shared" si="6"/>
        <v/>
      </c>
      <c r="C76" s="458" t="str">
        <f t="shared" si="2"/>
        <v>-</v>
      </c>
      <c r="D76" s="458" t="str">
        <f t="shared" si="3"/>
        <v>-</v>
      </c>
      <c r="E76" s="458" t="str">
        <f>IF(B76="","-",SUM($D$18:D76))</f>
        <v>-</v>
      </c>
      <c r="F76" s="458" t="str">
        <f t="shared" si="4"/>
        <v>-</v>
      </c>
      <c r="G76" s="458" t="str">
        <f>IF(B76="","-",SUM($F$18:F76))</f>
        <v>-</v>
      </c>
      <c r="H76" s="458" t="str">
        <f t="shared" si="5"/>
        <v>-</v>
      </c>
      <c r="I76" s="476"/>
    </row>
    <row r="77" spans="2:9" x14ac:dyDescent="0.2">
      <c r="B77" s="459" t="str">
        <f>IF(B76&gt;=$D$5*12,"",B76+1)</f>
        <v/>
      </c>
      <c r="C77" s="460" t="str">
        <f t="shared" si="2"/>
        <v>-</v>
      </c>
      <c r="D77" s="460" t="str">
        <f t="shared" si="3"/>
        <v>-</v>
      </c>
      <c r="E77" s="460" t="str">
        <f>IF(B77="","-",SUM($D$18:D77))</f>
        <v>-</v>
      </c>
      <c r="F77" s="460" t="str">
        <f t="shared" si="4"/>
        <v>-</v>
      </c>
      <c r="G77" s="460" t="str">
        <f>IF(B77="","-",SUM($F$18:F77))</f>
        <v>-</v>
      </c>
      <c r="H77" s="460" t="str">
        <f t="shared" si="5"/>
        <v>-</v>
      </c>
    </row>
    <row r="78" spans="2:9" x14ac:dyDescent="0.2">
      <c r="B78" s="457" t="str">
        <f t="shared" si="6"/>
        <v/>
      </c>
      <c r="C78" s="458" t="str">
        <f t="shared" si="2"/>
        <v>-</v>
      </c>
      <c r="D78" s="458" t="str">
        <f t="shared" si="3"/>
        <v>-</v>
      </c>
      <c r="E78" s="458" t="str">
        <f>IF(B78="","-",SUM($D$18:D78))</f>
        <v>-</v>
      </c>
      <c r="F78" s="458" t="str">
        <f t="shared" si="4"/>
        <v>-</v>
      </c>
      <c r="G78" s="458" t="str">
        <f>IF(B78="","-",SUM($F$18:F78))</f>
        <v>-</v>
      </c>
      <c r="H78" s="458" t="str">
        <f t="shared" si="5"/>
        <v>-</v>
      </c>
    </row>
    <row r="79" spans="2:9" x14ac:dyDescent="0.2">
      <c r="B79" s="457" t="str">
        <f t="shared" si="6"/>
        <v/>
      </c>
      <c r="C79" s="458" t="str">
        <f t="shared" si="2"/>
        <v>-</v>
      </c>
      <c r="D79" s="458" t="str">
        <f t="shared" si="3"/>
        <v>-</v>
      </c>
      <c r="E79" s="458" t="str">
        <f>IF(B79="","-",SUM($D$18:D79))</f>
        <v>-</v>
      </c>
      <c r="F79" s="458" t="str">
        <f t="shared" si="4"/>
        <v>-</v>
      </c>
      <c r="G79" s="458" t="str">
        <f>IF(B79="","-",SUM($F$18:F79))</f>
        <v>-</v>
      </c>
      <c r="H79" s="458" t="str">
        <f t="shared" si="5"/>
        <v>-</v>
      </c>
    </row>
    <row r="80" spans="2:9" x14ac:dyDescent="0.2">
      <c r="B80" s="457" t="str">
        <f t="shared" si="6"/>
        <v/>
      </c>
      <c r="C80" s="458" t="str">
        <f t="shared" si="2"/>
        <v>-</v>
      </c>
      <c r="D80" s="458" t="str">
        <f t="shared" si="3"/>
        <v>-</v>
      </c>
      <c r="E80" s="458" t="str">
        <f>IF(B80="","-",SUM($D$18:D80))</f>
        <v>-</v>
      </c>
      <c r="F80" s="458" t="str">
        <f t="shared" si="4"/>
        <v>-</v>
      </c>
      <c r="G80" s="458" t="str">
        <f>IF(B80="","-",SUM($F$18:F80))</f>
        <v>-</v>
      </c>
      <c r="H80" s="458" t="str">
        <f t="shared" si="5"/>
        <v>-</v>
      </c>
    </row>
    <row r="81" spans="2:9" x14ac:dyDescent="0.2">
      <c r="B81" s="457" t="str">
        <f t="shared" si="6"/>
        <v/>
      </c>
      <c r="C81" s="458" t="str">
        <f t="shared" si="2"/>
        <v>-</v>
      </c>
      <c r="D81" s="458" t="str">
        <f t="shared" si="3"/>
        <v>-</v>
      </c>
      <c r="E81" s="458" t="str">
        <f>IF(B81="","-",SUM($D$18:D81))</f>
        <v>-</v>
      </c>
      <c r="F81" s="458" t="str">
        <f t="shared" si="4"/>
        <v>-</v>
      </c>
      <c r="G81" s="458" t="str">
        <f>IF(B81="","-",SUM($F$18:F81))</f>
        <v>-</v>
      </c>
      <c r="H81" s="458" t="str">
        <f t="shared" si="5"/>
        <v>-</v>
      </c>
    </row>
    <row r="82" spans="2:9" x14ac:dyDescent="0.2">
      <c r="B82" s="457" t="str">
        <f t="shared" si="6"/>
        <v/>
      </c>
      <c r="C82" s="458" t="str">
        <f t="shared" ref="C82:C145" si="7">IF(B82="","-",IF(B82&lt;=$D$6,D82,  $D$7))</f>
        <v>-</v>
      </c>
      <c r="D82" s="458" t="str">
        <f t="shared" ref="D82:D145" si="8">IF(B82="","-",$D$4/12*H81)</f>
        <v>-</v>
      </c>
      <c r="E82" s="458" t="str">
        <f>IF(B82="","-",SUM($D$18:D82))</f>
        <v>-</v>
      </c>
      <c r="F82" s="458" t="str">
        <f t="shared" ref="F82:F145" si="9">IF(B82="","-",C82-D82)</f>
        <v>-</v>
      </c>
      <c r="G82" s="458" t="str">
        <f>IF(B82="","-",SUM($F$18:F82))</f>
        <v>-</v>
      </c>
      <c r="H82" s="458" t="str">
        <f t="shared" ref="H82:H145" si="10">IF(B82="","-",H81-F82)</f>
        <v>-</v>
      </c>
    </row>
    <row r="83" spans="2:9" x14ac:dyDescent="0.2">
      <c r="B83" s="457" t="str">
        <f t="shared" si="6"/>
        <v/>
      </c>
      <c r="C83" s="458" t="str">
        <f t="shared" si="7"/>
        <v>-</v>
      </c>
      <c r="D83" s="458" t="str">
        <f t="shared" si="8"/>
        <v>-</v>
      </c>
      <c r="E83" s="458" t="str">
        <f>IF(B83="","-",SUM($D$18:D83))</f>
        <v>-</v>
      </c>
      <c r="F83" s="458" t="str">
        <f t="shared" si="9"/>
        <v>-</v>
      </c>
      <c r="G83" s="458" t="str">
        <f>IF(B83="","-",SUM($F$18:F83))</f>
        <v>-</v>
      </c>
      <c r="H83" s="458" t="str">
        <f t="shared" si="10"/>
        <v>-</v>
      </c>
    </row>
    <row r="84" spans="2:9" x14ac:dyDescent="0.2">
      <c r="B84" s="457" t="str">
        <f t="shared" si="6"/>
        <v/>
      </c>
      <c r="C84" s="458" t="str">
        <f t="shared" si="7"/>
        <v>-</v>
      </c>
      <c r="D84" s="458" t="str">
        <f t="shared" si="8"/>
        <v>-</v>
      </c>
      <c r="E84" s="458" t="str">
        <f>IF(B84="","-",SUM($D$18:D84))</f>
        <v>-</v>
      </c>
      <c r="F84" s="458" t="str">
        <f t="shared" si="9"/>
        <v>-</v>
      </c>
      <c r="G84" s="458" t="str">
        <f>IF(B84="","-",SUM($F$18:F84))</f>
        <v>-</v>
      </c>
      <c r="H84" s="458" t="str">
        <f t="shared" si="10"/>
        <v>-</v>
      </c>
    </row>
    <row r="85" spans="2:9" x14ac:dyDescent="0.2">
      <c r="B85" s="457" t="str">
        <f t="shared" si="6"/>
        <v/>
      </c>
      <c r="C85" s="458" t="str">
        <f t="shared" si="7"/>
        <v>-</v>
      </c>
      <c r="D85" s="458" t="str">
        <f t="shared" si="8"/>
        <v>-</v>
      </c>
      <c r="E85" s="458" t="str">
        <f>IF(B85="","-",SUM($D$18:D85))</f>
        <v>-</v>
      </c>
      <c r="F85" s="458" t="str">
        <f t="shared" si="9"/>
        <v>-</v>
      </c>
      <c r="G85" s="458" t="str">
        <f>IF(B85="","-",SUM($F$18:F85))</f>
        <v>-</v>
      </c>
      <c r="H85" s="458" t="str">
        <f t="shared" si="10"/>
        <v>-</v>
      </c>
    </row>
    <row r="86" spans="2:9" x14ac:dyDescent="0.2">
      <c r="B86" s="457" t="str">
        <f t="shared" si="6"/>
        <v/>
      </c>
      <c r="C86" s="458" t="str">
        <f t="shared" si="7"/>
        <v>-</v>
      </c>
      <c r="D86" s="458" t="str">
        <f t="shared" si="8"/>
        <v>-</v>
      </c>
      <c r="E86" s="458" t="str">
        <f>IF(B86="","-",SUM($D$18:D86))</f>
        <v>-</v>
      </c>
      <c r="F86" s="458" t="str">
        <f t="shared" si="9"/>
        <v>-</v>
      </c>
      <c r="G86" s="458" t="str">
        <f>IF(B86="","-",SUM($F$18:F86))</f>
        <v>-</v>
      </c>
      <c r="H86" s="458" t="str">
        <f t="shared" si="10"/>
        <v>-</v>
      </c>
    </row>
    <row r="87" spans="2:9" x14ac:dyDescent="0.2">
      <c r="B87" s="457" t="str">
        <f t="shared" si="6"/>
        <v/>
      </c>
      <c r="C87" s="458" t="str">
        <f t="shared" si="7"/>
        <v>-</v>
      </c>
      <c r="D87" s="458" t="str">
        <f t="shared" si="8"/>
        <v>-</v>
      </c>
      <c r="E87" s="458" t="str">
        <f>IF(B87="","-",SUM($D$18:D87))</f>
        <v>-</v>
      </c>
      <c r="F87" s="458" t="str">
        <f t="shared" si="9"/>
        <v>-</v>
      </c>
      <c r="G87" s="458" t="str">
        <f>IF(B87="","-",SUM($F$18:F87))</f>
        <v>-</v>
      </c>
      <c r="H87" s="458" t="str">
        <f t="shared" si="10"/>
        <v>-</v>
      </c>
    </row>
    <row r="88" spans="2:9" x14ac:dyDescent="0.2">
      <c r="B88" s="457" t="str">
        <f t="shared" si="6"/>
        <v/>
      </c>
      <c r="C88" s="458" t="str">
        <f t="shared" si="7"/>
        <v>-</v>
      </c>
      <c r="D88" s="458" t="str">
        <f t="shared" si="8"/>
        <v>-</v>
      </c>
      <c r="E88" s="458" t="str">
        <f>IF(B88="","-",SUM($D$18:D88))</f>
        <v>-</v>
      </c>
      <c r="F88" s="458" t="str">
        <f t="shared" si="9"/>
        <v>-</v>
      </c>
      <c r="G88" s="458" t="str">
        <f>IF(B88="","-",SUM($F$18:F88))</f>
        <v>-</v>
      </c>
      <c r="H88" s="477" t="str">
        <f t="shared" si="10"/>
        <v>-</v>
      </c>
      <c r="I88" s="476"/>
    </row>
    <row r="89" spans="2:9" x14ac:dyDescent="0.2">
      <c r="B89" s="459" t="str">
        <f t="shared" si="6"/>
        <v/>
      </c>
      <c r="C89" s="460" t="str">
        <f t="shared" si="7"/>
        <v>-</v>
      </c>
      <c r="D89" s="460" t="str">
        <f t="shared" si="8"/>
        <v>-</v>
      </c>
      <c r="E89" s="460" t="str">
        <f>IF(B89="","-",SUM($D$18:D89))</f>
        <v>-</v>
      </c>
      <c r="F89" s="460" t="str">
        <f t="shared" si="9"/>
        <v>-</v>
      </c>
      <c r="G89" s="460" t="str">
        <f>IF(B89="","-",SUM($F$18:F89))</f>
        <v>-</v>
      </c>
      <c r="H89" s="460" t="str">
        <f t="shared" si="10"/>
        <v>-</v>
      </c>
    </row>
    <row r="90" spans="2:9" x14ac:dyDescent="0.2">
      <c r="B90" s="457" t="str">
        <f t="shared" si="6"/>
        <v/>
      </c>
      <c r="C90" s="458" t="str">
        <f t="shared" si="7"/>
        <v>-</v>
      </c>
      <c r="D90" s="458" t="str">
        <f t="shared" si="8"/>
        <v>-</v>
      </c>
      <c r="E90" s="458" t="str">
        <f>IF(B90="","-",SUM($D$18:D90))</f>
        <v>-</v>
      </c>
      <c r="F90" s="458" t="str">
        <f t="shared" si="9"/>
        <v>-</v>
      </c>
      <c r="G90" s="458" t="str">
        <f>IF(B90="","-",SUM($F$18:F90))</f>
        <v>-</v>
      </c>
      <c r="H90" s="458" t="str">
        <f t="shared" si="10"/>
        <v>-</v>
      </c>
    </row>
    <row r="91" spans="2:9" x14ac:dyDescent="0.2">
      <c r="B91" s="457" t="str">
        <f t="shared" si="6"/>
        <v/>
      </c>
      <c r="C91" s="458" t="str">
        <f t="shared" si="7"/>
        <v>-</v>
      </c>
      <c r="D91" s="458" t="str">
        <f t="shared" si="8"/>
        <v>-</v>
      </c>
      <c r="E91" s="458" t="str">
        <f>IF(B91="","-",SUM($D$18:D91))</f>
        <v>-</v>
      </c>
      <c r="F91" s="458" t="str">
        <f t="shared" si="9"/>
        <v>-</v>
      </c>
      <c r="G91" s="458" t="str">
        <f>IF(B91="","-",SUM($F$18:F91))</f>
        <v>-</v>
      </c>
      <c r="H91" s="458" t="str">
        <f t="shared" si="10"/>
        <v>-</v>
      </c>
    </row>
    <row r="92" spans="2:9" x14ac:dyDescent="0.2">
      <c r="B92" s="457" t="str">
        <f t="shared" si="6"/>
        <v/>
      </c>
      <c r="C92" s="458" t="str">
        <f t="shared" si="7"/>
        <v>-</v>
      </c>
      <c r="D92" s="458" t="str">
        <f t="shared" si="8"/>
        <v>-</v>
      </c>
      <c r="E92" s="458" t="str">
        <f>IF(B92="","-",SUM($D$18:D92))</f>
        <v>-</v>
      </c>
      <c r="F92" s="458" t="str">
        <f t="shared" si="9"/>
        <v>-</v>
      </c>
      <c r="G92" s="458" t="str">
        <f>IF(B92="","-",SUM($F$18:F92))</f>
        <v>-</v>
      </c>
      <c r="H92" s="458" t="str">
        <f t="shared" si="10"/>
        <v>-</v>
      </c>
    </row>
    <row r="93" spans="2:9" x14ac:dyDescent="0.2">
      <c r="B93" s="457" t="str">
        <f t="shared" si="6"/>
        <v/>
      </c>
      <c r="C93" s="458" t="str">
        <f t="shared" si="7"/>
        <v>-</v>
      </c>
      <c r="D93" s="458" t="str">
        <f t="shared" si="8"/>
        <v>-</v>
      </c>
      <c r="E93" s="458" t="str">
        <f>IF(B93="","-",SUM($D$18:D93))</f>
        <v>-</v>
      </c>
      <c r="F93" s="458" t="str">
        <f t="shared" si="9"/>
        <v>-</v>
      </c>
      <c r="G93" s="458" t="str">
        <f>IF(B93="","-",SUM($F$18:F93))</f>
        <v>-</v>
      </c>
      <c r="H93" s="458" t="str">
        <f t="shared" si="10"/>
        <v>-</v>
      </c>
    </row>
    <row r="94" spans="2:9" x14ac:dyDescent="0.2">
      <c r="B94" s="457" t="str">
        <f t="shared" ref="B94:B157" si="11">IF(B93&gt;=$D$5*12,"",B93+1)</f>
        <v/>
      </c>
      <c r="C94" s="458" t="str">
        <f t="shared" si="7"/>
        <v>-</v>
      </c>
      <c r="D94" s="458" t="str">
        <f t="shared" si="8"/>
        <v>-</v>
      </c>
      <c r="E94" s="458" t="str">
        <f>IF(B94="","-",SUM($D$18:D94))</f>
        <v>-</v>
      </c>
      <c r="F94" s="458" t="str">
        <f t="shared" si="9"/>
        <v>-</v>
      </c>
      <c r="G94" s="458" t="str">
        <f>IF(B94="","-",SUM($F$18:F94))</f>
        <v>-</v>
      </c>
      <c r="H94" s="458" t="str">
        <f t="shared" si="10"/>
        <v>-</v>
      </c>
    </row>
    <row r="95" spans="2:9" x14ac:dyDescent="0.2">
      <c r="B95" s="457" t="str">
        <f t="shared" si="11"/>
        <v/>
      </c>
      <c r="C95" s="458" t="str">
        <f t="shared" si="7"/>
        <v>-</v>
      </c>
      <c r="D95" s="458" t="str">
        <f t="shared" si="8"/>
        <v>-</v>
      </c>
      <c r="E95" s="458" t="str">
        <f>IF(B95="","-",SUM($D$18:D95))</f>
        <v>-</v>
      </c>
      <c r="F95" s="458" t="str">
        <f t="shared" si="9"/>
        <v>-</v>
      </c>
      <c r="G95" s="458" t="str">
        <f>IF(B95="","-",SUM($F$18:F95))</f>
        <v>-</v>
      </c>
      <c r="H95" s="458" t="str">
        <f t="shared" si="10"/>
        <v>-</v>
      </c>
    </row>
    <row r="96" spans="2:9" x14ac:dyDescent="0.2">
      <c r="B96" s="457" t="str">
        <f t="shared" si="11"/>
        <v/>
      </c>
      <c r="C96" s="458" t="str">
        <f t="shared" si="7"/>
        <v>-</v>
      </c>
      <c r="D96" s="458" t="str">
        <f t="shared" si="8"/>
        <v>-</v>
      </c>
      <c r="E96" s="458" t="str">
        <f>IF(B96="","-",SUM($D$18:D96))</f>
        <v>-</v>
      </c>
      <c r="F96" s="458" t="str">
        <f t="shared" si="9"/>
        <v>-</v>
      </c>
      <c r="G96" s="458" t="str">
        <f>IF(B96="","-",SUM($F$18:F96))</f>
        <v>-</v>
      </c>
      <c r="H96" s="458" t="str">
        <f t="shared" si="10"/>
        <v>-</v>
      </c>
    </row>
    <row r="97" spans="2:9" x14ac:dyDescent="0.2">
      <c r="B97" s="457" t="str">
        <f t="shared" si="11"/>
        <v/>
      </c>
      <c r="C97" s="458" t="str">
        <f t="shared" si="7"/>
        <v>-</v>
      </c>
      <c r="D97" s="458" t="str">
        <f t="shared" si="8"/>
        <v>-</v>
      </c>
      <c r="E97" s="458" t="str">
        <f>IF(B97="","-",SUM($D$18:D97))</f>
        <v>-</v>
      </c>
      <c r="F97" s="458" t="str">
        <f t="shared" si="9"/>
        <v>-</v>
      </c>
      <c r="G97" s="458" t="str">
        <f>IF(B97="","-",SUM($F$18:F97))</f>
        <v>-</v>
      </c>
      <c r="H97" s="458" t="str">
        <f t="shared" si="10"/>
        <v>-</v>
      </c>
    </row>
    <row r="98" spans="2:9" x14ac:dyDescent="0.2">
      <c r="B98" s="457" t="str">
        <f t="shared" si="11"/>
        <v/>
      </c>
      <c r="C98" s="458" t="str">
        <f t="shared" si="7"/>
        <v>-</v>
      </c>
      <c r="D98" s="458" t="str">
        <f t="shared" si="8"/>
        <v>-</v>
      </c>
      <c r="E98" s="458" t="str">
        <f>IF(B98="","-",SUM($D$18:D98))</f>
        <v>-</v>
      </c>
      <c r="F98" s="458" t="str">
        <f t="shared" si="9"/>
        <v>-</v>
      </c>
      <c r="G98" s="458" t="str">
        <f>IF(B98="","-",SUM($F$18:F98))</f>
        <v>-</v>
      </c>
      <c r="H98" s="458" t="str">
        <f t="shared" si="10"/>
        <v>-</v>
      </c>
    </row>
    <row r="99" spans="2:9" x14ac:dyDescent="0.2">
      <c r="B99" s="457" t="str">
        <f t="shared" si="11"/>
        <v/>
      </c>
      <c r="C99" s="458" t="str">
        <f t="shared" si="7"/>
        <v>-</v>
      </c>
      <c r="D99" s="458" t="str">
        <f t="shared" si="8"/>
        <v>-</v>
      </c>
      <c r="E99" s="458" t="str">
        <f>IF(B99="","-",SUM($D$18:D99))</f>
        <v>-</v>
      </c>
      <c r="F99" s="458" t="str">
        <f t="shared" si="9"/>
        <v>-</v>
      </c>
      <c r="G99" s="458" t="str">
        <f>IF(B99="","-",SUM($F$18:F99))</f>
        <v>-</v>
      </c>
      <c r="H99" s="458" t="str">
        <f t="shared" si="10"/>
        <v>-</v>
      </c>
    </row>
    <row r="100" spans="2:9" x14ac:dyDescent="0.2">
      <c r="B100" s="457" t="str">
        <f t="shared" si="11"/>
        <v/>
      </c>
      <c r="C100" s="458" t="str">
        <f t="shared" si="7"/>
        <v>-</v>
      </c>
      <c r="D100" s="458" t="str">
        <f t="shared" si="8"/>
        <v>-</v>
      </c>
      <c r="E100" s="458" t="str">
        <f>IF(B100="","-",SUM($D$18:D100))</f>
        <v>-</v>
      </c>
      <c r="F100" s="458" t="str">
        <f t="shared" si="9"/>
        <v>-</v>
      </c>
      <c r="G100" s="458" t="str">
        <f>IF(B100="","-",SUM($F$18:F100))</f>
        <v>-</v>
      </c>
      <c r="H100" s="458" t="str">
        <f t="shared" si="10"/>
        <v>-</v>
      </c>
      <c r="I100" s="476"/>
    </row>
    <row r="101" spans="2:9" x14ac:dyDescent="0.2">
      <c r="B101" s="459" t="str">
        <f t="shared" si="11"/>
        <v/>
      </c>
      <c r="C101" s="460" t="str">
        <f t="shared" si="7"/>
        <v>-</v>
      </c>
      <c r="D101" s="460" t="str">
        <f t="shared" si="8"/>
        <v>-</v>
      </c>
      <c r="E101" s="460" t="str">
        <f>IF(B101="","-",SUM($D$18:D101))</f>
        <v>-</v>
      </c>
      <c r="F101" s="460" t="str">
        <f t="shared" si="9"/>
        <v>-</v>
      </c>
      <c r="G101" s="460" t="str">
        <f>IF(B101="","-",SUM($F$18:F101))</f>
        <v>-</v>
      </c>
      <c r="H101" s="460" t="str">
        <f t="shared" si="10"/>
        <v>-</v>
      </c>
    </row>
    <row r="102" spans="2:9" x14ac:dyDescent="0.2">
      <c r="B102" s="457" t="str">
        <f t="shared" si="11"/>
        <v/>
      </c>
      <c r="C102" s="458" t="str">
        <f t="shared" si="7"/>
        <v>-</v>
      </c>
      <c r="D102" s="458" t="str">
        <f t="shared" si="8"/>
        <v>-</v>
      </c>
      <c r="E102" s="458" t="str">
        <f>IF(B102="","-",SUM($D$18:D102))</f>
        <v>-</v>
      </c>
      <c r="F102" s="458" t="str">
        <f t="shared" si="9"/>
        <v>-</v>
      </c>
      <c r="G102" s="458" t="str">
        <f>IF(B102="","-",SUM($F$18:F102))</f>
        <v>-</v>
      </c>
      <c r="H102" s="458" t="str">
        <f t="shared" si="10"/>
        <v>-</v>
      </c>
    </row>
    <row r="103" spans="2:9" x14ac:dyDescent="0.2">
      <c r="B103" s="457" t="str">
        <f t="shared" si="11"/>
        <v/>
      </c>
      <c r="C103" s="458" t="str">
        <f t="shared" si="7"/>
        <v>-</v>
      </c>
      <c r="D103" s="458" t="str">
        <f t="shared" si="8"/>
        <v>-</v>
      </c>
      <c r="E103" s="458" t="str">
        <f>IF(B103="","-",SUM($D$18:D103))</f>
        <v>-</v>
      </c>
      <c r="F103" s="458" t="str">
        <f t="shared" si="9"/>
        <v>-</v>
      </c>
      <c r="G103" s="458" t="str">
        <f>IF(B103="","-",SUM($F$18:F103))</f>
        <v>-</v>
      </c>
      <c r="H103" s="458" t="str">
        <f t="shared" si="10"/>
        <v>-</v>
      </c>
    </row>
    <row r="104" spans="2:9" x14ac:dyDescent="0.2">
      <c r="B104" s="457" t="str">
        <f t="shared" si="11"/>
        <v/>
      </c>
      <c r="C104" s="458" t="str">
        <f t="shared" si="7"/>
        <v>-</v>
      </c>
      <c r="D104" s="458" t="str">
        <f t="shared" si="8"/>
        <v>-</v>
      </c>
      <c r="E104" s="458" t="str">
        <f>IF(B104="","-",SUM($D$18:D104))</f>
        <v>-</v>
      </c>
      <c r="F104" s="458" t="str">
        <f t="shared" si="9"/>
        <v>-</v>
      </c>
      <c r="G104" s="458" t="str">
        <f>IF(B104="","-",SUM($F$18:F104))</f>
        <v>-</v>
      </c>
      <c r="H104" s="458" t="str">
        <f t="shared" si="10"/>
        <v>-</v>
      </c>
    </row>
    <row r="105" spans="2:9" x14ac:dyDescent="0.2">
      <c r="B105" s="457" t="str">
        <f t="shared" si="11"/>
        <v/>
      </c>
      <c r="C105" s="458" t="str">
        <f t="shared" si="7"/>
        <v>-</v>
      </c>
      <c r="D105" s="458" t="str">
        <f t="shared" si="8"/>
        <v>-</v>
      </c>
      <c r="E105" s="458" t="str">
        <f>IF(B105="","-",SUM($D$18:D105))</f>
        <v>-</v>
      </c>
      <c r="F105" s="458" t="str">
        <f t="shared" si="9"/>
        <v>-</v>
      </c>
      <c r="G105" s="458" t="str">
        <f>IF(B105="","-",SUM($F$18:F105))</f>
        <v>-</v>
      </c>
      <c r="H105" s="458" t="str">
        <f t="shared" si="10"/>
        <v>-</v>
      </c>
    </row>
    <row r="106" spans="2:9" x14ac:dyDescent="0.2">
      <c r="B106" s="457" t="str">
        <f t="shared" si="11"/>
        <v/>
      </c>
      <c r="C106" s="458" t="str">
        <f t="shared" si="7"/>
        <v>-</v>
      </c>
      <c r="D106" s="458" t="str">
        <f t="shared" si="8"/>
        <v>-</v>
      </c>
      <c r="E106" s="458" t="str">
        <f>IF(B106="","-",SUM($D$18:D106))</f>
        <v>-</v>
      </c>
      <c r="F106" s="458" t="str">
        <f t="shared" si="9"/>
        <v>-</v>
      </c>
      <c r="G106" s="458" t="str">
        <f>IF(B106="","-",SUM($F$18:F106))</f>
        <v>-</v>
      </c>
      <c r="H106" s="458" t="str">
        <f t="shared" si="10"/>
        <v>-</v>
      </c>
    </row>
    <row r="107" spans="2:9" x14ac:dyDescent="0.2">
      <c r="B107" s="457" t="str">
        <f t="shared" si="11"/>
        <v/>
      </c>
      <c r="C107" s="458" t="str">
        <f t="shared" si="7"/>
        <v>-</v>
      </c>
      <c r="D107" s="458" t="str">
        <f t="shared" si="8"/>
        <v>-</v>
      </c>
      <c r="E107" s="458" t="str">
        <f>IF(B107="","-",SUM($D$18:D107))</f>
        <v>-</v>
      </c>
      <c r="F107" s="458" t="str">
        <f t="shared" si="9"/>
        <v>-</v>
      </c>
      <c r="G107" s="458" t="str">
        <f>IF(B107="","-",SUM($F$18:F107))</f>
        <v>-</v>
      </c>
      <c r="H107" s="458" t="str">
        <f t="shared" si="10"/>
        <v>-</v>
      </c>
    </row>
    <row r="108" spans="2:9" x14ac:dyDescent="0.2">
      <c r="B108" s="457" t="str">
        <f t="shared" si="11"/>
        <v/>
      </c>
      <c r="C108" s="458" t="str">
        <f t="shared" si="7"/>
        <v>-</v>
      </c>
      <c r="D108" s="458" t="str">
        <f t="shared" si="8"/>
        <v>-</v>
      </c>
      <c r="E108" s="458" t="str">
        <f>IF(B108="","-",SUM($D$18:D108))</f>
        <v>-</v>
      </c>
      <c r="F108" s="458" t="str">
        <f t="shared" si="9"/>
        <v>-</v>
      </c>
      <c r="G108" s="458" t="str">
        <f>IF(B108="","-",SUM($F$18:F108))</f>
        <v>-</v>
      </c>
      <c r="H108" s="458" t="str">
        <f t="shared" si="10"/>
        <v>-</v>
      </c>
    </row>
    <row r="109" spans="2:9" x14ac:dyDescent="0.2">
      <c r="B109" s="457" t="str">
        <f t="shared" si="11"/>
        <v/>
      </c>
      <c r="C109" s="458" t="str">
        <f t="shared" si="7"/>
        <v>-</v>
      </c>
      <c r="D109" s="458" t="str">
        <f t="shared" si="8"/>
        <v>-</v>
      </c>
      <c r="E109" s="458" t="str">
        <f>IF(B109="","-",SUM($D$18:D109))</f>
        <v>-</v>
      </c>
      <c r="F109" s="458" t="str">
        <f t="shared" si="9"/>
        <v>-</v>
      </c>
      <c r="G109" s="458" t="str">
        <f>IF(B109="","-",SUM($F$18:F109))</f>
        <v>-</v>
      </c>
      <c r="H109" s="458" t="str">
        <f t="shared" si="10"/>
        <v>-</v>
      </c>
    </row>
    <row r="110" spans="2:9" x14ac:dyDescent="0.2">
      <c r="B110" s="457" t="str">
        <f t="shared" si="11"/>
        <v/>
      </c>
      <c r="C110" s="458" t="str">
        <f t="shared" si="7"/>
        <v>-</v>
      </c>
      <c r="D110" s="458" t="str">
        <f t="shared" si="8"/>
        <v>-</v>
      </c>
      <c r="E110" s="458" t="str">
        <f>IF(B110="","-",SUM($D$18:D110))</f>
        <v>-</v>
      </c>
      <c r="F110" s="458" t="str">
        <f t="shared" si="9"/>
        <v>-</v>
      </c>
      <c r="G110" s="458" t="str">
        <f>IF(B110="","-",SUM($F$18:F110))</f>
        <v>-</v>
      </c>
      <c r="H110" s="458" t="str">
        <f t="shared" si="10"/>
        <v>-</v>
      </c>
    </row>
    <row r="111" spans="2:9" x14ac:dyDescent="0.2">
      <c r="B111" s="457" t="str">
        <f t="shared" si="11"/>
        <v/>
      </c>
      <c r="C111" s="458" t="str">
        <f t="shared" si="7"/>
        <v>-</v>
      </c>
      <c r="D111" s="458" t="str">
        <f t="shared" si="8"/>
        <v>-</v>
      </c>
      <c r="E111" s="458" t="str">
        <f>IF(B111="","-",SUM($D$18:D111))</f>
        <v>-</v>
      </c>
      <c r="F111" s="458" t="str">
        <f t="shared" si="9"/>
        <v>-</v>
      </c>
      <c r="G111" s="458" t="str">
        <f>IF(B111="","-",SUM($F$18:F111))</f>
        <v>-</v>
      </c>
      <c r="H111" s="458" t="str">
        <f t="shared" si="10"/>
        <v>-</v>
      </c>
    </row>
    <row r="112" spans="2:9" x14ac:dyDescent="0.2">
      <c r="B112" s="457" t="str">
        <f t="shared" si="11"/>
        <v/>
      </c>
      <c r="C112" s="458" t="str">
        <f t="shared" si="7"/>
        <v>-</v>
      </c>
      <c r="D112" s="458" t="str">
        <f t="shared" si="8"/>
        <v>-</v>
      </c>
      <c r="E112" s="458" t="str">
        <f>IF(B112="","-",SUM($D$18:D112))</f>
        <v>-</v>
      </c>
      <c r="F112" s="458" t="str">
        <f t="shared" si="9"/>
        <v>-</v>
      </c>
      <c r="G112" s="458" t="str">
        <f>IF(B112="","-",SUM($F$18:F112))</f>
        <v>-</v>
      </c>
      <c r="H112" s="458" t="str">
        <f t="shared" si="10"/>
        <v>-</v>
      </c>
      <c r="I112" s="476"/>
    </row>
    <row r="113" spans="2:9" x14ac:dyDescent="0.2">
      <c r="B113" s="459" t="str">
        <f t="shared" si="11"/>
        <v/>
      </c>
      <c r="C113" s="460" t="str">
        <f t="shared" si="7"/>
        <v>-</v>
      </c>
      <c r="D113" s="460" t="str">
        <f t="shared" si="8"/>
        <v>-</v>
      </c>
      <c r="E113" s="462" t="str">
        <f>IF(B113="","-",SUM($D$18:D113))</f>
        <v>-</v>
      </c>
      <c r="F113" s="462" t="str">
        <f t="shared" si="9"/>
        <v>-</v>
      </c>
      <c r="G113" s="462" t="str">
        <f>IF(B113="","-",SUM($F$18:F113))</f>
        <v>-</v>
      </c>
      <c r="H113" s="462" t="str">
        <f t="shared" si="10"/>
        <v>-</v>
      </c>
      <c r="I113" s="49"/>
    </row>
    <row r="114" spans="2:9" x14ac:dyDescent="0.2">
      <c r="B114" s="457" t="str">
        <f t="shared" si="11"/>
        <v/>
      </c>
      <c r="C114" s="458" t="str">
        <f t="shared" si="7"/>
        <v>-</v>
      </c>
      <c r="D114" s="458" t="str">
        <f t="shared" si="8"/>
        <v>-</v>
      </c>
      <c r="E114" s="458" t="str">
        <f>IF(B114="","-",SUM($D$18:D114))</f>
        <v>-</v>
      </c>
      <c r="F114" s="458" t="str">
        <f t="shared" si="9"/>
        <v>-</v>
      </c>
      <c r="G114" s="458" t="str">
        <f>IF(B114="","-",SUM($F$18:F114))</f>
        <v>-</v>
      </c>
      <c r="H114" s="458" t="str">
        <f t="shared" si="10"/>
        <v>-</v>
      </c>
    </row>
    <row r="115" spans="2:9" x14ac:dyDescent="0.2">
      <c r="B115" s="457" t="str">
        <f t="shared" si="11"/>
        <v/>
      </c>
      <c r="C115" s="458" t="str">
        <f t="shared" si="7"/>
        <v>-</v>
      </c>
      <c r="D115" s="458" t="str">
        <f t="shared" si="8"/>
        <v>-</v>
      </c>
      <c r="E115" s="458" t="str">
        <f>IF(B115="","-",SUM($D$18:D115))</f>
        <v>-</v>
      </c>
      <c r="F115" s="458" t="str">
        <f t="shared" si="9"/>
        <v>-</v>
      </c>
      <c r="G115" s="458" t="str">
        <f>IF(B115="","-",SUM($F$18:F115))</f>
        <v>-</v>
      </c>
      <c r="H115" s="458" t="str">
        <f t="shared" si="10"/>
        <v>-</v>
      </c>
    </row>
    <row r="116" spans="2:9" x14ac:dyDescent="0.2">
      <c r="B116" s="457" t="str">
        <f t="shared" si="11"/>
        <v/>
      </c>
      <c r="C116" s="458" t="str">
        <f t="shared" si="7"/>
        <v>-</v>
      </c>
      <c r="D116" s="458" t="str">
        <f t="shared" si="8"/>
        <v>-</v>
      </c>
      <c r="E116" s="458" t="str">
        <f>IF(B116="","-",SUM($D$18:D116))</f>
        <v>-</v>
      </c>
      <c r="F116" s="458" t="str">
        <f t="shared" si="9"/>
        <v>-</v>
      </c>
      <c r="G116" s="458" t="str">
        <f>IF(B116="","-",SUM($F$18:F116))</f>
        <v>-</v>
      </c>
      <c r="H116" s="458" t="str">
        <f t="shared" si="10"/>
        <v>-</v>
      </c>
    </row>
    <row r="117" spans="2:9" x14ac:dyDescent="0.2">
      <c r="B117" s="457" t="str">
        <f t="shared" si="11"/>
        <v/>
      </c>
      <c r="C117" s="458" t="str">
        <f t="shared" si="7"/>
        <v>-</v>
      </c>
      <c r="D117" s="458" t="str">
        <f t="shared" si="8"/>
        <v>-</v>
      </c>
      <c r="E117" s="458" t="str">
        <f>IF(B117="","-",SUM($D$18:D117))</f>
        <v>-</v>
      </c>
      <c r="F117" s="458" t="str">
        <f t="shared" si="9"/>
        <v>-</v>
      </c>
      <c r="G117" s="458" t="str">
        <f>IF(B117="","-",SUM($F$18:F117))</f>
        <v>-</v>
      </c>
      <c r="H117" s="458" t="str">
        <f t="shared" si="10"/>
        <v>-</v>
      </c>
    </row>
    <row r="118" spans="2:9" x14ac:dyDescent="0.2">
      <c r="B118" s="457" t="str">
        <f t="shared" si="11"/>
        <v/>
      </c>
      <c r="C118" s="458" t="str">
        <f t="shared" si="7"/>
        <v>-</v>
      </c>
      <c r="D118" s="458" t="str">
        <f t="shared" si="8"/>
        <v>-</v>
      </c>
      <c r="E118" s="458" t="str">
        <f>IF(B118="","-",SUM($D$18:D118))</f>
        <v>-</v>
      </c>
      <c r="F118" s="458" t="str">
        <f t="shared" si="9"/>
        <v>-</v>
      </c>
      <c r="G118" s="458" t="str">
        <f>IF(B118="","-",SUM($F$18:F118))</f>
        <v>-</v>
      </c>
      <c r="H118" s="458" t="str">
        <f t="shared" si="10"/>
        <v>-</v>
      </c>
    </row>
    <row r="119" spans="2:9" x14ac:dyDescent="0.2">
      <c r="B119" s="457" t="str">
        <f t="shared" si="11"/>
        <v/>
      </c>
      <c r="C119" s="458" t="str">
        <f t="shared" si="7"/>
        <v>-</v>
      </c>
      <c r="D119" s="458" t="str">
        <f t="shared" si="8"/>
        <v>-</v>
      </c>
      <c r="E119" s="458" t="str">
        <f>IF(B119="","-",SUM($D$18:D119))</f>
        <v>-</v>
      </c>
      <c r="F119" s="458" t="str">
        <f t="shared" si="9"/>
        <v>-</v>
      </c>
      <c r="G119" s="458" t="str">
        <f>IF(B119="","-",SUM($F$18:F119))</f>
        <v>-</v>
      </c>
      <c r="H119" s="458" t="str">
        <f t="shared" si="10"/>
        <v>-</v>
      </c>
    </row>
    <row r="120" spans="2:9" x14ac:dyDescent="0.2">
      <c r="B120" s="457" t="str">
        <f t="shared" si="11"/>
        <v/>
      </c>
      <c r="C120" s="458" t="str">
        <f t="shared" si="7"/>
        <v>-</v>
      </c>
      <c r="D120" s="458" t="str">
        <f t="shared" si="8"/>
        <v>-</v>
      </c>
      <c r="E120" s="458" t="str">
        <f>IF(B120="","-",SUM($D$18:D120))</f>
        <v>-</v>
      </c>
      <c r="F120" s="458" t="str">
        <f t="shared" si="9"/>
        <v>-</v>
      </c>
      <c r="G120" s="458" t="str">
        <f>IF(B120="","-",SUM($F$18:F120))</f>
        <v>-</v>
      </c>
      <c r="H120" s="458" t="str">
        <f t="shared" si="10"/>
        <v>-</v>
      </c>
    </row>
    <row r="121" spans="2:9" x14ac:dyDescent="0.2">
      <c r="B121" s="457" t="str">
        <f t="shared" si="11"/>
        <v/>
      </c>
      <c r="C121" s="458" t="str">
        <f t="shared" si="7"/>
        <v>-</v>
      </c>
      <c r="D121" s="458" t="str">
        <f t="shared" si="8"/>
        <v>-</v>
      </c>
      <c r="E121" s="458" t="str">
        <f>IF(B121="","-",SUM($D$18:D121))</f>
        <v>-</v>
      </c>
      <c r="F121" s="458" t="str">
        <f t="shared" si="9"/>
        <v>-</v>
      </c>
      <c r="G121" s="458" t="str">
        <f>IF(B121="","-",SUM($F$18:F121))</f>
        <v>-</v>
      </c>
      <c r="H121" s="458" t="str">
        <f t="shared" si="10"/>
        <v>-</v>
      </c>
    </row>
    <row r="122" spans="2:9" x14ac:dyDescent="0.2">
      <c r="B122" s="457" t="str">
        <f t="shared" si="11"/>
        <v/>
      </c>
      <c r="C122" s="458" t="str">
        <f t="shared" si="7"/>
        <v>-</v>
      </c>
      <c r="D122" s="458" t="str">
        <f t="shared" si="8"/>
        <v>-</v>
      </c>
      <c r="E122" s="458" t="str">
        <f>IF(B122="","-",SUM($D$18:D122))</f>
        <v>-</v>
      </c>
      <c r="F122" s="458" t="str">
        <f t="shared" si="9"/>
        <v>-</v>
      </c>
      <c r="G122" s="458" t="str">
        <f>IF(B122="","-",SUM($F$18:F122))</f>
        <v>-</v>
      </c>
      <c r="H122" s="458" t="str">
        <f t="shared" si="10"/>
        <v>-</v>
      </c>
    </row>
    <row r="123" spans="2:9" x14ac:dyDescent="0.2">
      <c r="B123" s="457" t="str">
        <f t="shared" si="11"/>
        <v/>
      </c>
      <c r="C123" s="458" t="str">
        <f t="shared" si="7"/>
        <v>-</v>
      </c>
      <c r="D123" s="458" t="str">
        <f t="shared" si="8"/>
        <v>-</v>
      </c>
      <c r="E123" s="458" t="str">
        <f>IF(B123="","-",SUM($D$18:D123))</f>
        <v>-</v>
      </c>
      <c r="F123" s="458" t="str">
        <f t="shared" si="9"/>
        <v>-</v>
      </c>
      <c r="G123" s="458" t="str">
        <f>IF(B123="","-",SUM($F$18:F123))</f>
        <v>-</v>
      </c>
      <c r="H123" s="458" t="str">
        <f t="shared" si="10"/>
        <v>-</v>
      </c>
    </row>
    <row r="124" spans="2:9" x14ac:dyDescent="0.2">
      <c r="B124" s="457" t="str">
        <f t="shared" si="11"/>
        <v/>
      </c>
      <c r="C124" s="458" t="str">
        <f t="shared" si="7"/>
        <v>-</v>
      </c>
      <c r="D124" s="458" t="str">
        <f t="shared" si="8"/>
        <v>-</v>
      </c>
      <c r="E124" s="458" t="str">
        <f>IF(B124="","-",SUM($D$18:D124))</f>
        <v>-</v>
      </c>
      <c r="F124" s="458" t="str">
        <f t="shared" si="9"/>
        <v>-</v>
      </c>
      <c r="G124" s="458" t="str">
        <f>IF(B124="","-",SUM($F$18:F124))</f>
        <v>-</v>
      </c>
      <c r="H124" s="458" t="str">
        <f t="shared" si="10"/>
        <v>-</v>
      </c>
      <c r="I124" s="476"/>
    </row>
    <row r="125" spans="2:9" x14ac:dyDescent="0.2">
      <c r="B125" s="459" t="str">
        <f t="shared" si="11"/>
        <v/>
      </c>
      <c r="C125" s="460" t="str">
        <f t="shared" si="7"/>
        <v>-</v>
      </c>
      <c r="D125" s="460" t="str">
        <f t="shared" si="8"/>
        <v>-</v>
      </c>
      <c r="E125" s="462" t="str">
        <f>IF(B125="","-",SUM($D$18:D125))</f>
        <v>-</v>
      </c>
      <c r="F125" s="462" t="str">
        <f t="shared" si="9"/>
        <v>-</v>
      </c>
      <c r="G125" s="462" t="str">
        <f>IF(B125="","-",SUM($F$18:F125))</f>
        <v>-</v>
      </c>
      <c r="H125" s="462" t="str">
        <f t="shared" si="10"/>
        <v>-</v>
      </c>
    </row>
    <row r="126" spans="2:9" x14ac:dyDescent="0.2">
      <c r="B126" s="457" t="str">
        <f t="shared" si="11"/>
        <v/>
      </c>
      <c r="C126" s="458" t="str">
        <f t="shared" si="7"/>
        <v>-</v>
      </c>
      <c r="D126" s="458" t="str">
        <f t="shared" si="8"/>
        <v>-</v>
      </c>
      <c r="E126" s="458" t="str">
        <f>IF(B126="","-",SUM($D$18:D126))</f>
        <v>-</v>
      </c>
      <c r="F126" s="458" t="str">
        <f t="shared" si="9"/>
        <v>-</v>
      </c>
      <c r="G126" s="458" t="str">
        <f>IF(B126="","-",SUM($F$18:F126))</f>
        <v>-</v>
      </c>
      <c r="H126" s="458" t="str">
        <f t="shared" si="10"/>
        <v>-</v>
      </c>
    </row>
    <row r="127" spans="2:9" x14ac:dyDescent="0.2">
      <c r="B127" s="457" t="str">
        <f t="shared" si="11"/>
        <v/>
      </c>
      <c r="C127" s="458" t="str">
        <f t="shared" si="7"/>
        <v>-</v>
      </c>
      <c r="D127" s="458" t="str">
        <f t="shared" si="8"/>
        <v>-</v>
      </c>
      <c r="E127" s="458" t="str">
        <f>IF(B127="","-",SUM($D$18:D127))</f>
        <v>-</v>
      </c>
      <c r="F127" s="458" t="str">
        <f t="shared" si="9"/>
        <v>-</v>
      </c>
      <c r="G127" s="458" t="str">
        <f>IF(B127="","-",SUM($F$18:F127))</f>
        <v>-</v>
      </c>
      <c r="H127" s="458" t="str">
        <f t="shared" si="10"/>
        <v>-</v>
      </c>
    </row>
    <row r="128" spans="2:9" x14ac:dyDescent="0.2">
      <c r="B128" s="457" t="str">
        <f t="shared" si="11"/>
        <v/>
      </c>
      <c r="C128" s="458" t="str">
        <f t="shared" si="7"/>
        <v>-</v>
      </c>
      <c r="D128" s="458" t="str">
        <f t="shared" si="8"/>
        <v>-</v>
      </c>
      <c r="E128" s="458" t="str">
        <f>IF(B128="","-",SUM($D$18:D128))</f>
        <v>-</v>
      </c>
      <c r="F128" s="458" t="str">
        <f t="shared" si="9"/>
        <v>-</v>
      </c>
      <c r="G128" s="458" t="str">
        <f>IF(B128="","-",SUM($F$18:F128))</f>
        <v>-</v>
      </c>
      <c r="H128" s="458" t="str">
        <f t="shared" si="10"/>
        <v>-</v>
      </c>
    </row>
    <row r="129" spans="2:9" x14ac:dyDescent="0.2">
      <c r="B129" s="457" t="str">
        <f t="shared" si="11"/>
        <v/>
      </c>
      <c r="C129" s="458" t="str">
        <f t="shared" si="7"/>
        <v>-</v>
      </c>
      <c r="D129" s="458" t="str">
        <f t="shared" si="8"/>
        <v>-</v>
      </c>
      <c r="E129" s="458" t="str">
        <f>IF(B129="","-",SUM($D$18:D129))</f>
        <v>-</v>
      </c>
      <c r="F129" s="458" t="str">
        <f t="shared" si="9"/>
        <v>-</v>
      </c>
      <c r="G129" s="458" t="str">
        <f>IF(B129="","-",SUM($F$18:F129))</f>
        <v>-</v>
      </c>
      <c r="H129" s="458" t="str">
        <f t="shared" si="10"/>
        <v>-</v>
      </c>
    </row>
    <row r="130" spans="2:9" x14ac:dyDescent="0.2">
      <c r="B130" s="457" t="str">
        <f t="shared" si="11"/>
        <v/>
      </c>
      <c r="C130" s="458" t="str">
        <f t="shared" si="7"/>
        <v>-</v>
      </c>
      <c r="D130" s="458" t="str">
        <f t="shared" si="8"/>
        <v>-</v>
      </c>
      <c r="E130" s="458" t="str">
        <f>IF(B130="","-",SUM($D$18:D130))</f>
        <v>-</v>
      </c>
      <c r="F130" s="458" t="str">
        <f t="shared" si="9"/>
        <v>-</v>
      </c>
      <c r="G130" s="458" t="str">
        <f>IF(B130="","-",SUM($F$18:F130))</f>
        <v>-</v>
      </c>
      <c r="H130" s="458" t="str">
        <f t="shared" si="10"/>
        <v>-</v>
      </c>
    </row>
    <row r="131" spans="2:9" x14ac:dyDescent="0.2">
      <c r="B131" s="457" t="str">
        <f t="shared" si="11"/>
        <v/>
      </c>
      <c r="C131" s="458" t="str">
        <f t="shared" si="7"/>
        <v>-</v>
      </c>
      <c r="D131" s="458" t="str">
        <f t="shared" si="8"/>
        <v>-</v>
      </c>
      <c r="E131" s="458" t="str">
        <f>IF(B131="","-",SUM($D$18:D131))</f>
        <v>-</v>
      </c>
      <c r="F131" s="458" t="str">
        <f t="shared" si="9"/>
        <v>-</v>
      </c>
      <c r="G131" s="458" t="str">
        <f>IF(B131="","-",SUM($F$18:F131))</f>
        <v>-</v>
      </c>
      <c r="H131" s="458" t="str">
        <f t="shared" si="10"/>
        <v>-</v>
      </c>
    </row>
    <row r="132" spans="2:9" x14ac:dyDescent="0.2">
      <c r="B132" s="457" t="str">
        <f t="shared" si="11"/>
        <v/>
      </c>
      <c r="C132" s="458" t="str">
        <f t="shared" si="7"/>
        <v>-</v>
      </c>
      <c r="D132" s="458" t="str">
        <f t="shared" si="8"/>
        <v>-</v>
      </c>
      <c r="E132" s="458" t="str">
        <f>IF(B132="","-",SUM($D$18:D132))</f>
        <v>-</v>
      </c>
      <c r="F132" s="458" t="str">
        <f t="shared" si="9"/>
        <v>-</v>
      </c>
      <c r="G132" s="458" t="str">
        <f>IF(B132="","-",SUM($F$18:F132))</f>
        <v>-</v>
      </c>
      <c r="H132" s="458" t="str">
        <f t="shared" si="10"/>
        <v>-</v>
      </c>
    </row>
    <row r="133" spans="2:9" x14ac:dyDescent="0.2">
      <c r="B133" s="457" t="str">
        <f t="shared" si="11"/>
        <v/>
      </c>
      <c r="C133" s="458" t="str">
        <f t="shared" si="7"/>
        <v>-</v>
      </c>
      <c r="D133" s="458" t="str">
        <f t="shared" si="8"/>
        <v>-</v>
      </c>
      <c r="E133" s="458" t="str">
        <f>IF(B133="","-",SUM($D$18:D133))</f>
        <v>-</v>
      </c>
      <c r="F133" s="458" t="str">
        <f t="shared" si="9"/>
        <v>-</v>
      </c>
      <c r="G133" s="458" t="str">
        <f>IF(B133="","-",SUM($F$18:F133))</f>
        <v>-</v>
      </c>
      <c r="H133" s="458" t="str">
        <f t="shared" si="10"/>
        <v>-</v>
      </c>
    </row>
    <row r="134" spans="2:9" x14ac:dyDescent="0.2">
      <c r="B134" s="457" t="str">
        <f t="shared" si="11"/>
        <v/>
      </c>
      <c r="C134" s="458" t="str">
        <f t="shared" si="7"/>
        <v>-</v>
      </c>
      <c r="D134" s="458" t="str">
        <f t="shared" si="8"/>
        <v>-</v>
      </c>
      <c r="E134" s="458" t="str">
        <f>IF(B134="","-",SUM($D$18:D134))</f>
        <v>-</v>
      </c>
      <c r="F134" s="458" t="str">
        <f t="shared" si="9"/>
        <v>-</v>
      </c>
      <c r="G134" s="458" t="str">
        <f>IF(B134="","-",SUM($F$18:F134))</f>
        <v>-</v>
      </c>
      <c r="H134" s="458" t="str">
        <f t="shared" si="10"/>
        <v>-</v>
      </c>
    </row>
    <row r="135" spans="2:9" x14ac:dyDescent="0.2">
      <c r="B135" s="457" t="str">
        <f t="shared" si="11"/>
        <v/>
      </c>
      <c r="C135" s="458" t="str">
        <f t="shared" si="7"/>
        <v>-</v>
      </c>
      <c r="D135" s="458" t="str">
        <f t="shared" si="8"/>
        <v>-</v>
      </c>
      <c r="E135" s="458" t="str">
        <f>IF(B135="","-",SUM($D$18:D135))</f>
        <v>-</v>
      </c>
      <c r="F135" s="458" t="str">
        <f t="shared" si="9"/>
        <v>-</v>
      </c>
      <c r="G135" s="458" t="str">
        <f>IF(B135="","-",SUM($F$18:F135))</f>
        <v>-</v>
      </c>
      <c r="H135" s="458" t="str">
        <f t="shared" si="10"/>
        <v>-</v>
      </c>
    </row>
    <row r="136" spans="2:9" x14ac:dyDescent="0.2">
      <c r="B136" s="457" t="str">
        <f t="shared" si="11"/>
        <v/>
      </c>
      <c r="C136" s="458" t="str">
        <f t="shared" si="7"/>
        <v>-</v>
      </c>
      <c r="D136" s="458" t="str">
        <f t="shared" si="8"/>
        <v>-</v>
      </c>
      <c r="E136" s="458" t="str">
        <f>IF(B136="","-",SUM($D$18:D136))</f>
        <v>-</v>
      </c>
      <c r="F136" s="458" t="str">
        <f t="shared" si="9"/>
        <v>-</v>
      </c>
      <c r="G136" s="458" t="str">
        <f>IF(B136="","-",SUM($F$18:F136))</f>
        <v>-</v>
      </c>
      <c r="H136" s="458" t="str">
        <f t="shared" si="10"/>
        <v>-</v>
      </c>
      <c r="I136" s="476"/>
    </row>
    <row r="137" spans="2:9" x14ac:dyDescent="0.2">
      <c r="B137" s="459" t="str">
        <f t="shared" si="11"/>
        <v/>
      </c>
      <c r="C137" s="460" t="str">
        <f t="shared" si="7"/>
        <v>-</v>
      </c>
      <c r="D137" s="460" t="str">
        <f t="shared" si="8"/>
        <v>-</v>
      </c>
      <c r="E137" s="462" t="str">
        <f>IF(B137="","-",SUM($D$18:D137))</f>
        <v>-</v>
      </c>
      <c r="F137" s="462" t="str">
        <f t="shared" si="9"/>
        <v>-</v>
      </c>
      <c r="G137" s="462" t="str">
        <f>IF(B137="","-",SUM($F$18:F137))</f>
        <v>-</v>
      </c>
      <c r="H137" s="462" t="str">
        <f t="shared" si="10"/>
        <v>-</v>
      </c>
    </row>
    <row r="138" spans="2:9" x14ac:dyDescent="0.2">
      <c r="B138" s="457" t="str">
        <f t="shared" si="11"/>
        <v/>
      </c>
      <c r="C138" s="458" t="str">
        <f t="shared" si="7"/>
        <v>-</v>
      </c>
      <c r="D138" s="458" t="str">
        <f t="shared" si="8"/>
        <v>-</v>
      </c>
      <c r="E138" s="458" t="str">
        <f>IF(B138="","-",SUM($D$18:D138))</f>
        <v>-</v>
      </c>
      <c r="F138" s="458" t="str">
        <f t="shared" si="9"/>
        <v>-</v>
      </c>
      <c r="G138" s="458" t="str">
        <f>IF(B138="","-",SUM($F$18:F138))</f>
        <v>-</v>
      </c>
      <c r="H138" s="458" t="str">
        <f t="shared" si="10"/>
        <v>-</v>
      </c>
    </row>
    <row r="139" spans="2:9" x14ac:dyDescent="0.2">
      <c r="B139" s="457" t="str">
        <f t="shared" si="11"/>
        <v/>
      </c>
      <c r="C139" s="458" t="str">
        <f t="shared" si="7"/>
        <v>-</v>
      </c>
      <c r="D139" s="458" t="str">
        <f t="shared" si="8"/>
        <v>-</v>
      </c>
      <c r="E139" s="458" t="str">
        <f>IF(B139="","-",SUM($D$18:D139))</f>
        <v>-</v>
      </c>
      <c r="F139" s="458" t="str">
        <f t="shared" si="9"/>
        <v>-</v>
      </c>
      <c r="G139" s="458" t="str">
        <f>IF(B139="","-",SUM($F$18:F139))</f>
        <v>-</v>
      </c>
      <c r="H139" s="458" t="str">
        <f t="shared" si="10"/>
        <v>-</v>
      </c>
    </row>
    <row r="140" spans="2:9" x14ac:dyDescent="0.2">
      <c r="B140" s="457" t="str">
        <f t="shared" si="11"/>
        <v/>
      </c>
      <c r="C140" s="458" t="str">
        <f t="shared" si="7"/>
        <v>-</v>
      </c>
      <c r="D140" s="458" t="str">
        <f t="shared" si="8"/>
        <v>-</v>
      </c>
      <c r="E140" s="458" t="str">
        <f>IF(B140="","-",SUM($D$18:D140))</f>
        <v>-</v>
      </c>
      <c r="F140" s="458" t="str">
        <f t="shared" si="9"/>
        <v>-</v>
      </c>
      <c r="G140" s="458" t="str">
        <f>IF(B140="","-",SUM($F$18:F140))</f>
        <v>-</v>
      </c>
      <c r="H140" s="458" t="str">
        <f t="shared" si="10"/>
        <v>-</v>
      </c>
    </row>
    <row r="141" spans="2:9" x14ac:dyDescent="0.2">
      <c r="B141" s="457" t="str">
        <f t="shared" si="11"/>
        <v/>
      </c>
      <c r="C141" s="458" t="str">
        <f t="shared" si="7"/>
        <v>-</v>
      </c>
      <c r="D141" s="458" t="str">
        <f t="shared" si="8"/>
        <v>-</v>
      </c>
      <c r="E141" s="458" t="str">
        <f>IF(B141="","-",SUM($D$18:D141))</f>
        <v>-</v>
      </c>
      <c r="F141" s="458" t="str">
        <f t="shared" si="9"/>
        <v>-</v>
      </c>
      <c r="G141" s="458" t="str">
        <f>IF(B141="","-",SUM($F$18:F141))</f>
        <v>-</v>
      </c>
      <c r="H141" s="458" t="str">
        <f t="shared" si="10"/>
        <v>-</v>
      </c>
    </row>
    <row r="142" spans="2:9" x14ac:dyDescent="0.2">
      <c r="B142" s="457" t="str">
        <f t="shared" si="11"/>
        <v/>
      </c>
      <c r="C142" s="458" t="str">
        <f t="shared" si="7"/>
        <v>-</v>
      </c>
      <c r="D142" s="458" t="str">
        <f t="shared" si="8"/>
        <v>-</v>
      </c>
      <c r="E142" s="458" t="str">
        <f>IF(B142="","-",SUM($D$18:D142))</f>
        <v>-</v>
      </c>
      <c r="F142" s="458" t="str">
        <f t="shared" si="9"/>
        <v>-</v>
      </c>
      <c r="G142" s="458" t="str">
        <f>IF(B142="","-",SUM($F$18:F142))</f>
        <v>-</v>
      </c>
      <c r="H142" s="458" t="str">
        <f t="shared" si="10"/>
        <v>-</v>
      </c>
    </row>
    <row r="143" spans="2:9" x14ac:dyDescent="0.2">
      <c r="B143" s="457" t="str">
        <f t="shared" si="11"/>
        <v/>
      </c>
      <c r="C143" s="458" t="str">
        <f t="shared" si="7"/>
        <v>-</v>
      </c>
      <c r="D143" s="458" t="str">
        <f t="shared" si="8"/>
        <v>-</v>
      </c>
      <c r="E143" s="458" t="str">
        <f>IF(B143="","-",SUM($D$18:D143))</f>
        <v>-</v>
      </c>
      <c r="F143" s="458" t="str">
        <f t="shared" si="9"/>
        <v>-</v>
      </c>
      <c r="G143" s="458" t="str">
        <f>IF(B143="","-",SUM($F$18:F143))</f>
        <v>-</v>
      </c>
      <c r="H143" s="458" t="str">
        <f t="shared" si="10"/>
        <v>-</v>
      </c>
    </row>
    <row r="144" spans="2:9" x14ac:dyDescent="0.2">
      <c r="B144" s="457" t="str">
        <f t="shared" si="11"/>
        <v/>
      </c>
      <c r="C144" s="458" t="str">
        <f t="shared" si="7"/>
        <v>-</v>
      </c>
      <c r="D144" s="458" t="str">
        <f t="shared" si="8"/>
        <v>-</v>
      </c>
      <c r="E144" s="458" t="str">
        <f>IF(B144="","-",SUM($D$18:D144))</f>
        <v>-</v>
      </c>
      <c r="F144" s="458" t="str">
        <f t="shared" si="9"/>
        <v>-</v>
      </c>
      <c r="G144" s="458" t="str">
        <f>IF(B144="","-",SUM($F$18:F144))</f>
        <v>-</v>
      </c>
      <c r="H144" s="458" t="str">
        <f t="shared" si="10"/>
        <v>-</v>
      </c>
    </row>
    <row r="145" spans="2:8" x14ac:dyDescent="0.2">
      <c r="B145" s="457" t="str">
        <f t="shared" si="11"/>
        <v/>
      </c>
      <c r="C145" s="458" t="str">
        <f t="shared" si="7"/>
        <v>-</v>
      </c>
      <c r="D145" s="458" t="str">
        <f t="shared" si="8"/>
        <v>-</v>
      </c>
      <c r="E145" s="458" t="str">
        <f>IF(B145="","-",SUM($D$18:D145))</f>
        <v>-</v>
      </c>
      <c r="F145" s="458" t="str">
        <f t="shared" si="9"/>
        <v>-</v>
      </c>
      <c r="G145" s="458" t="str">
        <f>IF(B145="","-",SUM($F$18:F145))</f>
        <v>-</v>
      </c>
      <c r="H145" s="458" t="str">
        <f t="shared" si="10"/>
        <v>-</v>
      </c>
    </row>
    <row r="146" spans="2:8" x14ac:dyDescent="0.2">
      <c r="B146" s="457" t="str">
        <f t="shared" si="11"/>
        <v/>
      </c>
      <c r="C146" s="458" t="str">
        <f t="shared" ref="C146:C209" si="12">IF(B146="","-",IF(B146&lt;=$D$6,D146,  $D$7))</f>
        <v>-</v>
      </c>
      <c r="D146" s="458" t="str">
        <f t="shared" ref="D146:D209" si="13">IF(B146="","-",$D$4/12*H145)</f>
        <v>-</v>
      </c>
      <c r="E146" s="458" t="str">
        <f>IF(B146="","-",SUM($D$18:D146))</f>
        <v>-</v>
      </c>
      <c r="F146" s="458" t="str">
        <f t="shared" ref="F146:F209" si="14">IF(B146="","-",C146-D146)</f>
        <v>-</v>
      </c>
      <c r="G146" s="458" t="str">
        <f>IF(B146="","-",SUM($F$18:F146))</f>
        <v>-</v>
      </c>
      <c r="H146" s="458" t="str">
        <f t="shared" ref="H146:H209" si="15">IF(B146="","-",H145-F146)</f>
        <v>-</v>
      </c>
    </row>
    <row r="147" spans="2:8" x14ac:dyDescent="0.2">
      <c r="B147" s="457" t="str">
        <f t="shared" si="11"/>
        <v/>
      </c>
      <c r="C147" s="458" t="str">
        <f t="shared" si="12"/>
        <v>-</v>
      </c>
      <c r="D147" s="458" t="str">
        <f t="shared" si="13"/>
        <v>-</v>
      </c>
      <c r="E147" s="458" t="str">
        <f>IF(B147="","-",SUM($D$18:D147))</f>
        <v>-</v>
      </c>
      <c r="F147" s="458" t="str">
        <f t="shared" si="14"/>
        <v>-</v>
      </c>
      <c r="G147" s="458" t="str">
        <f>IF(B147="","-",SUM($F$18:F147))</f>
        <v>-</v>
      </c>
      <c r="H147" s="458" t="str">
        <f t="shared" si="15"/>
        <v>-</v>
      </c>
    </row>
    <row r="148" spans="2:8" x14ac:dyDescent="0.2">
      <c r="B148" s="457" t="str">
        <f t="shared" si="11"/>
        <v/>
      </c>
      <c r="C148" s="458" t="str">
        <f t="shared" si="12"/>
        <v>-</v>
      </c>
      <c r="D148" s="458" t="str">
        <f t="shared" si="13"/>
        <v>-</v>
      </c>
      <c r="E148" s="458" t="str">
        <f>IF(B148="","-",SUM($D$18:D148))</f>
        <v>-</v>
      </c>
      <c r="F148" s="458" t="str">
        <f t="shared" si="14"/>
        <v>-</v>
      </c>
      <c r="G148" s="458" t="str">
        <f>IF(B148="","-",SUM($F$18:F148))</f>
        <v>-</v>
      </c>
      <c r="H148" s="458" t="str">
        <f t="shared" si="15"/>
        <v>-</v>
      </c>
    </row>
    <row r="149" spans="2:8" x14ac:dyDescent="0.2">
      <c r="B149" s="457" t="str">
        <f t="shared" si="11"/>
        <v/>
      </c>
      <c r="C149" s="460" t="str">
        <f t="shared" si="12"/>
        <v>-</v>
      </c>
      <c r="D149" s="458" t="str">
        <f t="shared" si="13"/>
        <v>-</v>
      </c>
      <c r="E149" s="458" t="str">
        <f>IF(B149="","-",SUM($D$18:D149))</f>
        <v>-</v>
      </c>
      <c r="F149" s="458" t="str">
        <f t="shared" si="14"/>
        <v>-</v>
      </c>
      <c r="G149" s="458" t="str">
        <f>IF(B149="","-",SUM($F$18:F149))</f>
        <v>-</v>
      </c>
      <c r="H149" s="458" t="str">
        <f t="shared" si="15"/>
        <v>-</v>
      </c>
    </row>
    <row r="150" spans="2:8" x14ac:dyDescent="0.2">
      <c r="B150" s="457" t="str">
        <f t="shared" si="11"/>
        <v/>
      </c>
      <c r="C150" s="458" t="str">
        <f t="shared" si="12"/>
        <v>-</v>
      </c>
      <c r="D150" s="458" t="str">
        <f t="shared" si="13"/>
        <v>-</v>
      </c>
      <c r="E150" s="458" t="str">
        <f>IF(B150="","-",SUM($D$18:D150))</f>
        <v>-</v>
      </c>
      <c r="F150" s="458" t="str">
        <f t="shared" si="14"/>
        <v>-</v>
      </c>
      <c r="G150" s="458" t="str">
        <f>IF(B150="","-",SUM($F$18:F150))</f>
        <v>-</v>
      </c>
      <c r="H150" s="458" t="str">
        <f t="shared" si="15"/>
        <v>-</v>
      </c>
    </row>
    <row r="151" spans="2:8" x14ac:dyDescent="0.2">
      <c r="B151" s="457" t="str">
        <f t="shared" si="11"/>
        <v/>
      </c>
      <c r="C151" s="458" t="str">
        <f t="shared" si="12"/>
        <v>-</v>
      </c>
      <c r="D151" s="458" t="str">
        <f t="shared" si="13"/>
        <v>-</v>
      </c>
      <c r="E151" s="458" t="str">
        <f>IF(B151="","-",SUM($D$18:D151))</f>
        <v>-</v>
      </c>
      <c r="F151" s="458" t="str">
        <f t="shared" si="14"/>
        <v>-</v>
      </c>
      <c r="G151" s="458" t="str">
        <f>IF(B151="","-",SUM($F$18:F151))</f>
        <v>-</v>
      </c>
      <c r="H151" s="458" t="str">
        <f t="shared" si="15"/>
        <v>-</v>
      </c>
    </row>
    <row r="152" spans="2:8" x14ac:dyDescent="0.2">
      <c r="B152" s="457" t="str">
        <f t="shared" si="11"/>
        <v/>
      </c>
      <c r="C152" s="458" t="str">
        <f t="shared" si="12"/>
        <v>-</v>
      </c>
      <c r="D152" s="458" t="str">
        <f t="shared" si="13"/>
        <v>-</v>
      </c>
      <c r="E152" s="458" t="str">
        <f>IF(B152="","-",SUM($D$18:D152))</f>
        <v>-</v>
      </c>
      <c r="F152" s="458" t="str">
        <f t="shared" si="14"/>
        <v>-</v>
      </c>
      <c r="G152" s="458" t="str">
        <f>IF(B152="","-",SUM($F$18:F152))</f>
        <v>-</v>
      </c>
      <c r="H152" s="458" t="str">
        <f t="shared" si="15"/>
        <v>-</v>
      </c>
    </row>
    <row r="153" spans="2:8" x14ac:dyDescent="0.2">
      <c r="B153" s="457" t="str">
        <f t="shared" si="11"/>
        <v/>
      </c>
      <c r="C153" s="458" t="str">
        <f t="shared" si="12"/>
        <v>-</v>
      </c>
      <c r="D153" s="458" t="str">
        <f t="shared" si="13"/>
        <v>-</v>
      </c>
      <c r="E153" s="458" t="str">
        <f>IF(B153="","-",SUM($D$18:D153))</f>
        <v>-</v>
      </c>
      <c r="F153" s="458" t="str">
        <f t="shared" si="14"/>
        <v>-</v>
      </c>
      <c r="G153" s="458" t="str">
        <f>IF(B153="","-",SUM($F$18:F153))</f>
        <v>-</v>
      </c>
      <c r="H153" s="458" t="str">
        <f t="shared" si="15"/>
        <v>-</v>
      </c>
    </row>
    <row r="154" spans="2:8" x14ac:dyDescent="0.2">
      <c r="B154" s="457" t="str">
        <f t="shared" si="11"/>
        <v/>
      </c>
      <c r="C154" s="458" t="str">
        <f t="shared" si="12"/>
        <v>-</v>
      </c>
      <c r="D154" s="458" t="str">
        <f t="shared" si="13"/>
        <v>-</v>
      </c>
      <c r="E154" s="458" t="str">
        <f>IF(B154="","-",SUM($D$18:D154))</f>
        <v>-</v>
      </c>
      <c r="F154" s="458" t="str">
        <f t="shared" si="14"/>
        <v>-</v>
      </c>
      <c r="G154" s="458" t="str">
        <f>IF(B154="","-",SUM($F$18:F154))</f>
        <v>-</v>
      </c>
      <c r="H154" s="458" t="str">
        <f t="shared" si="15"/>
        <v>-</v>
      </c>
    </row>
    <row r="155" spans="2:8" x14ac:dyDescent="0.2">
      <c r="B155" s="457" t="str">
        <f t="shared" si="11"/>
        <v/>
      </c>
      <c r="C155" s="458" t="str">
        <f t="shared" si="12"/>
        <v>-</v>
      </c>
      <c r="D155" s="458" t="str">
        <f t="shared" si="13"/>
        <v>-</v>
      </c>
      <c r="E155" s="458" t="str">
        <f>IF(B155="","-",SUM($D$18:D155))</f>
        <v>-</v>
      </c>
      <c r="F155" s="458" t="str">
        <f t="shared" si="14"/>
        <v>-</v>
      </c>
      <c r="G155" s="458" t="str">
        <f>IF(B155="","-",SUM($F$18:F155))</f>
        <v>-</v>
      </c>
      <c r="H155" s="458" t="str">
        <f t="shared" si="15"/>
        <v>-</v>
      </c>
    </row>
    <row r="156" spans="2:8" x14ac:dyDescent="0.2">
      <c r="B156" s="457" t="str">
        <f t="shared" si="11"/>
        <v/>
      </c>
      <c r="C156" s="458" t="str">
        <f t="shared" si="12"/>
        <v>-</v>
      </c>
      <c r="D156" s="458" t="str">
        <f t="shared" si="13"/>
        <v>-</v>
      </c>
      <c r="E156" s="458" t="str">
        <f>IF(B156="","-",SUM($D$18:D156))</f>
        <v>-</v>
      </c>
      <c r="F156" s="458" t="str">
        <f t="shared" si="14"/>
        <v>-</v>
      </c>
      <c r="G156" s="458" t="str">
        <f>IF(B156="","-",SUM($F$18:F156))</f>
        <v>-</v>
      </c>
      <c r="H156" s="458" t="str">
        <f t="shared" si="15"/>
        <v>-</v>
      </c>
    </row>
    <row r="157" spans="2:8" x14ac:dyDescent="0.2">
      <c r="B157" s="457" t="str">
        <f t="shared" si="11"/>
        <v/>
      </c>
      <c r="C157" s="458" t="str">
        <f t="shared" si="12"/>
        <v>-</v>
      </c>
      <c r="D157" s="458" t="str">
        <f t="shared" si="13"/>
        <v>-</v>
      </c>
      <c r="E157" s="458" t="str">
        <f>IF(B157="","-",SUM($D$18:D157))</f>
        <v>-</v>
      </c>
      <c r="F157" s="458" t="str">
        <f t="shared" si="14"/>
        <v>-</v>
      </c>
      <c r="G157" s="458" t="str">
        <f>IF(B157="","-",SUM($F$18:F157))</f>
        <v>-</v>
      </c>
      <c r="H157" s="458" t="str">
        <f t="shared" si="15"/>
        <v>-</v>
      </c>
    </row>
    <row r="158" spans="2:8" x14ac:dyDescent="0.2">
      <c r="B158" s="457" t="str">
        <f t="shared" ref="B158:B221" si="16">IF(B157&gt;=$D$5*12,"",B157+1)</f>
        <v/>
      </c>
      <c r="C158" s="458" t="str">
        <f t="shared" si="12"/>
        <v>-</v>
      </c>
      <c r="D158" s="458" t="str">
        <f t="shared" si="13"/>
        <v>-</v>
      </c>
      <c r="E158" s="458" t="str">
        <f>IF(B158="","-",SUM($D$18:D158))</f>
        <v>-</v>
      </c>
      <c r="F158" s="458" t="str">
        <f t="shared" si="14"/>
        <v>-</v>
      </c>
      <c r="G158" s="458" t="str">
        <f>IF(B158="","-",SUM($F$18:F158))</f>
        <v>-</v>
      </c>
      <c r="H158" s="458" t="str">
        <f t="shared" si="15"/>
        <v>-</v>
      </c>
    </row>
    <row r="159" spans="2:8" x14ac:dyDescent="0.2">
      <c r="B159" s="457" t="str">
        <f t="shared" si="16"/>
        <v/>
      </c>
      <c r="C159" s="458" t="str">
        <f t="shared" si="12"/>
        <v>-</v>
      </c>
      <c r="D159" s="458" t="str">
        <f t="shared" si="13"/>
        <v>-</v>
      </c>
      <c r="E159" s="458" t="str">
        <f>IF(B159="","-",SUM($D$18:D159))</f>
        <v>-</v>
      </c>
      <c r="F159" s="458" t="str">
        <f t="shared" si="14"/>
        <v>-</v>
      </c>
      <c r="G159" s="458" t="str">
        <f>IF(B159="","-",SUM($F$18:F159))</f>
        <v>-</v>
      </c>
      <c r="H159" s="458" t="str">
        <f t="shared" si="15"/>
        <v>-</v>
      </c>
    </row>
    <row r="160" spans="2:8" x14ac:dyDescent="0.2">
      <c r="B160" s="457" t="str">
        <f t="shared" si="16"/>
        <v/>
      </c>
      <c r="C160" s="458" t="str">
        <f t="shared" si="12"/>
        <v>-</v>
      </c>
      <c r="D160" s="458" t="str">
        <f t="shared" si="13"/>
        <v>-</v>
      </c>
      <c r="E160" s="458" t="str">
        <f>IF(B160="","-",SUM($D$18:D160))</f>
        <v>-</v>
      </c>
      <c r="F160" s="458" t="str">
        <f t="shared" si="14"/>
        <v>-</v>
      </c>
      <c r="G160" s="458" t="str">
        <f>IF(B160="","-",SUM($F$18:F160))</f>
        <v>-</v>
      </c>
      <c r="H160" s="458" t="str">
        <f t="shared" si="15"/>
        <v>-</v>
      </c>
    </row>
    <row r="161" spans="2:8" x14ac:dyDescent="0.2">
      <c r="B161" s="457" t="str">
        <f t="shared" si="16"/>
        <v/>
      </c>
      <c r="C161" s="460" t="str">
        <f t="shared" si="12"/>
        <v>-</v>
      </c>
      <c r="D161" s="458" t="str">
        <f t="shared" si="13"/>
        <v>-</v>
      </c>
      <c r="E161" s="458" t="str">
        <f>IF(B161="","-",SUM($D$18:D161))</f>
        <v>-</v>
      </c>
      <c r="F161" s="458" t="str">
        <f t="shared" si="14"/>
        <v>-</v>
      </c>
      <c r="G161" s="458" t="str">
        <f>IF(B161="","-",SUM($F$18:F161))</f>
        <v>-</v>
      </c>
      <c r="H161" s="458" t="str">
        <f t="shared" si="15"/>
        <v>-</v>
      </c>
    </row>
    <row r="162" spans="2:8" x14ac:dyDescent="0.2">
      <c r="B162" s="457" t="str">
        <f t="shared" si="16"/>
        <v/>
      </c>
      <c r="C162" s="458" t="str">
        <f t="shared" si="12"/>
        <v>-</v>
      </c>
      <c r="D162" s="458" t="str">
        <f t="shared" si="13"/>
        <v>-</v>
      </c>
      <c r="E162" s="458" t="str">
        <f>IF(B162="","-",SUM($D$18:D162))</f>
        <v>-</v>
      </c>
      <c r="F162" s="458" t="str">
        <f t="shared" si="14"/>
        <v>-</v>
      </c>
      <c r="G162" s="458" t="str">
        <f>IF(B162="","-",SUM($F$18:F162))</f>
        <v>-</v>
      </c>
      <c r="H162" s="458" t="str">
        <f t="shared" si="15"/>
        <v>-</v>
      </c>
    </row>
    <row r="163" spans="2:8" x14ac:dyDescent="0.2">
      <c r="B163" s="457" t="str">
        <f t="shared" si="16"/>
        <v/>
      </c>
      <c r="C163" s="458" t="str">
        <f t="shared" si="12"/>
        <v>-</v>
      </c>
      <c r="D163" s="458" t="str">
        <f t="shared" si="13"/>
        <v>-</v>
      </c>
      <c r="E163" s="458" t="str">
        <f>IF(B163="","-",SUM($D$18:D163))</f>
        <v>-</v>
      </c>
      <c r="F163" s="458" t="str">
        <f t="shared" si="14"/>
        <v>-</v>
      </c>
      <c r="G163" s="458" t="str">
        <f>IF(B163="","-",SUM($F$18:F163))</f>
        <v>-</v>
      </c>
      <c r="H163" s="458" t="str">
        <f t="shared" si="15"/>
        <v>-</v>
      </c>
    </row>
    <row r="164" spans="2:8" x14ac:dyDescent="0.2">
      <c r="B164" s="457" t="str">
        <f t="shared" si="16"/>
        <v/>
      </c>
      <c r="C164" s="458" t="str">
        <f t="shared" si="12"/>
        <v>-</v>
      </c>
      <c r="D164" s="458" t="str">
        <f t="shared" si="13"/>
        <v>-</v>
      </c>
      <c r="E164" s="458" t="str">
        <f>IF(B164="","-",SUM($D$18:D164))</f>
        <v>-</v>
      </c>
      <c r="F164" s="458" t="str">
        <f t="shared" si="14"/>
        <v>-</v>
      </c>
      <c r="G164" s="458" t="str">
        <f>IF(B164="","-",SUM($F$18:F164))</f>
        <v>-</v>
      </c>
      <c r="H164" s="458" t="str">
        <f t="shared" si="15"/>
        <v>-</v>
      </c>
    </row>
    <row r="165" spans="2:8" x14ac:dyDescent="0.2">
      <c r="B165" s="457" t="str">
        <f t="shared" si="16"/>
        <v/>
      </c>
      <c r="C165" s="458" t="str">
        <f t="shared" si="12"/>
        <v>-</v>
      </c>
      <c r="D165" s="458" t="str">
        <f t="shared" si="13"/>
        <v>-</v>
      </c>
      <c r="E165" s="458" t="str">
        <f>IF(B165="","-",SUM($D$18:D165))</f>
        <v>-</v>
      </c>
      <c r="F165" s="458" t="str">
        <f t="shared" si="14"/>
        <v>-</v>
      </c>
      <c r="G165" s="458" t="str">
        <f>IF(B165="","-",SUM($F$18:F165))</f>
        <v>-</v>
      </c>
      <c r="H165" s="458" t="str">
        <f t="shared" si="15"/>
        <v>-</v>
      </c>
    </row>
    <row r="166" spans="2:8" x14ac:dyDescent="0.2">
      <c r="B166" s="457" t="str">
        <f t="shared" si="16"/>
        <v/>
      </c>
      <c r="C166" s="458" t="str">
        <f t="shared" si="12"/>
        <v>-</v>
      </c>
      <c r="D166" s="458" t="str">
        <f t="shared" si="13"/>
        <v>-</v>
      </c>
      <c r="E166" s="458" t="str">
        <f>IF(B166="","-",SUM($D$18:D166))</f>
        <v>-</v>
      </c>
      <c r="F166" s="458" t="str">
        <f t="shared" si="14"/>
        <v>-</v>
      </c>
      <c r="G166" s="458" t="str">
        <f>IF(B166="","-",SUM($F$18:F166))</f>
        <v>-</v>
      </c>
      <c r="H166" s="458" t="str">
        <f t="shared" si="15"/>
        <v>-</v>
      </c>
    </row>
    <row r="167" spans="2:8" x14ac:dyDescent="0.2">
      <c r="B167" s="457" t="str">
        <f t="shared" si="16"/>
        <v/>
      </c>
      <c r="C167" s="458" t="str">
        <f t="shared" si="12"/>
        <v>-</v>
      </c>
      <c r="D167" s="458" t="str">
        <f t="shared" si="13"/>
        <v>-</v>
      </c>
      <c r="E167" s="458" t="str">
        <f>IF(B167="","-",SUM($D$18:D167))</f>
        <v>-</v>
      </c>
      <c r="F167" s="458" t="str">
        <f t="shared" si="14"/>
        <v>-</v>
      </c>
      <c r="G167" s="458" t="str">
        <f>IF(B167="","-",SUM($F$18:F167))</f>
        <v>-</v>
      </c>
      <c r="H167" s="458" t="str">
        <f t="shared" si="15"/>
        <v>-</v>
      </c>
    </row>
    <row r="168" spans="2:8" x14ac:dyDescent="0.2">
      <c r="B168" s="457" t="str">
        <f t="shared" si="16"/>
        <v/>
      </c>
      <c r="C168" s="458" t="str">
        <f t="shared" si="12"/>
        <v>-</v>
      </c>
      <c r="D168" s="458" t="str">
        <f t="shared" si="13"/>
        <v>-</v>
      </c>
      <c r="E168" s="458" t="str">
        <f>IF(B168="","-",SUM($D$18:D168))</f>
        <v>-</v>
      </c>
      <c r="F168" s="458" t="str">
        <f t="shared" si="14"/>
        <v>-</v>
      </c>
      <c r="G168" s="458" t="str">
        <f>IF(B168="","-",SUM($F$18:F168))</f>
        <v>-</v>
      </c>
      <c r="H168" s="458" t="str">
        <f t="shared" si="15"/>
        <v>-</v>
      </c>
    </row>
    <row r="169" spans="2:8" x14ac:dyDescent="0.2">
      <c r="B169" s="457" t="str">
        <f t="shared" si="16"/>
        <v/>
      </c>
      <c r="C169" s="458" t="str">
        <f t="shared" si="12"/>
        <v>-</v>
      </c>
      <c r="D169" s="458" t="str">
        <f t="shared" si="13"/>
        <v>-</v>
      </c>
      <c r="E169" s="458" t="str">
        <f>IF(B169="","-",SUM($D$18:D169))</f>
        <v>-</v>
      </c>
      <c r="F169" s="458" t="str">
        <f t="shared" si="14"/>
        <v>-</v>
      </c>
      <c r="G169" s="458" t="str">
        <f>IF(B169="","-",SUM($F$18:F169))</f>
        <v>-</v>
      </c>
      <c r="H169" s="458" t="str">
        <f t="shared" si="15"/>
        <v>-</v>
      </c>
    </row>
    <row r="170" spans="2:8" x14ac:dyDescent="0.2">
      <c r="B170" s="457" t="str">
        <f t="shared" si="16"/>
        <v/>
      </c>
      <c r="C170" s="458" t="str">
        <f t="shared" si="12"/>
        <v>-</v>
      </c>
      <c r="D170" s="458" t="str">
        <f t="shared" si="13"/>
        <v>-</v>
      </c>
      <c r="E170" s="458" t="str">
        <f>IF(B170="","-",SUM($D$18:D170))</f>
        <v>-</v>
      </c>
      <c r="F170" s="458" t="str">
        <f t="shared" si="14"/>
        <v>-</v>
      </c>
      <c r="G170" s="458" t="str">
        <f>IF(B170="","-",SUM($F$18:F170))</f>
        <v>-</v>
      </c>
      <c r="H170" s="458" t="str">
        <f t="shared" si="15"/>
        <v>-</v>
      </c>
    </row>
    <row r="171" spans="2:8" x14ac:dyDescent="0.2">
      <c r="B171" s="457" t="str">
        <f t="shared" si="16"/>
        <v/>
      </c>
      <c r="C171" s="458" t="str">
        <f t="shared" si="12"/>
        <v>-</v>
      </c>
      <c r="D171" s="458" t="str">
        <f t="shared" si="13"/>
        <v>-</v>
      </c>
      <c r="E171" s="458" t="str">
        <f>IF(B171="","-",SUM($D$18:D171))</f>
        <v>-</v>
      </c>
      <c r="F171" s="458" t="str">
        <f t="shared" si="14"/>
        <v>-</v>
      </c>
      <c r="G171" s="458" t="str">
        <f>IF(B171="","-",SUM($F$18:F171))</f>
        <v>-</v>
      </c>
      <c r="H171" s="458" t="str">
        <f t="shared" si="15"/>
        <v>-</v>
      </c>
    </row>
    <row r="172" spans="2:8" x14ac:dyDescent="0.2">
      <c r="B172" s="457" t="str">
        <f t="shared" si="16"/>
        <v/>
      </c>
      <c r="C172" s="458" t="str">
        <f t="shared" si="12"/>
        <v>-</v>
      </c>
      <c r="D172" s="458" t="str">
        <f t="shared" si="13"/>
        <v>-</v>
      </c>
      <c r="E172" s="458" t="str">
        <f>IF(B172="","-",SUM($D$18:D172))</f>
        <v>-</v>
      </c>
      <c r="F172" s="458" t="str">
        <f t="shared" si="14"/>
        <v>-</v>
      </c>
      <c r="G172" s="458" t="str">
        <f>IF(B172="","-",SUM($F$18:F172))</f>
        <v>-</v>
      </c>
      <c r="H172" s="458" t="str">
        <f t="shared" si="15"/>
        <v>-</v>
      </c>
    </row>
    <row r="173" spans="2:8" x14ac:dyDescent="0.2">
      <c r="B173" s="457" t="str">
        <f t="shared" si="16"/>
        <v/>
      </c>
      <c r="C173" s="460" t="str">
        <f t="shared" si="12"/>
        <v>-</v>
      </c>
      <c r="D173" s="458" t="str">
        <f t="shared" si="13"/>
        <v>-</v>
      </c>
      <c r="E173" s="458" t="str">
        <f>IF(B173="","-",SUM($D$18:D173))</f>
        <v>-</v>
      </c>
      <c r="F173" s="458" t="str">
        <f t="shared" si="14"/>
        <v>-</v>
      </c>
      <c r="G173" s="458" t="str">
        <f>IF(B173="","-",SUM($F$18:F173))</f>
        <v>-</v>
      </c>
      <c r="H173" s="458" t="str">
        <f t="shared" si="15"/>
        <v>-</v>
      </c>
    </row>
    <row r="174" spans="2:8" x14ac:dyDescent="0.2">
      <c r="B174" s="457" t="str">
        <f t="shared" si="16"/>
        <v/>
      </c>
      <c r="C174" s="458" t="str">
        <f t="shared" si="12"/>
        <v>-</v>
      </c>
      <c r="D174" s="458" t="str">
        <f t="shared" si="13"/>
        <v>-</v>
      </c>
      <c r="E174" s="458" t="str">
        <f>IF(B174="","-",SUM($D$18:D174))</f>
        <v>-</v>
      </c>
      <c r="F174" s="458" t="str">
        <f t="shared" si="14"/>
        <v>-</v>
      </c>
      <c r="G174" s="458" t="str">
        <f>IF(B174="","-",SUM($F$18:F174))</f>
        <v>-</v>
      </c>
      <c r="H174" s="458" t="str">
        <f t="shared" si="15"/>
        <v>-</v>
      </c>
    </row>
    <row r="175" spans="2:8" x14ac:dyDescent="0.2">
      <c r="B175" s="457" t="str">
        <f t="shared" si="16"/>
        <v/>
      </c>
      <c r="C175" s="458" t="str">
        <f t="shared" si="12"/>
        <v>-</v>
      </c>
      <c r="D175" s="458" t="str">
        <f t="shared" si="13"/>
        <v>-</v>
      </c>
      <c r="E175" s="458" t="str">
        <f>IF(B175="","-",SUM($D$18:D175))</f>
        <v>-</v>
      </c>
      <c r="F175" s="458" t="str">
        <f t="shared" si="14"/>
        <v>-</v>
      </c>
      <c r="G175" s="458" t="str">
        <f>IF(B175="","-",SUM($F$18:F175))</f>
        <v>-</v>
      </c>
      <c r="H175" s="458" t="str">
        <f t="shared" si="15"/>
        <v>-</v>
      </c>
    </row>
    <row r="176" spans="2:8" x14ac:dyDescent="0.2">
      <c r="B176" s="457" t="str">
        <f t="shared" si="16"/>
        <v/>
      </c>
      <c r="C176" s="458" t="str">
        <f t="shared" si="12"/>
        <v>-</v>
      </c>
      <c r="D176" s="458" t="str">
        <f t="shared" si="13"/>
        <v>-</v>
      </c>
      <c r="E176" s="458" t="str">
        <f>IF(B176="","-",SUM($D$18:D176))</f>
        <v>-</v>
      </c>
      <c r="F176" s="458" t="str">
        <f t="shared" si="14"/>
        <v>-</v>
      </c>
      <c r="G176" s="458" t="str">
        <f>IF(B176="","-",SUM($F$18:F176))</f>
        <v>-</v>
      </c>
      <c r="H176" s="458" t="str">
        <f t="shared" si="15"/>
        <v>-</v>
      </c>
    </row>
    <row r="177" spans="2:8" x14ac:dyDescent="0.2">
      <c r="B177" s="457" t="str">
        <f t="shared" si="16"/>
        <v/>
      </c>
      <c r="C177" s="458" t="str">
        <f t="shared" si="12"/>
        <v>-</v>
      </c>
      <c r="D177" s="458" t="str">
        <f t="shared" si="13"/>
        <v>-</v>
      </c>
      <c r="E177" s="458" t="str">
        <f>IF(B177="","-",SUM($D$18:D177))</f>
        <v>-</v>
      </c>
      <c r="F177" s="458" t="str">
        <f t="shared" si="14"/>
        <v>-</v>
      </c>
      <c r="G177" s="458" t="str">
        <f>IF(B177="","-",SUM($F$18:F177))</f>
        <v>-</v>
      </c>
      <c r="H177" s="458" t="str">
        <f t="shared" si="15"/>
        <v>-</v>
      </c>
    </row>
    <row r="178" spans="2:8" x14ac:dyDescent="0.2">
      <c r="B178" s="457" t="str">
        <f t="shared" si="16"/>
        <v/>
      </c>
      <c r="C178" s="458" t="str">
        <f t="shared" si="12"/>
        <v>-</v>
      </c>
      <c r="D178" s="458" t="str">
        <f t="shared" si="13"/>
        <v>-</v>
      </c>
      <c r="E178" s="458" t="str">
        <f>IF(B178="","-",SUM($D$18:D178))</f>
        <v>-</v>
      </c>
      <c r="F178" s="458" t="str">
        <f t="shared" si="14"/>
        <v>-</v>
      </c>
      <c r="G178" s="458" t="str">
        <f>IF(B178="","-",SUM($F$18:F178))</f>
        <v>-</v>
      </c>
      <c r="H178" s="458" t="str">
        <f t="shared" si="15"/>
        <v>-</v>
      </c>
    </row>
    <row r="179" spans="2:8" x14ac:dyDescent="0.2">
      <c r="B179" s="457" t="str">
        <f t="shared" si="16"/>
        <v/>
      </c>
      <c r="C179" s="458" t="str">
        <f t="shared" si="12"/>
        <v>-</v>
      </c>
      <c r="D179" s="458" t="str">
        <f t="shared" si="13"/>
        <v>-</v>
      </c>
      <c r="E179" s="458" t="str">
        <f>IF(B179="","-",SUM($D$18:D179))</f>
        <v>-</v>
      </c>
      <c r="F179" s="458" t="str">
        <f t="shared" si="14"/>
        <v>-</v>
      </c>
      <c r="G179" s="458" t="str">
        <f>IF(B179="","-",SUM($F$18:F179))</f>
        <v>-</v>
      </c>
      <c r="H179" s="458" t="str">
        <f t="shared" si="15"/>
        <v>-</v>
      </c>
    </row>
    <row r="180" spans="2:8" x14ac:dyDescent="0.2">
      <c r="B180" s="457" t="str">
        <f t="shared" si="16"/>
        <v/>
      </c>
      <c r="C180" s="458" t="str">
        <f t="shared" si="12"/>
        <v>-</v>
      </c>
      <c r="D180" s="458" t="str">
        <f t="shared" si="13"/>
        <v>-</v>
      </c>
      <c r="E180" s="458" t="str">
        <f>IF(B180="","-",SUM($D$18:D180))</f>
        <v>-</v>
      </c>
      <c r="F180" s="458" t="str">
        <f t="shared" si="14"/>
        <v>-</v>
      </c>
      <c r="G180" s="458" t="str">
        <f>IF(B180="","-",SUM($F$18:F180))</f>
        <v>-</v>
      </c>
      <c r="H180" s="458" t="str">
        <f t="shared" si="15"/>
        <v>-</v>
      </c>
    </row>
    <row r="181" spans="2:8" x14ac:dyDescent="0.2">
      <c r="B181" s="457" t="str">
        <f t="shared" si="16"/>
        <v/>
      </c>
      <c r="C181" s="458" t="str">
        <f t="shared" si="12"/>
        <v>-</v>
      </c>
      <c r="D181" s="458" t="str">
        <f t="shared" si="13"/>
        <v>-</v>
      </c>
      <c r="E181" s="458" t="str">
        <f>IF(B181="","-",SUM($D$18:D181))</f>
        <v>-</v>
      </c>
      <c r="F181" s="458" t="str">
        <f t="shared" si="14"/>
        <v>-</v>
      </c>
      <c r="G181" s="458" t="str">
        <f>IF(B181="","-",SUM($F$18:F181))</f>
        <v>-</v>
      </c>
      <c r="H181" s="458" t="str">
        <f t="shared" si="15"/>
        <v>-</v>
      </c>
    </row>
    <row r="182" spans="2:8" x14ac:dyDescent="0.2">
      <c r="B182" s="457" t="str">
        <f t="shared" si="16"/>
        <v/>
      </c>
      <c r="C182" s="458" t="str">
        <f t="shared" si="12"/>
        <v>-</v>
      </c>
      <c r="D182" s="458" t="str">
        <f t="shared" si="13"/>
        <v>-</v>
      </c>
      <c r="E182" s="458" t="str">
        <f>IF(B182="","-",SUM($D$18:D182))</f>
        <v>-</v>
      </c>
      <c r="F182" s="458" t="str">
        <f t="shared" si="14"/>
        <v>-</v>
      </c>
      <c r="G182" s="458" t="str">
        <f>IF(B182="","-",SUM($F$18:F182))</f>
        <v>-</v>
      </c>
      <c r="H182" s="458" t="str">
        <f t="shared" si="15"/>
        <v>-</v>
      </c>
    </row>
    <row r="183" spans="2:8" x14ac:dyDescent="0.2">
      <c r="B183" s="457" t="str">
        <f t="shared" si="16"/>
        <v/>
      </c>
      <c r="C183" s="458" t="str">
        <f t="shared" si="12"/>
        <v>-</v>
      </c>
      <c r="D183" s="458" t="str">
        <f t="shared" si="13"/>
        <v>-</v>
      </c>
      <c r="E183" s="458" t="str">
        <f>IF(B183="","-",SUM($D$18:D183))</f>
        <v>-</v>
      </c>
      <c r="F183" s="458" t="str">
        <f t="shared" si="14"/>
        <v>-</v>
      </c>
      <c r="G183" s="458" t="str">
        <f>IF(B183="","-",SUM($F$18:F183))</f>
        <v>-</v>
      </c>
      <c r="H183" s="458" t="str">
        <f t="shared" si="15"/>
        <v>-</v>
      </c>
    </row>
    <row r="184" spans="2:8" x14ac:dyDescent="0.2">
      <c r="B184" s="457" t="str">
        <f t="shared" si="16"/>
        <v/>
      </c>
      <c r="C184" s="458" t="str">
        <f t="shared" si="12"/>
        <v>-</v>
      </c>
      <c r="D184" s="458" t="str">
        <f t="shared" si="13"/>
        <v>-</v>
      </c>
      <c r="E184" s="458" t="str">
        <f>IF(B184="","-",SUM($D$18:D184))</f>
        <v>-</v>
      </c>
      <c r="F184" s="458" t="str">
        <f t="shared" si="14"/>
        <v>-</v>
      </c>
      <c r="G184" s="458" t="str">
        <f>IF(B184="","-",SUM($F$18:F184))</f>
        <v>-</v>
      </c>
      <c r="H184" s="458" t="str">
        <f t="shared" si="15"/>
        <v>-</v>
      </c>
    </row>
    <row r="185" spans="2:8" x14ac:dyDescent="0.2">
      <c r="B185" s="457" t="str">
        <f t="shared" si="16"/>
        <v/>
      </c>
      <c r="C185" s="460" t="str">
        <f t="shared" si="12"/>
        <v>-</v>
      </c>
      <c r="D185" s="458" t="str">
        <f t="shared" si="13"/>
        <v>-</v>
      </c>
      <c r="E185" s="458" t="str">
        <f>IF(B185="","-",SUM($D$18:D185))</f>
        <v>-</v>
      </c>
      <c r="F185" s="458" t="str">
        <f t="shared" si="14"/>
        <v>-</v>
      </c>
      <c r="G185" s="458" t="str">
        <f>IF(B185="","-",SUM($F$18:F185))</f>
        <v>-</v>
      </c>
      <c r="H185" s="458" t="str">
        <f t="shared" si="15"/>
        <v>-</v>
      </c>
    </row>
    <row r="186" spans="2:8" x14ac:dyDescent="0.2">
      <c r="B186" s="457" t="str">
        <f t="shared" si="16"/>
        <v/>
      </c>
      <c r="C186" s="458" t="str">
        <f t="shared" si="12"/>
        <v>-</v>
      </c>
      <c r="D186" s="458" t="str">
        <f t="shared" si="13"/>
        <v>-</v>
      </c>
      <c r="E186" s="458" t="str">
        <f>IF(B186="","-",SUM($D$18:D186))</f>
        <v>-</v>
      </c>
      <c r="F186" s="458" t="str">
        <f t="shared" si="14"/>
        <v>-</v>
      </c>
      <c r="G186" s="458" t="str">
        <f>IF(B186="","-",SUM($F$18:F186))</f>
        <v>-</v>
      </c>
      <c r="H186" s="458" t="str">
        <f t="shared" si="15"/>
        <v>-</v>
      </c>
    </row>
    <row r="187" spans="2:8" x14ac:dyDescent="0.2">
      <c r="B187" s="457" t="str">
        <f t="shared" si="16"/>
        <v/>
      </c>
      <c r="C187" s="458" t="str">
        <f t="shared" si="12"/>
        <v>-</v>
      </c>
      <c r="D187" s="458" t="str">
        <f t="shared" si="13"/>
        <v>-</v>
      </c>
      <c r="E187" s="458" t="str">
        <f>IF(B187="","-",SUM($D$18:D187))</f>
        <v>-</v>
      </c>
      <c r="F187" s="458" t="str">
        <f t="shared" si="14"/>
        <v>-</v>
      </c>
      <c r="G187" s="458" t="str">
        <f>IF(B187="","-",SUM($F$18:F187))</f>
        <v>-</v>
      </c>
      <c r="H187" s="458" t="str">
        <f t="shared" si="15"/>
        <v>-</v>
      </c>
    </row>
    <row r="188" spans="2:8" x14ac:dyDescent="0.2">
      <c r="B188" s="457" t="str">
        <f t="shared" si="16"/>
        <v/>
      </c>
      <c r="C188" s="458" t="str">
        <f t="shared" si="12"/>
        <v>-</v>
      </c>
      <c r="D188" s="458" t="str">
        <f t="shared" si="13"/>
        <v>-</v>
      </c>
      <c r="E188" s="458" t="str">
        <f>IF(B188="","-",SUM($D$18:D188))</f>
        <v>-</v>
      </c>
      <c r="F188" s="458" t="str">
        <f t="shared" si="14"/>
        <v>-</v>
      </c>
      <c r="G188" s="458" t="str">
        <f>IF(B188="","-",SUM($F$18:F188))</f>
        <v>-</v>
      </c>
      <c r="H188" s="458" t="str">
        <f t="shared" si="15"/>
        <v>-</v>
      </c>
    </row>
    <row r="189" spans="2:8" x14ac:dyDescent="0.2">
      <c r="B189" s="457" t="str">
        <f t="shared" si="16"/>
        <v/>
      </c>
      <c r="C189" s="458" t="str">
        <f t="shared" si="12"/>
        <v>-</v>
      </c>
      <c r="D189" s="458" t="str">
        <f t="shared" si="13"/>
        <v>-</v>
      </c>
      <c r="E189" s="458" t="str">
        <f>IF(B189="","-",SUM($D$18:D189))</f>
        <v>-</v>
      </c>
      <c r="F189" s="458" t="str">
        <f t="shared" si="14"/>
        <v>-</v>
      </c>
      <c r="G189" s="458" t="str">
        <f>IF(B189="","-",SUM($F$18:F189))</f>
        <v>-</v>
      </c>
      <c r="H189" s="458" t="str">
        <f t="shared" si="15"/>
        <v>-</v>
      </c>
    </row>
    <row r="190" spans="2:8" x14ac:dyDescent="0.2">
      <c r="B190" s="457" t="str">
        <f t="shared" si="16"/>
        <v/>
      </c>
      <c r="C190" s="458" t="str">
        <f t="shared" si="12"/>
        <v>-</v>
      </c>
      <c r="D190" s="458" t="str">
        <f t="shared" si="13"/>
        <v>-</v>
      </c>
      <c r="E190" s="458" t="str">
        <f>IF(B190="","-",SUM($D$18:D190))</f>
        <v>-</v>
      </c>
      <c r="F190" s="458" t="str">
        <f t="shared" si="14"/>
        <v>-</v>
      </c>
      <c r="G190" s="458" t="str">
        <f>IF(B190="","-",SUM($F$18:F190))</f>
        <v>-</v>
      </c>
      <c r="H190" s="458" t="str">
        <f t="shared" si="15"/>
        <v>-</v>
      </c>
    </row>
    <row r="191" spans="2:8" x14ac:dyDescent="0.2">
      <c r="B191" s="457" t="str">
        <f t="shared" si="16"/>
        <v/>
      </c>
      <c r="C191" s="458" t="str">
        <f t="shared" si="12"/>
        <v>-</v>
      </c>
      <c r="D191" s="458" t="str">
        <f t="shared" si="13"/>
        <v>-</v>
      </c>
      <c r="E191" s="458" t="str">
        <f>IF(B191="","-",SUM($D$18:D191))</f>
        <v>-</v>
      </c>
      <c r="F191" s="458" t="str">
        <f t="shared" si="14"/>
        <v>-</v>
      </c>
      <c r="G191" s="458" t="str">
        <f>IF(B191="","-",SUM($F$18:F191))</f>
        <v>-</v>
      </c>
      <c r="H191" s="458" t="str">
        <f t="shared" si="15"/>
        <v>-</v>
      </c>
    </row>
    <row r="192" spans="2:8" x14ac:dyDescent="0.2">
      <c r="B192" s="457" t="str">
        <f t="shared" si="16"/>
        <v/>
      </c>
      <c r="C192" s="458" t="str">
        <f t="shared" si="12"/>
        <v>-</v>
      </c>
      <c r="D192" s="458" t="str">
        <f t="shared" si="13"/>
        <v>-</v>
      </c>
      <c r="E192" s="458" t="str">
        <f>IF(B192="","-",SUM($D$18:D192))</f>
        <v>-</v>
      </c>
      <c r="F192" s="458" t="str">
        <f t="shared" si="14"/>
        <v>-</v>
      </c>
      <c r="G192" s="458" t="str">
        <f>IF(B192="","-",SUM($F$18:F192))</f>
        <v>-</v>
      </c>
      <c r="H192" s="458" t="str">
        <f t="shared" si="15"/>
        <v>-</v>
      </c>
    </row>
    <row r="193" spans="2:8" x14ac:dyDescent="0.2">
      <c r="B193" s="457" t="str">
        <f t="shared" si="16"/>
        <v/>
      </c>
      <c r="C193" s="458" t="str">
        <f t="shared" si="12"/>
        <v>-</v>
      </c>
      <c r="D193" s="458" t="str">
        <f t="shared" si="13"/>
        <v>-</v>
      </c>
      <c r="E193" s="458" t="str">
        <f>IF(B193="","-",SUM($D$18:D193))</f>
        <v>-</v>
      </c>
      <c r="F193" s="458" t="str">
        <f t="shared" si="14"/>
        <v>-</v>
      </c>
      <c r="G193" s="458" t="str">
        <f>IF(B193="","-",SUM($F$18:F193))</f>
        <v>-</v>
      </c>
      <c r="H193" s="458" t="str">
        <f t="shared" si="15"/>
        <v>-</v>
      </c>
    </row>
    <row r="194" spans="2:8" x14ac:dyDescent="0.2">
      <c r="B194" s="457" t="str">
        <f t="shared" si="16"/>
        <v/>
      </c>
      <c r="C194" s="458" t="str">
        <f t="shared" si="12"/>
        <v>-</v>
      </c>
      <c r="D194" s="458" t="str">
        <f t="shared" si="13"/>
        <v>-</v>
      </c>
      <c r="E194" s="458" t="str">
        <f>IF(B194="","-",SUM($D$18:D194))</f>
        <v>-</v>
      </c>
      <c r="F194" s="458" t="str">
        <f t="shared" si="14"/>
        <v>-</v>
      </c>
      <c r="G194" s="458" t="str">
        <f>IF(B194="","-",SUM($F$18:F194))</f>
        <v>-</v>
      </c>
      <c r="H194" s="458" t="str">
        <f t="shared" si="15"/>
        <v>-</v>
      </c>
    </row>
    <row r="195" spans="2:8" x14ac:dyDescent="0.2">
      <c r="B195" s="457" t="str">
        <f t="shared" si="16"/>
        <v/>
      </c>
      <c r="C195" s="458" t="str">
        <f t="shared" si="12"/>
        <v>-</v>
      </c>
      <c r="D195" s="458" t="str">
        <f t="shared" si="13"/>
        <v>-</v>
      </c>
      <c r="E195" s="458" t="str">
        <f>IF(B195="","-",SUM($D$18:D195))</f>
        <v>-</v>
      </c>
      <c r="F195" s="458" t="str">
        <f t="shared" si="14"/>
        <v>-</v>
      </c>
      <c r="G195" s="458" t="str">
        <f>IF(B195="","-",SUM($F$18:F195))</f>
        <v>-</v>
      </c>
      <c r="H195" s="458" t="str">
        <f t="shared" si="15"/>
        <v>-</v>
      </c>
    </row>
    <row r="196" spans="2:8" x14ac:dyDescent="0.2">
      <c r="B196" s="457" t="str">
        <f t="shared" si="16"/>
        <v/>
      </c>
      <c r="C196" s="458" t="str">
        <f t="shared" si="12"/>
        <v>-</v>
      </c>
      <c r="D196" s="458" t="str">
        <f t="shared" si="13"/>
        <v>-</v>
      </c>
      <c r="E196" s="458" t="str">
        <f>IF(B196="","-",SUM($D$18:D196))</f>
        <v>-</v>
      </c>
      <c r="F196" s="458" t="str">
        <f t="shared" si="14"/>
        <v>-</v>
      </c>
      <c r="G196" s="458" t="str">
        <f>IF(B196="","-",SUM($F$18:F196))</f>
        <v>-</v>
      </c>
      <c r="H196" s="458" t="str">
        <f t="shared" si="15"/>
        <v>-</v>
      </c>
    </row>
    <row r="197" spans="2:8" x14ac:dyDescent="0.2">
      <c r="B197" s="457" t="str">
        <f t="shared" si="16"/>
        <v/>
      </c>
      <c r="C197" s="460" t="str">
        <f t="shared" si="12"/>
        <v>-</v>
      </c>
      <c r="D197" s="458" t="str">
        <f t="shared" si="13"/>
        <v>-</v>
      </c>
      <c r="E197" s="458" t="str">
        <f>IF(B197="","-",SUM($D$18:D197))</f>
        <v>-</v>
      </c>
      <c r="F197" s="458" t="str">
        <f t="shared" si="14"/>
        <v>-</v>
      </c>
      <c r="G197" s="458" t="str">
        <f>IF(B197="","-",SUM($F$18:F197))</f>
        <v>-</v>
      </c>
      <c r="H197" s="458" t="str">
        <f t="shared" si="15"/>
        <v>-</v>
      </c>
    </row>
    <row r="198" spans="2:8" x14ac:dyDescent="0.2">
      <c r="B198" s="457" t="str">
        <f t="shared" si="16"/>
        <v/>
      </c>
      <c r="C198" s="458" t="str">
        <f t="shared" si="12"/>
        <v>-</v>
      </c>
      <c r="D198" s="458" t="str">
        <f t="shared" si="13"/>
        <v>-</v>
      </c>
      <c r="E198" s="458" t="str">
        <f>IF(B198="","-",SUM($D$18:D198))</f>
        <v>-</v>
      </c>
      <c r="F198" s="458" t="str">
        <f t="shared" si="14"/>
        <v>-</v>
      </c>
      <c r="G198" s="458" t="str">
        <f>IF(B198="","-",SUM($F$18:F198))</f>
        <v>-</v>
      </c>
      <c r="H198" s="458" t="str">
        <f t="shared" si="15"/>
        <v>-</v>
      </c>
    </row>
    <row r="199" spans="2:8" x14ac:dyDescent="0.2">
      <c r="B199" s="457" t="str">
        <f t="shared" si="16"/>
        <v/>
      </c>
      <c r="C199" s="458" t="str">
        <f t="shared" si="12"/>
        <v>-</v>
      </c>
      <c r="D199" s="458" t="str">
        <f t="shared" si="13"/>
        <v>-</v>
      </c>
      <c r="E199" s="458" t="str">
        <f>IF(B199="","-",SUM($D$18:D199))</f>
        <v>-</v>
      </c>
      <c r="F199" s="458" t="str">
        <f t="shared" si="14"/>
        <v>-</v>
      </c>
      <c r="G199" s="458" t="str">
        <f>IF(B199="","-",SUM($F$18:F199))</f>
        <v>-</v>
      </c>
      <c r="H199" s="458" t="str">
        <f t="shared" si="15"/>
        <v>-</v>
      </c>
    </row>
    <row r="200" spans="2:8" x14ac:dyDescent="0.2">
      <c r="B200" s="457" t="str">
        <f t="shared" si="16"/>
        <v/>
      </c>
      <c r="C200" s="458" t="str">
        <f t="shared" si="12"/>
        <v>-</v>
      </c>
      <c r="D200" s="458" t="str">
        <f t="shared" si="13"/>
        <v>-</v>
      </c>
      <c r="E200" s="458" t="str">
        <f>IF(B200="","-",SUM($D$18:D200))</f>
        <v>-</v>
      </c>
      <c r="F200" s="458" t="str">
        <f t="shared" si="14"/>
        <v>-</v>
      </c>
      <c r="G200" s="458" t="str">
        <f>IF(B200="","-",SUM($F$18:F200))</f>
        <v>-</v>
      </c>
      <c r="H200" s="458" t="str">
        <f t="shared" si="15"/>
        <v>-</v>
      </c>
    </row>
    <row r="201" spans="2:8" x14ac:dyDescent="0.2">
      <c r="B201" s="457" t="str">
        <f t="shared" si="16"/>
        <v/>
      </c>
      <c r="C201" s="458" t="str">
        <f t="shared" si="12"/>
        <v>-</v>
      </c>
      <c r="D201" s="458" t="str">
        <f t="shared" si="13"/>
        <v>-</v>
      </c>
      <c r="E201" s="458" t="str">
        <f>IF(B201="","-",SUM($D$18:D201))</f>
        <v>-</v>
      </c>
      <c r="F201" s="458" t="str">
        <f t="shared" si="14"/>
        <v>-</v>
      </c>
      <c r="G201" s="458" t="str">
        <f>IF(B201="","-",SUM($F$18:F201))</f>
        <v>-</v>
      </c>
      <c r="H201" s="458" t="str">
        <f t="shared" si="15"/>
        <v>-</v>
      </c>
    </row>
    <row r="202" spans="2:8" x14ac:dyDescent="0.2">
      <c r="B202" s="457" t="str">
        <f t="shared" si="16"/>
        <v/>
      </c>
      <c r="C202" s="458" t="str">
        <f t="shared" si="12"/>
        <v>-</v>
      </c>
      <c r="D202" s="458" t="str">
        <f t="shared" si="13"/>
        <v>-</v>
      </c>
      <c r="E202" s="458" t="str">
        <f>IF(B202="","-",SUM($D$18:D202))</f>
        <v>-</v>
      </c>
      <c r="F202" s="458" t="str">
        <f t="shared" si="14"/>
        <v>-</v>
      </c>
      <c r="G202" s="458" t="str">
        <f>IF(B202="","-",SUM($F$18:F202))</f>
        <v>-</v>
      </c>
      <c r="H202" s="458" t="str">
        <f t="shared" si="15"/>
        <v>-</v>
      </c>
    </row>
    <row r="203" spans="2:8" x14ac:dyDescent="0.2">
      <c r="B203" s="457" t="str">
        <f t="shared" si="16"/>
        <v/>
      </c>
      <c r="C203" s="458" t="str">
        <f t="shared" si="12"/>
        <v>-</v>
      </c>
      <c r="D203" s="458" t="str">
        <f t="shared" si="13"/>
        <v>-</v>
      </c>
      <c r="E203" s="458" t="str">
        <f>IF(B203="","-",SUM($D$18:D203))</f>
        <v>-</v>
      </c>
      <c r="F203" s="458" t="str">
        <f t="shared" si="14"/>
        <v>-</v>
      </c>
      <c r="G203" s="458" t="str">
        <f>IF(B203="","-",SUM($F$18:F203))</f>
        <v>-</v>
      </c>
      <c r="H203" s="458" t="str">
        <f t="shared" si="15"/>
        <v>-</v>
      </c>
    </row>
    <row r="204" spans="2:8" x14ac:dyDescent="0.2">
      <c r="B204" s="457" t="str">
        <f t="shared" si="16"/>
        <v/>
      </c>
      <c r="C204" s="458" t="str">
        <f t="shared" si="12"/>
        <v>-</v>
      </c>
      <c r="D204" s="458" t="str">
        <f t="shared" si="13"/>
        <v>-</v>
      </c>
      <c r="E204" s="458" t="str">
        <f>IF(B204="","-",SUM($D$18:D204))</f>
        <v>-</v>
      </c>
      <c r="F204" s="458" t="str">
        <f t="shared" si="14"/>
        <v>-</v>
      </c>
      <c r="G204" s="458" t="str">
        <f>IF(B204="","-",SUM($F$18:F204))</f>
        <v>-</v>
      </c>
      <c r="H204" s="458" t="str">
        <f t="shared" si="15"/>
        <v>-</v>
      </c>
    </row>
    <row r="205" spans="2:8" x14ac:dyDescent="0.2">
      <c r="B205" s="457" t="str">
        <f t="shared" si="16"/>
        <v/>
      </c>
      <c r="C205" s="458" t="str">
        <f t="shared" si="12"/>
        <v>-</v>
      </c>
      <c r="D205" s="458" t="str">
        <f t="shared" si="13"/>
        <v>-</v>
      </c>
      <c r="E205" s="458" t="str">
        <f>IF(B205="","-",SUM($D$18:D205))</f>
        <v>-</v>
      </c>
      <c r="F205" s="458" t="str">
        <f t="shared" si="14"/>
        <v>-</v>
      </c>
      <c r="G205" s="458" t="str">
        <f>IF(B205="","-",SUM($F$18:F205))</f>
        <v>-</v>
      </c>
      <c r="H205" s="458" t="str">
        <f t="shared" si="15"/>
        <v>-</v>
      </c>
    </row>
    <row r="206" spans="2:8" x14ac:dyDescent="0.2">
      <c r="B206" s="457" t="str">
        <f t="shared" si="16"/>
        <v/>
      </c>
      <c r="C206" s="458" t="str">
        <f t="shared" si="12"/>
        <v>-</v>
      </c>
      <c r="D206" s="458" t="str">
        <f t="shared" si="13"/>
        <v>-</v>
      </c>
      <c r="E206" s="458" t="str">
        <f>IF(B206="","-",SUM($D$18:D206))</f>
        <v>-</v>
      </c>
      <c r="F206" s="458" t="str">
        <f t="shared" si="14"/>
        <v>-</v>
      </c>
      <c r="G206" s="458" t="str">
        <f>IF(B206="","-",SUM($F$18:F206))</f>
        <v>-</v>
      </c>
      <c r="H206" s="458" t="str">
        <f t="shared" si="15"/>
        <v>-</v>
      </c>
    </row>
    <row r="207" spans="2:8" x14ac:dyDescent="0.2">
      <c r="B207" s="457" t="str">
        <f t="shared" si="16"/>
        <v/>
      </c>
      <c r="C207" s="458" t="str">
        <f t="shared" si="12"/>
        <v>-</v>
      </c>
      <c r="D207" s="458" t="str">
        <f t="shared" si="13"/>
        <v>-</v>
      </c>
      <c r="E207" s="458" t="str">
        <f>IF(B207="","-",SUM($D$18:D207))</f>
        <v>-</v>
      </c>
      <c r="F207" s="458" t="str">
        <f t="shared" si="14"/>
        <v>-</v>
      </c>
      <c r="G207" s="458" t="str">
        <f>IF(B207="","-",SUM($F$18:F207))</f>
        <v>-</v>
      </c>
      <c r="H207" s="458" t="str">
        <f t="shared" si="15"/>
        <v>-</v>
      </c>
    </row>
    <row r="208" spans="2:8" x14ac:dyDescent="0.2">
      <c r="B208" s="457" t="str">
        <f t="shared" si="16"/>
        <v/>
      </c>
      <c r="C208" s="458" t="str">
        <f t="shared" si="12"/>
        <v>-</v>
      </c>
      <c r="D208" s="458" t="str">
        <f t="shared" si="13"/>
        <v>-</v>
      </c>
      <c r="E208" s="458" t="str">
        <f>IF(B208="","-",SUM($D$18:D208))</f>
        <v>-</v>
      </c>
      <c r="F208" s="458" t="str">
        <f t="shared" si="14"/>
        <v>-</v>
      </c>
      <c r="G208" s="458" t="str">
        <f>IF(B208="","-",SUM($F$18:F208))</f>
        <v>-</v>
      </c>
      <c r="H208" s="458" t="str">
        <f t="shared" si="15"/>
        <v>-</v>
      </c>
    </row>
    <row r="209" spans="2:8" x14ac:dyDescent="0.2">
      <c r="B209" s="457" t="str">
        <f t="shared" si="16"/>
        <v/>
      </c>
      <c r="C209" s="460" t="str">
        <f t="shared" si="12"/>
        <v>-</v>
      </c>
      <c r="D209" s="458" t="str">
        <f t="shared" si="13"/>
        <v>-</v>
      </c>
      <c r="E209" s="458" t="str">
        <f>IF(B209="","-",SUM($D$18:D209))</f>
        <v>-</v>
      </c>
      <c r="F209" s="458" t="str">
        <f t="shared" si="14"/>
        <v>-</v>
      </c>
      <c r="G209" s="458" t="str">
        <f>IF(B209="","-",SUM($F$18:F209))</f>
        <v>-</v>
      </c>
      <c r="H209" s="458" t="str">
        <f t="shared" si="15"/>
        <v>-</v>
      </c>
    </row>
    <row r="210" spans="2:8" x14ac:dyDescent="0.2">
      <c r="B210" s="457" t="str">
        <f t="shared" si="16"/>
        <v/>
      </c>
      <c r="C210" s="458" t="str">
        <f t="shared" ref="C210:C257" si="17">IF(B210="","-",IF(B210&lt;=$D$6,D210,  $D$7))</f>
        <v>-</v>
      </c>
      <c r="D210" s="458" t="str">
        <f t="shared" ref="D210:D273" si="18">IF(B210="","-",$D$4/12*H209)</f>
        <v>-</v>
      </c>
      <c r="E210" s="458" t="str">
        <f>IF(B210="","-",SUM($D$18:D210))</f>
        <v>-</v>
      </c>
      <c r="F210" s="458" t="str">
        <f t="shared" ref="F210:F273" si="19">IF(B210="","-",C210-D210)</f>
        <v>-</v>
      </c>
      <c r="G210" s="458" t="str">
        <f>IF(B210="","-",SUM($F$18:F210))</f>
        <v>-</v>
      </c>
      <c r="H210" s="458" t="str">
        <f t="shared" ref="H210:H273" si="20">IF(B210="","-",H209-F210)</f>
        <v>-</v>
      </c>
    </row>
    <row r="211" spans="2:8" x14ac:dyDescent="0.2">
      <c r="B211" s="457" t="str">
        <f t="shared" si="16"/>
        <v/>
      </c>
      <c r="C211" s="458" t="str">
        <f t="shared" si="17"/>
        <v>-</v>
      </c>
      <c r="D211" s="458" t="str">
        <f t="shared" si="18"/>
        <v>-</v>
      </c>
      <c r="E211" s="458" t="str">
        <f>IF(B211="","-",SUM($D$18:D211))</f>
        <v>-</v>
      </c>
      <c r="F211" s="458" t="str">
        <f t="shared" si="19"/>
        <v>-</v>
      </c>
      <c r="G211" s="458" t="str">
        <f>IF(B211="","-",SUM($F$18:F211))</f>
        <v>-</v>
      </c>
      <c r="H211" s="458" t="str">
        <f t="shared" si="20"/>
        <v>-</v>
      </c>
    </row>
    <row r="212" spans="2:8" x14ac:dyDescent="0.2">
      <c r="B212" s="457" t="str">
        <f t="shared" si="16"/>
        <v/>
      </c>
      <c r="C212" s="458" t="str">
        <f t="shared" si="17"/>
        <v>-</v>
      </c>
      <c r="D212" s="458" t="str">
        <f t="shared" si="18"/>
        <v>-</v>
      </c>
      <c r="E212" s="458" t="str">
        <f>IF(B212="","-",SUM($D$18:D212))</f>
        <v>-</v>
      </c>
      <c r="F212" s="458" t="str">
        <f t="shared" si="19"/>
        <v>-</v>
      </c>
      <c r="G212" s="458" t="str">
        <f>IF(B212="","-",SUM($F$18:F212))</f>
        <v>-</v>
      </c>
      <c r="H212" s="458" t="str">
        <f t="shared" si="20"/>
        <v>-</v>
      </c>
    </row>
    <row r="213" spans="2:8" x14ac:dyDescent="0.2">
      <c r="B213" s="457" t="str">
        <f t="shared" si="16"/>
        <v/>
      </c>
      <c r="C213" s="458" t="str">
        <f t="shared" si="17"/>
        <v>-</v>
      </c>
      <c r="D213" s="458" t="str">
        <f t="shared" si="18"/>
        <v>-</v>
      </c>
      <c r="E213" s="458" t="str">
        <f>IF(B213="","-",SUM($D$18:D213))</f>
        <v>-</v>
      </c>
      <c r="F213" s="458" t="str">
        <f t="shared" si="19"/>
        <v>-</v>
      </c>
      <c r="G213" s="458" t="str">
        <f>IF(B213="","-",SUM($F$18:F213))</f>
        <v>-</v>
      </c>
      <c r="H213" s="458" t="str">
        <f t="shared" si="20"/>
        <v>-</v>
      </c>
    </row>
    <row r="214" spans="2:8" x14ac:dyDescent="0.2">
      <c r="B214" s="457" t="str">
        <f t="shared" si="16"/>
        <v/>
      </c>
      <c r="C214" s="458" t="str">
        <f t="shared" si="17"/>
        <v>-</v>
      </c>
      <c r="D214" s="458" t="str">
        <f t="shared" si="18"/>
        <v>-</v>
      </c>
      <c r="E214" s="458" t="str">
        <f>IF(B214="","-",SUM($D$18:D214))</f>
        <v>-</v>
      </c>
      <c r="F214" s="458" t="str">
        <f t="shared" si="19"/>
        <v>-</v>
      </c>
      <c r="G214" s="458" t="str">
        <f>IF(B214="","-",SUM($F$18:F214))</f>
        <v>-</v>
      </c>
      <c r="H214" s="458" t="str">
        <f t="shared" si="20"/>
        <v>-</v>
      </c>
    </row>
    <row r="215" spans="2:8" x14ac:dyDescent="0.2">
      <c r="B215" s="457" t="str">
        <f t="shared" si="16"/>
        <v/>
      </c>
      <c r="C215" s="458" t="str">
        <f t="shared" si="17"/>
        <v>-</v>
      </c>
      <c r="D215" s="458" t="str">
        <f t="shared" si="18"/>
        <v>-</v>
      </c>
      <c r="E215" s="458" t="str">
        <f>IF(B215="","-",SUM($D$18:D215))</f>
        <v>-</v>
      </c>
      <c r="F215" s="458" t="str">
        <f t="shared" si="19"/>
        <v>-</v>
      </c>
      <c r="G215" s="458" t="str">
        <f>IF(B215="","-",SUM($F$18:F215))</f>
        <v>-</v>
      </c>
      <c r="H215" s="458" t="str">
        <f t="shared" si="20"/>
        <v>-</v>
      </c>
    </row>
    <row r="216" spans="2:8" x14ac:dyDescent="0.2">
      <c r="B216" s="457" t="str">
        <f t="shared" si="16"/>
        <v/>
      </c>
      <c r="C216" s="458" t="str">
        <f t="shared" si="17"/>
        <v>-</v>
      </c>
      <c r="D216" s="458" t="str">
        <f t="shared" si="18"/>
        <v>-</v>
      </c>
      <c r="E216" s="458" t="str">
        <f>IF(B216="","-",SUM($D$18:D216))</f>
        <v>-</v>
      </c>
      <c r="F216" s="458" t="str">
        <f t="shared" si="19"/>
        <v>-</v>
      </c>
      <c r="G216" s="458" t="str">
        <f>IF(B216="","-",SUM($F$18:F216))</f>
        <v>-</v>
      </c>
      <c r="H216" s="458" t="str">
        <f t="shared" si="20"/>
        <v>-</v>
      </c>
    </row>
    <row r="217" spans="2:8" x14ac:dyDescent="0.2">
      <c r="B217" s="457" t="str">
        <f t="shared" si="16"/>
        <v/>
      </c>
      <c r="C217" s="458" t="str">
        <f t="shared" si="17"/>
        <v>-</v>
      </c>
      <c r="D217" s="458" t="str">
        <f t="shared" si="18"/>
        <v>-</v>
      </c>
      <c r="E217" s="458" t="str">
        <f>IF(B217="","-",SUM($D$18:D217))</f>
        <v>-</v>
      </c>
      <c r="F217" s="458" t="str">
        <f t="shared" si="19"/>
        <v>-</v>
      </c>
      <c r="G217" s="458" t="str">
        <f>IF(B217="","-",SUM($F$18:F217))</f>
        <v>-</v>
      </c>
      <c r="H217" s="458" t="str">
        <f t="shared" si="20"/>
        <v>-</v>
      </c>
    </row>
    <row r="218" spans="2:8" x14ac:dyDescent="0.2">
      <c r="B218" s="457" t="str">
        <f t="shared" si="16"/>
        <v/>
      </c>
      <c r="C218" s="458" t="str">
        <f t="shared" si="17"/>
        <v>-</v>
      </c>
      <c r="D218" s="458" t="str">
        <f t="shared" si="18"/>
        <v>-</v>
      </c>
      <c r="E218" s="458" t="str">
        <f>IF(B218="","-",SUM($D$18:D218))</f>
        <v>-</v>
      </c>
      <c r="F218" s="458" t="str">
        <f t="shared" si="19"/>
        <v>-</v>
      </c>
      <c r="G218" s="458" t="str">
        <f>IF(B218="","-",SUM($F$18:F218))</f>
        <v>-</v>
      </c>
      <c r="H218" s="458" t="str">
        <f t="shared" si="20"/>
        <v>-</v>
      </c>
    </row>
    <row r="219" spans="2:8" x14ac:dyDescent="0.2">
      <c r="B219" s="457" t="str">
        <f t="shared" si="16"/>
        <v/>
      </c>
      <c r="C219" s="458" t="str">
        <f t="shared" si="17"/>
        <v>-</v>
      </c>
      <c r="D219" s="458" t="str">
        <f t="shared" si="18"/>
        <v>-</v>
      </c>
      <c r="E219" s="458" t="str">
        <f>IF(B219="","-",SUM($D$18:D219))</f>
        <v>-</v>
      </c>
      <c r="F219" s="458" t="str">
        <f t="shared" si="19"/>
        <v>-</v>
      </c>
      <c r="G219" s="458" t="str">
        <f>IF(B219="","-",SUM($F$18:F219))</f>
        <v>-</v>
      </c>
      <c r="H219" s="458" t="str">
        <f t="shared" si="20"/>
        <v>-</v>
      </c>
    </row>
    <row r="220" spans="2:8" x14ac:dyDescent="0.2">
      <c r="B220" s="457" t="str">
        <f t="shared" si="16"/>
        <v/>
      </c>
      <c r="C220" s="458" t="str">
        <f t="shared" si="17"/>
        <v>-</v>
      </c>
      <c r="D220" s="458" t="str">
        <f t="shared" si="18"/>
        <v>-</v>
      </c>
      <c r="E220" s="458" t="str">
        <f>IF(B220="","-",SUM($D$18:D220))</f>
        <v>-</v>
      </c>
      <c r="F220" s="458" t="str">
        <f t="shared" si="19"/>
        <v>-</v>
      </c>
      <c r="G220" s="458" t="str">
        <f>IF(B220="","-",SUM($F$18:F220))</f>
        <v>-</v>
      </c>
      <c r="H220" s="458" t="str">
        <f t="shared" si="20"/>
        <v>-</v>
      </c>
    </row>
    <row r="221" spans="2:8" x14ac:dyDescent="0.2">
      <c r="B221" s="457" t="str">
        <f t="shared" si="16"/>
        <v/>
      </c>
      <c r="C221" s="460" t="str">
        <f t="shared" si="17"/>
        <v>-</v>
      </c>
      <c r="D221" s="458" t="str">
        <f t="shared" si="18"/>
        <v>-</v>
      </c>
      <c r="E221" s="458" t="str">
        <f>IF(B221="","-",SUM($D$18:D221))</f>
        <v>-</v>
      </c>
      <c r="F221" s="458" t="str">
        <f t="shared" si="19"/>
        <v>-</v>
      </c>
      <c r="G221" s="458" t="str">
        <f>IF(B221="","-",SUM($F$18:F221))</f>
        <v>-</v>
      </c>
      <c r="H221" s="458" t="str">
        <f t="shared" si="20"/>
        <v>-</v>
      </c>
    </row>
    <row r="222" spans="2:8" x14ac:dyDescent="0.2">
      <c r="B222" s="457" t="str">
        <f t="shared" ref="B222:B285" si="21">IF(B221&gt;=$D$5*12,"",B221+1)</f>
        <v/>
      </c>
      <c r="C222" s="458" t="str">
        <f t="shared" si="17"/>
        <v>-</v>
      </c>
      <c r="D222" s="458" t="str">
        <f t="shared" si="18"/>
        <v>-</v>
      </c>
      <c r="E222" s="458" t="str">
        <f>IF(B222="","-",SUM($D$18:D222))</f>
        <v>-</v>
      </c>
      <c r="F222" s="458" t="str">
        <f t="shared" si="19"/>
        <v>-</v>
      </c>
      <c r="G222" s="458" t="str">
        <f>IF(B222="","-",SUM($F$18:F222))</f>
        <v>-</v>
      </c>
      <c r="H222" s="458" t="str">
        <f t="shared" si="20"/>
        <v>-</v>
      </c>
    </row>
    <row r="223" spans="2:8" x14ac:dyDescent="0.2">
      <c r="B223" s="457" t="str">
        <f t="shared" si="21"/>
        <v/>
      </c>
      <c r="C223" s="458" t="str">
        <f t="shared" si="17"/>
        <v>-</v>
      </c>
      <c r="D223" s="458" t="str">
        <f t="shared" si="18"/>
        <v>-</v>
      </c>
      <c r="E223" s="458" t="str">
        <f>IF(B223="","-",SUM($D$18:D223))</f>
        <v>-</v>
      </c>
      <c r="F223" s="458" t="str">
        <f t="shared" si="19"/>
        <v>-</v>
      </c>
      <c r="G223" s="458" t="str">
        <f>IF(B223="","-",SUM($F$18:F223))</f>
        <v>-</v>
      </c>
      <c r="H223" s="458" t="str">
        <f t="shared" si="20"/>
        <v>-</v>
      </c>
    </row>
    <row r="224" spans="2:8" x14ac:dyDescent="0.2">
      <c r="B224" s="457" t="str">
        <f t="shared" si="21"/>
        <v/>
      </c>
      <c r="C224" s="458" t="str">
        <f t="shared" si="17"/>
        <v>-</v>
      </c>
      <c r="D224" s="458" t="str">
        <f t="shared" si="18"/>
        <v>-</v>
      </c>
      <c r="E224" s="458" t="str">
        <f>IF(B224="","-",SUM($D$18:D224))</f>
        <v>-</v>
      </c>
      <c r="F224" s="458" t="str">
        <f t="shared" si="19"/>
        <v>-</v>
      </c>
      <c r="G224" s="458" t="str">
        <f>IF(B224="","-",SUM($F$18:F224))</f>
        <v>-</v>
      </c>
      <c r="H224" s="458" t="str">
        <f t="shared" si="20"/>
        <v>-</v>
      </c>
    </row>
    <row r="225" spans="2:8" x14ac:dyDescent="0.2">
      <c r="B225" s="457" t="str">
        <f t="shared" si="21"/>
        <v/>
      </c>
      <c r="C225" s="458" t="str">
        <f t="shared" si="17"/>
        <v>-</v>
      </c>
      <c r="D225" s="458" t="str">
        <f t="shared" si="18"/>
        <v>-</v>
      </c>
      <c r="E225" s="458" t="str">
        <f>IF(B225="","-",SUM($D$18:D225))</f>
        <v>-</v>
      </c>
      <c r="F225" s="458" t="str">
        <f t="shared" si="19"/>
        <v>-</v>
      </c>
      <c r="G225" s="458" t="str">
        <f>IF(B225="","-",SUM($F$18:F225))</f>
        <v>-</v>
      </c>
      <c r="H225" s="458" t="str">
        <f t="shared" si="20"/>
        <v>-</v>
      </c>
    </row>
    <row r="226" spans="2:8" x14ac:dyDescent="0.2">
      <c r="B226" s="457" t="str">
        <f t="shared" si="21"/>
        <v/>
      </c>
      <c r="C226" s="458" t="str">
        <f t="shared" si="17"/>
        <v>-</v>
      </c>
      <c r="D226" s="458" t="str">
        <f t="shared" si="18"/>
        <v>-</v>
      </c>
      <c r="E226" s="458" t="str">
        <f>IF(B226="","-",SUM($D$18:D226))</f>
        <v>-</v>
      </c>
      <c r="F226" s="458" t="str">
        <f t="shared" si="19"/>
        <v>-</v>
      </c>
      <c r="G226" s="458" t="str">
        <f>IF(B226="","-",SUM($F$18:F226))</f>
        <v>-</v>
      </c>
      <c r="H226" s="458" t="str">
        <f t="shared" si="20"/>
        <v>-</v>
      </c>
    </row>
    <row r="227" spans="2:8" x14ac:dyDescent="0.2">
      <c r="B227" s="457" t="str">
        <f t="shared" si="21"/>
        <v/>
      </c>
      <c r="C227" s="458" t="str">
        <f t="shared" si="17"/>
        <v>-</v>
      </c>
      <c r="D227" s="458" t="str">
        <f t="shared" si="18"/>
        <v>-</v>
      </c>
      <c r="E227" s="458" t="str">
        <f>IF(B227="","-",SUM($D$18:D227))</f>
        <v>-</v>
      </c>
      <c r="F227" s="458" t="str">
        <f t="shared" si="19"/>
        <v>-</v>
      </c>
      <c r="G227" s="458" t="str">
        <f>IF(B227="","-",SUM($F$18:F227))</f>
        <v>-</v>
      </c>
      <c r="H227" s="458" t="str">
        <f t="shared" si="20"/>
        <v>-</v>
      </c>
    </row>
    <row r="228" spans="2:8" x14ac:dyDescent="0.2">
      <c r="B228" s="457" t="str">
        <f t="shared" si="21"/>
        <v/>
      </c>
      <c r="C228" s="458" t="str">
        <f t="shared" si="17"/>
        <v>-</v>
      </c>
      <c r="D228" s="458" t="str">
        <f t="shared" si="18"/>
        <v>-</v>
      </c>
      <c r="E228" s="458" t="str">
        <f>IF(B228="","-",SUM($D$18:D228))</f>
        <v>-</v>
      </c>
      <c r="F228" s="458" t="str">
        <f t="shared" si="19"/>
        <v>-</v>
      </c>
      <c r="G228" s="458" t="str">
        <f>IF(B228="","-",SUM($F$18:F228))</f>
        <v>-</v>
      </c>
      <c r="H228" s="458" t="str">
        <f t="shared" si="20"/>
        <v>-</v>
      </c>
    </row>
    <row r="229" spans="2:8" x14ac:dyDescent="0.2">
      <c r="B229" s="457" t="str">
        <f t="shared" si="21"/>
        <v/>
      </c>
      <c r="C229" s="458" t="str">
        <f t="shared" si="17"/>
        <v>-</v>
      </c>
      <c r="D229" s="458" t="str">
        <f t="shared" si="18"/>
        <v>-</v>
      </c>
      <c r="E229" s="458" t="str">
        <f>IF(B229="","-",SUM($D$18:D229))</f>
        <v>-</v>
      </c>
      <c r="F229" s="458" t="str">
        <f t="shared" si="19"/>
        <v>-</v>
      </c>
      <c r="G229" s="458" t="str">
        <f>IF(B229="","-",SUM($F$18:F229))</f>
        <v>-</v>
      </c>
      <c r="H229" s="458" t="str">
        <f t="shared" si="20"/>
        <v>-</v>
      </c>
    </row>
    <row r="230" spans="2:8" x14ac:dyDescent="0.2">
      <c r="B230" s="457" t="str">
        <f t="shared" si="21"/>
        <v/>
      </c>
      <c r="C230" s="458" t="str">
        <f t="shared" si="17"/>
        <v>-</v>
      </c>
      <c r="D230" s="458" t="str">
        <f t="shared" si="18"/>
        <v>-</v>
      </c>
      <c r="E230" s="458" t="str">
        <f>IF(B230="","-",SUM($D$18:D230))</f>
        <v>-</v>
      </c>
      <c r="F230" s="458" t="str">
        <f t="shared" si="19"/>
        <v>-</v>
      </c>
      <c r="G230" s="458" t="str">
        <f>IF(B230="","-",SUM($F$18:F230))</f>
        <v>-</v>
      </c>
      <c r="H230" s="458" t="str">
        <f t="shared" si="20"/>
        <v>-</v>
      </c>
    </row>
    <row r="231" spans="2:8" x14ac:dyDescent="0.2">
      <c r="B231" s="457" t="str">
        <f t="shared" si="21"/>
        <v/>
      </c>
      <c r="C231" s="458" t="str">
        <f t="shared" si="17"/>
        <v>-</v>
      </c>
      <c r="D231" s="458" t="str">
        <f t="shared" si="18"/>
        <v>-</v>
      </c>
      <c r="E231" s="458" t="str">
        <f>IF(B231="","-",SUM($D$18:D231))</f>
        <v>-</v>
      </c>
      <c r="F231" s="458" t="str">
        <f t="shared" si="19"/>
        <v>-</v>
      </c>
      <c r="G231" s="458" t="str">
        <f>IF(B231="","-",SUM($F$18:F231))</f>
        <v>-</v>
      </c>
      <c r="H231" s="458" t="str">
        <f t="shared" si="20"/>
        <v>-</v>
      </c>
    </row>
    <row r="232" spans="2:8" x14ac:dyDescent="0.2">
      <c r="B232" s="457" t="str">
        <f t="shared" si="21"/>
        <v/>
      </c>
      <c r="C232" s="458" t="str">
        <f t="shared" si="17"/>
        <v>-</v>
      </c>
      <c r="D232" s="458" t="str">
        <f t="shared" si="18"/>
        <v>-</v>
      </c>
      <c r="E232" s="458" t="str">
        <f>IF(B232="","-",SUM($D$18:D232))</f>
        <v>-</v>
      </c>
      <c r="F232" s="458" t="str">
        <f t="shared" si="19"/>
        <v>-</v>
      </c>
      <c r="G232" s="458" t="str">
        <f>IF(B232="","-",SUM($F$18:F232))</f>
        <v>-</v>
      </c>
      <c r="H232" s="458" t="str">
        <f t="shared" si="20"/>
        <v>-</v>
      </c>
    </row>
    <row r="233" spans="2:8" x14ac:dyDescent="0.2">
      <c r="B233" s="457" t="str">
        <f t="shared" si="21"/>
        <v/>
      </c>
      <c r="C233" s="460" t="str">
        <f t="shared" si="17"/>
        <v>-</v>
      </c>
      <c r="D233" s="458" t="str">
        <f t="shared" si="18"/>
        <v>-</v>
      </c>
      <c r="E233" s="458" t="str">
        <f>IF(B233="","-",SUM($D$18:D233))</f>
        <v>-</v>
      </c>
      <c r="F233" s="458" t="str">
        <f t="shared" si="19"/>
        <v>-</v>
      </c>
      <c r="G233" s="458" t="str">
        <f>IF(B233="","-",SUM($F$18:F233))</f>
        <v>-</v>
      </c>
      <c r="H233" s="458" t="str">
        <f t="shared" si="20"/>
        <v>-</v>
      </c>
    </row>
    <row r="234" spans="2:8" x14ac:dyDescent="0.2">
      <c r="B234" s="457" t="str">
        <f t="shared" si="21"/>
        <v/>
      </c>
      <c r="C234" s="458" t="str">
        <f t="shared" si="17"/>
        <v>-</v>
      </c>
      <c r="D234" s="458" t="str">
        <f t="shared" si="18"/>
        <v>-</v>
      </c>
      <c r="E234" s="458" t="str">
        <f>IF(B234="","-",SUM($D$18:D234))</f>
        <v>-</v>
      </c>
      <c r="F234" s="458" t="str">
        <f t="shared" si="19"/>
        <v>-</v>
      </c>
      <c r="G234" s="458" t="str">
        <f>IF(B234="","-",SUM($F$18:F234))</f>
        <v>-</v>
      </c>
      <c r="H234" s="458" t="str">
        <f t="shared" si="20"/>
        <v>-</v>
      </c>
    </row>
    <row r="235" spans="2:8" x14ac:dyDescent="0.2">
      <c r="B235" s="457" t="str">
        <f t="shared" si="21"/>
        <v/>
      </c>
      <c r="C235" s="458" t="str">
        <f t="shared" si="17"/>
        <v>-</v>
      </c>
      <c r="D235" s="458" t="str">
        <f t="shared" si="18"/>
        <v>-</v>
      </c>
      <c r="E235" s="458" t="str">
        <f>IF(B235="","-",SUM($D$18:D235))</f>
        <v>-</v>
      </c>
      <c r="F235" s="458" t="str">
        <f t="shared" si="19"/>
        <v>-</v>
      </c>
      <c r="G235" s="458" t="str">
        <f>IF(B235="","-",SUM($F$18:F235))</f>
        <v>-</v>
      </c>
      <c r="H235" s="458" t="str">
        <f t="shared" si="20"/>
        <v>-</v>
      </c>
    </row>
    <row r="236" spans="2:8" x14ac:dyDescent="0.2">
      <c r="B236" s="457" t="str">
        <f t="shared" si="21"/>
        <v/>
      </c>
      <c r="C236" s="458" t="str">
        <f t="shared" si="17"/>
        <v>-</v>
      </c>
      <c r="D236" s="458" t="str">
        <f t="shared" si="18"/>
        <v>-</v>
      </c>
      <c r="E236" s="458" t="str">
        <f>IF(B236="","-",SUM($D$18:D236))</f>
        <v>-</v>
      </c>
      <c r="F236" s="458" t="str">
        <f t="shared" si="19"/>
        <v>-</v>
      </c>
      <c r="G236" s="458" t="str">
        <f>IF(B236="","-",SUM($F$18:F236))</f>
        <v>-</v>
      </c>
      <c r="H236" s="458" t="str">
        <f t="shared" si="20"/>
        <v>-</v>
      </c>
    </row>
    <row r="237" spans="2:8" x14ac:dyDescent="0.2">
      <c r="B237" s="457" t="str">
        <f t="shared" si="21"/>
        <v/>
      </c>
      <c r="C237" s="458" t="str">
        <f t="shared" si="17"/>
        <v>-</v>
      </c>
      <c r="D237" s="458" t="str">
        <f t="shared" si="18"/>
        <v>-</v>
      </c>
      <c r="E237" s="458" t="str">
        <f>IF(B237="","-",SUM($D$18:D237))</f>
        <v>-</v>
      </c>
      <c r="F237" s="458" t="str">
        <f t="shared" si="19"/>
        <v>-</v>
      </c>
      <c r="G237" s="458" t="str">
        <f>IF(B237="","-",SUM($F$18:F237))</f>
        <v>-</v>
      </c>
      <c r="H237" s="458" t="str">
        <f t="shared" si="20"/>
        <v>-</v>
      </c>
    </row>
    <row r="238" spans="2:8" x14ac:dyDescent="0.2">
      <c r="B238" s="457" t="str">
        <f t="shared" si="21"/>
        <v/>
      </c>
      <c r="C238" s="458" t="str">
        <f t="shared" si="17"/>
        <v>-</v>
      </c>
      <c r="D238" s="458" t="str">
        <f t="shared" si="18"/>
        <v>-</v>
      </c>
      <c r="E238" s="458" t="str">
        <f>IF(B238="","-",SUM($D$18:D238))</f>
        <v>-</v>
      </c>
      <c r="F238" s="458" t="str">
        <f t="shared" si="19"/>
        <v>-</v>
      </c>
      <c r="G238" s="458" t="str">
        <f>IF(B238="","-",SUM($F$18:F238))</f>
        <v>-</v>
      </c>
      <c r="H238" s="458" t="str">
        <f t="shared" si="20"/>
        <v>-</v>
      </c>
    </row>
    <row r="239" spans="2:8" x14ac:dyDescent="0.2">
      <c r="B239" s="457" t="str">
        <f t="shared" si="21"/>
        <v/>
      </c>
      <c r="C239" s="458" t="str">
        <f t="shared" si="17"/>
        <v>-</v>
      </c>
      <c r="D239" s="458" t="str">
        <f t="shared" si="18"/>
        <v>-</v>
      </c>
      <c r="E239" s="458" t="str">
        <f>IF(B239="","-",SUM($D$18:D239))</f>
        <v>-</v>
      </c>
      <c r="F239" s="458" t="str">
        <f t="shared" si="19"/>
        <v>-</v>
      </c>
      <c r="G239" s="458" t="str">
        <f>IF(B239="","-",SUM($F$18:F239))</f>
        <v>-</v>
      </c>
      <c r="H239" s="458" t="str">
        <f t="shared" si="20"/>
        <v>-</v>
      </c>
    </row>
    <row r="240" spans="2:8" x14ac:dyDescent="0.2">
      <c r="B240" s="457" t="str">
        <f t="shared" si="21"/>
        <v/>
      </c>
      <c r="C240" s="458" t="str">
        <f t="shared" si="17"/>
        <v>-</v>
      </c>
      <c r="D240" s="458" t="str">
        <f t="shared" si="18"/>
        <v>-</v>
      </c>
      <c r="E240" s="458" t="str">
        <f>IF(B240="","-",SUM($D$18:D240))</f>
        <v>-</v>
      </c>
      <c r="F240" s="458" t="str">
        <f t="shared" si="19"/>
        <v>-</v>
      </c>
      <c r="G240" s="458" t="str">
        <f>IF(B240="","-",SUM($F$18:F240))</f>
        <v>-</v>
      </c>
      <c r="H240" s="458" t="str">
        <f t="shared" si="20"/>
        <v>-</v>
      </c>
    </row>
    <row r="241" spans="2:8" x14ac:dyDescent="0.2">
      <c r="B241" s="457" t="str">
        <f t="shared" si="21"/>
        <v/>
      </c>
      <c r="C241" s="458" t="str">
        <f t="shared" si="17"/>
        <v>-</v>
      </c>
      <c r="D241" s="458" t="str">
        <f t="shared" si="18"/>
        <v>-</v>
      </c>
      <c r="E241" s="458" t="str">
        <f>IF(B241="","-",SUM($D$18:D241))</f>
        <v>-</v>
      </c>
      <c r="F241" s="458" t="str">
        <f t="shared" si="19"/>
        <v>-</v>
      </c>
      <c r="G241" s="458" t="str">
        <f>IF(B241="","-",SUM($F$18:F241))</f>
        <v>-</v>
      </c>
      <c r="H241" s="458" t="str">
        <f t="shared" si="20"/>
        <v>-</v>
      </c>
    </row>
    <row r="242" spans="2:8" x14ac:dyDescent="0.2">
      <c r="B242" s="457" t="str">
        <f t="shared" si="21"/>
        <v/>
      </c>
      <c r="C242" s="458" t="str">
        <f t="shared" si="17"/>
        <v>-</v>
      </c>
      <c r="D242" s="458" t="str">
        <f t="shared" si="18"/>
        <v>-</v>
      </c>
      <c r="E242" s="458" t="str">
        <f>IF(B242="","-",SUM($D$18:D242))</f>
        <v>-</v>
      </c>
      <c r="F242" s="458" t="str">
        <f t="shared" si="19"/>
        <v>-</v>
      </c>
      <c r="G242" s="458" t="str">
        <f>IF(B242="","-",SUM($F$18:F242))</f>
        <v>-</v>
      </c>
      <c r="H242" s="458" t="str">
        <f t="shared" si="20"/>
        <v>-</v>
      </c>
    </row>
    <row r="243" spans="2:8" x14ac:dyDescent="0.2">
      <c r="B243" s="457" t="str">
        <f t="shared" si="21"/>
        <v/>
      </c>
      <c r="C243" s="458" t="str">
        <f t="shared" si="17"/>
        <v>-</v>
      </c>
      <c r="D243" s="458" t="str">
        <f t="shared" si="18"/>
        <v>-</v>
      </c>
      <c r="E243" s="458" t="str">
        <f>IF(B243="","-",SUM($D$18:D243))</f>
        <v>-</v>
      </c>
      <c r="F243" s="458" t="str">
        <f t="shared" si="19"/>
        <v>-</v>
      </c>
      <c r="G243" s="458" t="str">
        <f>IF(B243="","-",SUM($F$18:F243))</f>
        <v>-</v>
      </c>
      <c r="H243" s="458" t="str">
        <f t="shared" si="20"/>
        <v>-</v>
      </c>
    </row>
    <row r="244" spans="2:8" x14ac:dyDescent="0.2">
      <c r="B244" s="457" t="str">
        <f t="shared" si="21"/>
        <v/>
      </c>
      <c r="C244" s="458" t="str">
        <f t="shared" si="17"/>
        <v>-</v>
      </c>
      <c r="D244" s="458" t="str">
        <f t="shared" si="18"/>
        <v>-</v>
      </c>
      <c r="E244" s="458" t="str">
        <f>IF(B244="","-",SUM($D$18:D244))</f>
        <v>-</v>
      </c>
      <c r="F244" s="458" t="str">
        <f t="shared" si="19"/>
        <v>-</v>
      </c>
      <c r="G244" s="458" t="str">
        <f>IF(B244="","-",SUM($F$18:F244))</f>
        <v>-</v>
      </c>
      <c r="H244" s="458" t="str">
        <f t="shared" si="20"/>
        <v>-</v>
      </c>
    </row>
    <row r="245" spans="2:8" x14ac:dyDescent="0.2">
      <c r="B245" s="457" t="str">
        <f t="shared" si="21"/>
        <v/>
      </c>
      <c r="C245" s="460" t="str">
        <f t="shared" si="17"/>
        <v>-</v>
      </c>
      <c r="D245" s="458" t="str">
        <f t="shared" si="18"/>
        <v>-</v>
      </c>
      <c r="E245" s="458" t="str">
        <f>IF(B245="","-",SUM($D$18:D245))</f>
        <v>-</v>
      </c>
      <c r="F245" s="458" t="str">
        <f t="shared" si="19"/>
        <v>-</v>
      </c>
      <c r="G245" s="458" t="str">
        <f>IF(B245="","-",SUM($F$18:F245))</f>
        <v>-</v>
      </c>
      <c r="H245" s="458" t="str">
        <f t="shared" si="20"/>
        <v>-</v>
      </c>
    </row>
    <row r="246" spans="2:8" x14ac:dyDescent="0.2">
      <c r="B246" s="457" t="str">
        <f t="shared" si="21"/>
        <v/>
      </c>
      <c r="C246" s="458" t="str">
        <f t="shared" si="17"/>
        <v>-</v>
      </c>
      <c r="D246" s="458" t="str">
        <f t="shared" si="18"/>
        <v>-</v>
      </c>
      <c r="E246" s="458" t="str">
        <f>IF(B246="","-",SUM($D$18:D246))</f>
        <v>-</v>
      </c>
      <c r="F246" s="458" t="str">
        <f t="shared" si="19"/>
        <v>-</v>
      </c>
      <c r="G246" s="458" t="str">
        <f>IF(B246="","-",SUM($F$18:F246))</f>
        <v>-</v>
      </c>
      <c r="H246" s="458" t="str">
        <f t="shared" si="20"/>
        <v>-</v>
      </c>
    </row>
    <row r="247" spans="2:8" x14ac:dyDescent="0.2">
      <c r="B247" s="457" t="str">
        <f t="shared" si="21"/>
        <v/>
      </c>
      <c r="C247" s="458" t="str">
        <f t="shared" si="17"/>
        <v>-</v>
      </c>
      <c r="D247" s="458" t="str">
        <f t="shared" si="18"/>
        <v>-</v>
      </c>
      <c r="E247" s="458" t="str">
        <f>IF(B247="","-",SUM($D$18:D247))</f>
        <v>-</v>
      </c>
      <c r="F247" s="458" t="str">
        <f t="shared" si="19"/>
        <v>-</v>
      </c>
      <c r="G247" s="458" t="str">
        <f>IF(B247="","-",SUM($F$18:F247))</f>
        <v>-</v>
      </c>
      <c r="H247" s="458" t="str">
        <f t="shared" si="20"/>
        <v>-</v>
      </c>
    </row>
    <row r="248" spans="2:8" x14ac:dyDescent="0.2">
      <c r="B248" s="457" t="str">
        <f t="shared" si="21"/>
        <v/>
      </c>
      <c r="C248" s="458" t="str">
        <f t="shared" si="17"/>
        <v>-</v>
      </c>
      <c r="D248" s="458" t="str">
        <f t="shared" si="18"/>
        <v>-</v>
      </c>
      <c r="E248" s="458" t="str">
        <f>IF(B248="","-",SUM($D$18:D248))</f>
        <v>-</v>
      </c>
      <c r="F248" s="458" t="str">
        <f t="shared" si="19"/>
        <v>-</v>
      </c>
      <c r="G248" s="458" t="str">
        <f>IF(B248="","-",SUM($F$18:F248))</f>
        <v>-</v>
      </c>
      <c r="H248" s="458" t="str">
        <f t="shared" si="20"/>
        <v>-</v>
      </c>
    </row>
    <row r="249" spans="2:8" x14ac:dyDescent="0.2">
      <c r="B249" s="457" t="str">
        <f t="shared" si="21"/>
        <v/>
      </c>
      <c r="C249" s="458" t="str">
        <f t="shared" si="17"/>
        <v>-</v>
      </c>
      <c r="D249" s="458" t="str">
        <f t="shared" si="18"/>
        <v>-</v>
      </c>
      <c r="E249" s="458" t="str">
        <f>IF(B249="","-",SUM($D$18:D249))</f>
        <v>-</v>
      </c>
      <c r="F249" s="458" t="str">
        <f t="shared" si="19"/>
        <v>-</v>
      </c>
      <c r="G249" s="458" t="str">
        <f>IF(B249="","-",SUM($F$18:F249))</f>
        <v>-</v>
      </c>
      <c r="H249" s="458" t="str">
        <f t="shared" si="20"/>
        <v>-</v>
      </c>
    </row>
    <row r="250" spans="2:8" x14ac:dyDescent="0.2">
      <c r="B250" s="457" t="str">
        <f t="shared" si="21"/>
        <v/>
      </c>
      <c r="C250" s="458" t="str">
        <f t="shared" si="17"/>
        <v>-</v>
      </c>
      <c r="D250" s="458" t="str">
        <f t="shared" si="18"/>
        <v>-</v>
      </c>
      <c r="E250" s="458" t="str">
        <f>IF(B250="","-",SUM($D$18:D250))</f>
        <v>-</v>
      </c>
      <c r="F250" s="458" t="str">
        <f t="shared" si="19"/>
        <v>-</v>
      </c>
      <c r="G250" s="458" t="str">
        <f>IF(B250="","-",SUM($F$18:F250))</f>
        <v>-</v>
      </c>
      <c r="H250" s="458" t="str">
        <f t="shared" si="20"/>
        <v>-</v>
      </c>
    </row>
    <row r="251" spans="2:8" x14ac:dyDescent="0.2">
      <c r="B251" s="457" t="str">
        <f t="shared" si="21"/>
        <v/>
      </c>
      <c r="C251" s="458" t="str">
        <f t="shared" si="17"/>
        <v>-</v>
      </c>
      <c r="D251" s="458" t="str">
        <f t="shared" si="18"/>
        <v>-</v>
      </c>
      <c r="E251" s="458" t="str">
        <f>IF(B251="","-",SUM($D$18:D251))</f>
        <v>-</v>
      </c>
      <c r="F251" s="458" t="str">
        <f t="shared" si="19"/>
        <v>-</v>
      </c>
      <c r="G251" s="458" t="str">
        <f>IF(B251="","-",SUM($F$18:F251))</f>
        <v>-</v>
      </c>
      <c r="H251" s="458" t="str">
        <f t="shared" si="20"/>
        <v>-</v>
      </c>
    </row>
    <row r="252" spans="2:8" x14ac:dyDescent="0.2">
      <c r="B252" s="457" t="str">
        <f t="shared" si="21"/>
        <v/>
      </c>
      <c r="C252" s="458" t="str">
        <f t="shared" si="17"/>
        <v>-</v>
      </c>
      <c r="D252" s="458" t="str">
        <f t="shared" si="18"/>
        <v>-</v>
      </c>
      <c r="E252" s="458" t="str">
        <f>IF(B252="","-",SUM($D$18:D252))</f>
        <v>-</v>
      </c>
      <c r="F252" s="458" t="str">
        <f t="shared" si="19"/>
        <v>-</v>
      </c>
      <c r="G252" s="458" t="str">
        <f>IF(B252="","-",SUM($F$18:F252))</f>
        <v>-</v>
      </c>
      <c r="H252" s="458" t="str">
        <f t="shared" si="20"/>
        <v>-</v>
      </c>
    </row>
    <row r="253" spans="2:8" x14ac:dyDescent="0.2">
      <c r="B253" s="457" t="str">
        <f t="shared" si="21"/>
        <v/>
      </c>
      <c r="C253" s="458" t="str">
        <f t="shared" si="17"/>
        <v>-</v>
      </c>
      <c r="D253" s="458" t="str">
        <f t="shared" si="18"/>
        <v>-</v>
      </c>
      <c r="E253" s="458" t="str">
        <f>IF(B253="","-",SUM($D$18:D253))</f>
        <v>-</v>
      </c>
      <c r="F253" s="458" t="str">
        <f t="shared" si="19"/>
        <v>-</v>
      </c>
      <c r="G253" s="458" t="str">
        <f>IF(B253="","-",SUM($F$18:F253))</f>
        <v>-</v>
      </c>
      <c r="H253" s="458" t="str">
        <f t="shared" si="20"/>
        <v>-</v>
      </c>
    </row>
    <row r="254" spans="2:8" x14ac:dyDescent="0.2">
      <c r="B254" s="457" t="str">
        <f t="shared" si="21"/>
        <v/>
      </c>
      <c r="C254" s="458" t="str">
        <f t="shared" si="17"/>
        <v>-</v>
      </c>
      <c r="D254" s="458" t="str">
        <f t="shared" si="18"/>
        <v>-</v>
      </c>
      <c r="E254" s="458" t="str">
        <f>IF(B254="","-",SUM($D$18:D254))</f>
        <v>-</v>
      </c>
      <c r="F254" s="458" t="str">
        <f t="shared" si="19"/>
        <v>-</v>
      </c>
      <c r="G254" s="458" t="str">
        <f>IF(B254="","-",SUM($F$18:F254))</f>
        <v>-</v>
      </c>
      <c r="H254" s="458" t="str">
        <f t="shared" si="20"/>
        <v>-</v>
      </c>
    </row>
    <row r="255" spans="2:8" x14ac:dyDescent="0.2">
      <c r="B255" s="457" t="str">
        <f t="shared" si="21"/>
        <v/>
      </c>
      <c r="C255" s="458" t="str">
        <f t="shared" si="17"/>
        <v>-</v>
      </c>
      <c r="D255" s="458" t="str">
        <f t="shared" si="18"/>
        <v>-</v>
      </c>
      <c r="E255" s="458" t="str">
        <f>IF(B255="","-",SUM($D$18:D255))</f>
        <v>-</v>
      </c>
      <c r="F255" s="458" t="str">
        <f t="shared" si="19"/>
        <v>-</v>
      </c>
      <c r="G255" s="458" t="str">
        <f>IF(B255="","-",SUM($F$18:F255))</f>
        <v>-</v>
      </c>
      <c r="H255" s="458" t="str">
        <f t="shared" si="20"/>
        <v>-</v>
      </c>
    </row>
    <row r="256" spans="2:8" x14ac:dyDescent="0.2">
      <c r="B256" s="457" t="str">
        <f t="shared" si="21"/>
        <v/>
      </c>
      <c r="C256" s="458" t="str">
        <f t="shared" si="17"/>
        <v>-</v>
      </c>
      <c r="D256" s="458" t="str">
        <f t="shared" si="18"/>
        <v>-</v>
      </c>
      <c r="E256" s="458" t="str">
        <f>IF(B256="","-",SUM($D$18:D256))</f>
        <v>-</v>
      </c>
      <c r="F256" s="458" t="str">
        <f t="shared" si="19"/>
        <v>-</v>
      </c>
      <c r="G256" s="458" t="str">
        <f>IF(B256="","-",SUM($F$18:F256))</f>
        <v>-</v>
      </c>
      <c r="H256" s="458" t="str">
        <f t="shared" si="20"/>
        <v>-</v>
      </c>
    </row>
    <row r="257" spans="2:8" x14ac:dyDescent="0.2">
      <c r="B257" s="457" t="str">
        <f t="shared" si="21"/>
        <v/>
      </c>
      <c r="C257" s="460" t="str">
        <f t="shared" si="17"/>
        <v>-</v>
      </c>
      <c r="D257" s="458" t="str">
        <f t="shared" si="18"/>
        <v>-</v>
      </c>
      <c r="E257" s="458" t="str">
        <f>IF(B257="","-",SUM($D$18:D257))</f>
        <v>-</v>
      </c>
      <c r="F257" s="458" t="str">
        <f t="shared" si="19"/>
        <v>-</v>
      </c>
      <c r="G257" s="458" t="str">
        <f>IF(B257="","-",SUM($F$18:F257))</f>
        <v>-</v>
      </c>
      <c r="H257" s="458" t="str">
        <f t="shared" si="20"/>
        <v>-</v>
      </c>
    </row>
    <row r="258" spans="2:8" x14ac:dyDescent="0.2">
      <c r="B258" s="457" t="str">
        <f t="shared" si="21"/>
        <v/>
      </c>
      <c r="C258" s="458" t="str">
        <f t="shared" ref="C258:C321" si="22">IF(B258="","-",$D$7)</f>
        <v>-</v>
      </c>
      <c r="D258" s="458" t="str">
        <f t="shared" si="18"/>
        <v>-</v>
      </c>
      <c r="E258" s="458" t="str">
        <f>IF(B258="","-",SUM($D$18:D258))</f>
        <v>-</v>
      </c>
      <c r="F258" s="458" t="str">
        <f t="shared" si="19"/>
        <v>-</v>
      </c>
      <c r="G258" s="458" t="str">
        <f>IF(B258="","-",SUM($F$18:F258))</f>
        <v>-</v>
      </c>
      <c r="H258" s="458" t="str">
        <f t="shared" si="20"/>
        <v>-</v>
      </c>
    </row>
    <row r="259" spans="2:8" x14ac:dyDescent="0.2">
      <c r="B259" s="457" t="str">
        <f t="shared" si="21"/>
        <v/>
      </c>
      <c r="C259" s="458" t="str">
        <f t="shared" si="22"/>
        <v>-</v>
      </c>
      <c r="D259" s="458" t="str">
        <f t="shared" si="18"/>
        <v>-</v>
      </c>
      <c r="E259" s="458" t="str">
        <f>IF(B259="","-",SUM($D$18:D259))</f>
        <v>-</v>
      </c>
      <c r="F259" s="458" t="str">
        <f t="shared" si="19"/>
        <v>-</v>
      </c>
      <c r="G259" s="458" t="str">
        <f>IF(B259="","-",SUM($F$18:F259))</f>
        <v>-</v>
      </c>
      <c r="H259" s="458" t="str">
        <f t="shared" si="20"/>
        <v>-</v>
      </c>
    </row>
    <row r="260" spans="2:8" x14ac:dyDescent="0.2">
      <c r="B260" s="457" t="str">
        <f t="shared" si="21"/>
        <v/>
      </c>
      <c r="C260" s="458" t="str">
        <f t="shared" si="22"/>
        <v>-</v>
      </c>
      <c r="D260" s="458" t="str">
        <f t="shared" si="18"/>
        <v>-</v>
      </c>
      <c r="E260" s="458" t="str">
        <f>IF(B260="","-",SUM($D$18:D260))</f>
        <v>-</v>
      </c>
      <c r="F260" s="458" t="str">
        <f t="shared" si="19"/>
        <v>-</v>
      </c>
      <c r="G260" s="458" t="str">
        <f>IF(B260="","-",SUM($F$18:F260))</f>
        <v>-</v>
      </c>
      <c r="H260" s="458" t="str">
        <f t="shared" si="20"/>
        <v>-</v>
      </c>
    </row>
    <row r="261" spans="2:8" x14ac:dyDescent="0.2">
      <c r="B261" s="457" t="str">
        <f t="shared" si="21"/>
        <v/>
      </c>
      <c r="C261" s="458" t="str">
        <f t="shared" si="22"/>
        <v>-</v>
      </c>
      <c r="D261" s="458" t="str">
        <f t="shared" si="18"/>
        <v>-</v>
      </c>
      <c r="E261" s="458" t="str">
        <f>IF(B261="","-",SUM($D$18:D261))</f>
        <v>-</v>
      </c>
      <c r="F261" s="458" t="str">
        <f t="shared" si="19"/>
        <v>-</v>
      </c>
      <c r="G261" s="458" t="str">
        <f>IF(B261="","-",SUM($F$18:F261))</f>
        <v>-</v>
      </c>
      <c r="H261" s="458" t="str">
        <f t="shared" si="20"/>
        <v>-</v>
      </c>
    </row>
    <row r="262" spans="2:8" x14ac:dyDescent="0.2">
      <c r="B262" s="457" t="str">
        <f t="shared" si="21"/>
        <v/>
      </c>
      <c r="C262" s="458" t="str">
        <f t="shared" si="22"/>
        <v>-</v>
      </c>
      <c r="D262" s="458" t="str">
        <f t="shared" si="18"/>
        <v>-</v>
      </c>
      <c r="E262" s="458" t="str">
        <f>IF(B262="","-",SUM($D$18:D262))</f>
        <v>-</v>
      </c>
      <c r="F262" s="458" t="str">
        <f t="shared" si="19"/>
        <v>-</v>
      </c>
      <c r="G262" s="458" t="str">
        <f>IF(B262="","-",SUM($F$18:F262))</f>
        <v>-</v>
      </c>
      <c r="H262" s="458" t="str">
        <f t="shared" si="20"/>
        <v>-</v>
      </c>
    </row>
    <row r="263" spans="2:8" x14ac:dyDescent="0.2">
      <c r="B263" s="457" t="str">
        <f t="shared" si="21"/>
        <v/>
      </c>
      <c r="C263" s="458" t="str">
        <f t="shared" si="22"/>
        <v>-</v>
      </c>
      <c r="D263" s="458" t="str">
        <f t="shared" si="18"/>
        <v>-</v>
      </c>
      <c r="E263" s="458" t="str">
        <f>IF(B263="","-",SUM($D$18:D263))</f>
        <v>-</v>
      </c>
      <c r="F263" s="458" t="str">
        <f t="shared" si="19"/>
        <v>-</v>
      </c>
      <c r="G263" s="458" t="str">
        <f>IF(B263="","-",SUM($F$18:F263))</f>
        <v>-</v>
      </c>
      <c r="H263" s="458" t="str">
        <f t="shared" si="20"/>
        <v>-</v>
      </c>
    </row>
    <row r="264" spans="2:8" x14ac:dyDescent="0.2">
      <c r="B264" s="457" t="str">
        <f t="shared" si="21"/>
        <v/>
      </c>
      <c r="C264" s="458" t="str">
        <f t="shared" si="22"/>
        <v>-</v>
      </c>
      <c r="D264" s="458" t="str">
        <f t="shared" si="18"/>
        <v>-</v>
      </c>
      <c r="E264" s="458" t="str">
        <f>IF(B264="","-",SUM($D$18:D264))</f>
        <v>-</v>
      </c>
      <c r="F264" s="458" t="str">
        <f t="shared" si="19"/>
        <v>-</v>
      </c>
      <c r="G264" s="458" t="str">
        <f>IF(B264="","-",SUM($F$18:F264))</f>
        <v>-</v>
      </c>
      <c r="H264" s="458" t="str">
        <f t="shared" si="20"/>
        <v>-</v>
      </c>
    </row>
    <row r="265" spans="2:8" x14ac:dyDescent="0.2">
      <c r="B265" s="457" t="str">
        <f t="shared" si="21"/>
        <v/>
      </c>
      <c r="C265" s="458" t="str">
        <f t="shared" si="22"/>
        <v>-</v>
      </c>
      <c r="D265" s="458" t="str">
        <f t="shared" si="18"/>
        <v>-</v>
      </c>
      <c r="E265" s="458" t="str">
        <f>IF(B265="","-",SUM($D$18:D265))</f>
        <v>-</v>
      </c>
      <c r="F265" s="458" t="str">
        <f t="shared" si="19"/>
        <v>-</v>
      </c>
      <c r="G265" s="458" t="str">
        <f>IF(B265="","-",SUM($F$18:F265))</f>
        <v>-</v>
      </c>
      <c r="H265" s="458" t="str">
        <f t="shared" si="20"/>
        <v>-</v>
      </c>
    </row>
    <row r="266" spans="2:8" x14ac:dyDescent="0.2">
      <c r="B266" s="457" t="str">
        <f t="shared" si="21"/>
        <v/>
      </c>
      <c r="C266" s="458" t="str">
        <f t="shared" si="22"/>
        <v>-</v>
      </c>
      <c r="D266" s="458" t="str">
        <f t="shared" si="18"/>
        <v>-</v>
      </c>
      <c r="E266" s="458" t="str">
        <f>IF(B266="","-",SUM($D$18:D266))</f>
        <v>-</v>
      </c>
      <c r="F266" s="458" t="str">
        <f t="shared" si="19"/>
        <v>-</v>
      </c>
      <c r="G266" s="458" t="str">
        <f>IF(B266="","-",SUM($F$18:F266))</f>
        <v>-</v>
      </c>
      <c r="H266" s="458" t="str">
        <f t="shared" si="20"/>
        <v>-</v>
      </c>
    </row>
    <row r="267" spans="2:8" x14ac:dyDescent="0.2">
      <c r="B267" s="457" t="str">
        <f t="shared" si="21"/>
        <v/>
      </c>
      <c r="C267" s="458" t="str">
        <f t="shared" si="22"/>
        <v>-</v>
      </c>
      <c r="D267" s="458" t="str">
        <f t="shared" si="18"/>
        <v>-</v>
      </c>
      <c r="E267" s="458" t="str">
        <f>IF(B267="","-",SUM($D$18:D267))</f>
        <v>-</v>
      </c>
      <c r="F267" s="458" t="str">
        <f t="shared" si="19"/>
        <v>-</v>
      </c>
      <c r="G267" s="458" t="str">
        <f>IF(B267="","-",SUM($F$18:F267))</f>
        <v>-</v>
      </c>
      <c r="H267" s="458" t="str">
        <f t="shared" si="20"/>
        <v>-</v>
      </c>
    </row>
    <row r="268" spans="2:8" x14ac:dyDescent="0.2">
      <c r="B268" s="457" t="str">
        <f t="shared" si="21"/>
        <v/>
      </c>
      <c r="C268" s="458" t="str">
        <f t="shared" si="22"/>
        <v>-</v>
      </c>
      <c r="D268" s="458" t="str">
        <f t="shared" si="18"/>
        <v>-</v>
      </c>
      <c r="E268" s="458" t="str">
        <f>IF(B268="","-",SUM($D$18:D268))</f>
        <v>-</v>
      </c>
      <c r="F268" s="458" t="str">
        <f t="shared" si="19"/>
        <v>-</v>
      </c>
      <c r="G268" s="458" t="str">
        <f>IF(B268="","-",SUM($F$18:F268))</f>
        <v>-</v>
      </c>
      <c r="H268" s="458" t="str">
        <f t="shared" si="20"/>
        <v>-</v>
      </c>
    </row>
    <row r="269" spans="2:8" x14ac:dyDescent="0.2">
      <c r="B269" s="457" t="str">
        <f t="shared" si="21"/>
        <v/>
      </c>
      <c r="C269" s="458" t="str">
        <f t="shared" si="22"/>
        <v>-</v>
      </c>
      <c r="D269" s="458" t="str">
        <f t="shared" si="18"/>
        <v>-</v>
      </c>
      <c r="E269" s="458" t="str">
        <f>IF(B269="","-",SUM($D$18:D269))</f>
        <v>-</v>
      </c>
      <c r="F269" s="458" t="str">
        <f t="shared" si="19"/>
        <v>-</v>
      </c>
      <c r="G269" s="458" t="str">
        <f>IF(B269="","-",SUM($F$18:F269))</f>
        <v>-</v>
      </c>
      <c r="H269" s="458" t="str">
        <f t="shared" si="20"/>
        <v>-</v>
      </c>
    </row>
    <row r="270" spans="2:8" x14ac:dyDescent="0.2">
      <c r="B270" s="457" t="str">
        <f t="shared" si="21"/>
        <v/>
      </c>
      <c r="C270" s="458" t="str">
        <f t="shared" si="22"/>
        <v>-</v>
      </c>
      <c r="D270" s="458" t="str">
        <f t="shared" si="18"/>
        <v>-</v>
      </c>
      <c r="E270" s="458" t="str">
        <f>IF(B270="","-",SUM($D$18:D270))</f>
        <v>-</v>
      </c>
      <c r="F270" s="458" t="str">
        <f t="shared" si="19"/>
        <v>-</v>
      </c>
      <c r="G270" s="458" t="str">
        <f>IF(B270="","-",SUM($F$18:F270))</f>
        <v>-</v>
      </c>
      <c r="H270" s="458" t="str">
        <f t="shared" si="20"/>
        <v>-</v>
      </c>
    </row>
    <row r="271" spans="2:8" x14ac:dyDescent="0.2">
      <c r="B271" s="457" t="str">
        <f t="shared" si="21"/>
        <v/>
      </c>
      <c r="C271" s="458" t="str">
        <f t="shared" si="22"/>
        <v>-</v>
      </c>
      <c r="D271" s="458" t="str">
        <f t="shared" si="18"/>
        <v>-</v>
      </c>
      <c r="E271" s="458" t="str">
        <f>IF(B271="","-",SUM($D$18:D271))</f>
        <v>-</v>
      </c>
      <c r="F271" s="458" t="str">
        <f t="shared" si="19"/>
        <v>-</v>
      </c>
      <c r="G271" s="458" t="str">
        <f>IF(B271="","-",SUM($F$18:F271))</f>
        <v>-</v>
      </c>
      <c r="H271" s="458" t="str">
        <f t="shared" si="20"/>
        <v>-</v>
      </c>
    </row>
    <row r="272" spans="2:8" x14ac:dyDescent="0.2">
      <c r="B272" s="457" t="str">
        <f t="shared" si="21"/>
        <v/>
      </c>
      <c r="C272" s="458" t="str">
        <f t="shared" si="22"/>
        <v>-</v>
      </c>
      <c r="D272" s="458" t="str">
        <f t="shared" si="18"/>
        <v>-</v>
      </c>
      <c r="E272" s="458" t="str">
        <f>IF(B272="","-",SUM($D$18:D272))</f>
        <v>-</v>
      </c>
      <c r="F272" s="458" t="str">
        <f t="shared" si="19"/>
        <v>-</v>
      </c>
      <c r="G272" s="458" t="str">
        <f>IF(B272="","-",SUM($F$18:F272))</f>
        <v>-</v>
      </c>
      <c r="H272" s="458" t="str">
        <f t="shared" si="20"/>
        <v>-</v>
      </c>
    </row>
    <row r="273" spans="2:8" x14ac:dyDescent="0.2">
      <c r="B273" s="457" t="str">
        <f t="shared" si="21"/>
        <v/>
      </c>
      <c r="C273" s="458" t="str">
        <f t="shared" si="22"/>
        <v>-</v>
      </c>
      <c r="D273" s="458" t="str">
        <f t="shared" si="18"/>
        <v>-</v>
      </c>
      <c r="E273" s="458" t="str">
        <f>IF(B273="","-",SUM($D$18:D273))</f>
        <v>-</v>
      </c>
      <c r="F273" s="458" t="str">
        <f t="shared" si="19"/>
        <v>-</v>
      </c>
      <c r="G273" s="458" t="str">
        <f>IF(B273="","-",SUM($F$18:F273))</f>
        <v>-</v>
      </c>
      <c r="H273" s="458" t="str">
        <f t="shared" si="20"/>
        <v>-</v>
      </c>
    </row>
    <row r="274" spans="2:8" x14ac:dyDescent="0.2">
      <c r="B274" s="457" t="str">
        <f t="shared" si="21"/>
        <v/>
      </c>
      <c r="C274" s="458" t="str">
        <f t="shared" si="22"/>
        <v>-</v>
      </c>
      <c r="D274" s="458" t="str">
        <f t="shared" ref="D274:D337" si="23">IF(B274="","-",$D$4/12*H273)</f>
        <v>-</v>
      </c>
      <c r="E274" s="458" t="str">
        <f>IF(B274="","-",SUM($D$18:D274))</f>
        <v>-</v>
      </c>
      <c r="F274" s="458" t="str">
        <f t="shared" ref="F274:F337" si="24">IF(B274="","-",C274-D274)</f>
        <v>-</v>
      </c>
      <c r="G274" s="458" t="str">
        <f>IF(B274="","-",SUM($F$18:F274))</f>
        <v>-</v>
      </c>
      <c r="H274" s="458" t="str">
        <f t="shared" ref="H274:H337" si="25">IF(B274="","-",H273-F274)</f>
        <v>-</v>
      </c>
    </row>
    <row r="275" spans="2:8" x14ac:dyDescent="0.2">
      <c r="B275" s="457" t="str">
        <f t="shared" si="21"/>
        <v/>
      </c>
      <c r="C275" s="458" t="str">
        <f t="shared" si="22"/>
        <v>-</v>
      </c>
      <c r="D275" s="458" t="str">
        <f t="shared" si="23"/>
        <v>-</v>
      </c>
      <c r="E275" s="458" t="str">
        <f>IF(B275="","-",SUM($D$18:D275))</f>
        <v>-</v>
      </c>
      <c r="F275" s="458" t="str">
        <f t="shared" si="24"/>
        <v>-</v>
      </c>
      <c r="G275" s="458" t="str">
        <f>IF(B275="","-",SUM($F$18:F275))</f>
        <v>-</v>
      </c>
      <c r="H275" s="458" t="str">
        <f t="shared" si="25"/>
        <v>-</v>
      </c>
    </row>
    <row r="276" spans="2:8" x14ac:dyDescent="0.2">
      <c r="B276" s="457" t="str">
        <f t="shared" si="21"/>
        <v/>
      </c>
      <c r="C276" s="458" t="str">
        <f t="shared" si="22"/>
        <v>-</v>
      </c>
      <c r="D276" s="458" t="str">
        <f t="shared" si="23"/>
        <v>-</v>
      </c>
      <c r="E276" s="458" t="str">
        <f>IF(B276="","-",SUM($D$18:D276))</f>
        <v>-</v>
      </c>
      <c r="F276" s="458" t="str">
        <f t="shared" si="24"/>
        <v>-</v>
      </c>
      <c r="G276" s="458" t="str">
        <f>IF(B276="","-",SUM($F$18:F276))</f>
        <v>-</v>
      </c>
      <c r="H276" s="458" t="str">
        <f t="shared" si="25"/>
        <v>-</v>
      </c>
    </row>
    <row r="277" spans="2:8" x14ac:dyDescent="0.2">
      <c r="B277" s="457" t="str">
        <f t="shared" si="21"/>
        <v/>
      </c>
      <c r="C277" s="458" t="str">
        <f t="shared" si="22"/>
        <v>-</v>
      </c>
      <c r="D277" s="458" t="str">
        <f t="shared" si="23"/>
        <v>-</v>
      </c>
      <c r="E277" s="458" t="str">
        <f>IF(B277="","-",SUM($D$18:D277))</f>
        <v>-</v>
      </c>
      <c r="F277" s="458" t="str">
        <f t="shared" si="24"/>
        <v>-</v>
      </c>
      <c r="G277" s="458" t="str">
        <f>IF(B277="","-",SUM($F$18:F277))</f>
        <v>-</v>
      </c>
      <c r="H277" s="458" t="str">
        <f t="shared" si="25"/>
        <v>-</v>
      </c>
    </row>
    <row r="278" spans="2:8" x14ac:dyDescent="0.2">
      <c r="B278" s="457" t="str">
        <f t="shared" si="21"/>
        <v/>
      </c>
      <c r="C278" s="458" t="str">
        <f t="shared" si="22"/>
        <v>-</v>
      </c>
      <c r="D278" s="458" t="str">
        <f t="shared" si="23"/>
        <v>-</v>
      </c>
      <c r="E278" s="458" t="str">
        <f>IF(B278="","-",SUM($D$18:D278))</f>
        <v>-</v>
      </c>
      <c r="F278" s="458" t="str">
        <f t="shared" si="24"/>
        <v>-</v>
      </c>
      <c r="G278" s="458" t="str">
        <f>IF(B278="","-",SUM($F$18:F278))</f>
        <v>-</v>
      </c>
      <c r="H278" s="458" t="str">
        <f t="shared" si="25"/>
        <v>-</v>
      </c>
    </row>
    <row r="279" spans="2:8" x14ac:dyDescent="0.2">
      <c r="B279" s="457" t="str">
        <f t="shared" si="21"/>
        <v/>
      </c>
      <c r="C279" s="458" t="str">
        <f t="shared" si="22"/>
        <v>-</v>
      </c>
      <c r="D279" s="458" t="str">
        <f t="shared" si="23"/>
        <v>-</v>
      </c>
      <c r="E279" s="458" t="str">
        <f>IF(B279="","-",SUM($D$18:D279))</f>
        <v>-</v>
      </c>
      <c r="F279" s="458" t="str">
        <f t="shared" si="24"/>
        <v>-</v>
      </c>
      <c r="G279" s="458" t="str">
        <f>IF(B279="","-",SUM($F$18:F279))</f>
        <v>-</v>
      </c>
      <c r="H279" s="458" t="str">
        <f t="shared" si="25"/>
        <v>-</v>
      </c>
    </row>
    <row r="280" spans="2:8" x14ac:dyDescent="0.2">
      <c r="B280" s="457" t="str">
        <f t="shared" si="21"/>
        <v/>
      </c>
      <c r="C280" s="458" t="str">
        <f t="shared" si="22"/>
        <v>-</v>
      </c>
      <c r="D280" s="458" t="str">
        <f t="shared" si="23"/>
        <v>-</v>
      </c>
      <c r="E280" s="458" t="str">
        <f>IF(B280="","-",SUM($D$18:D280))</f>
        <v>-</v>
      </c>
      <c r="F280" s="458" t="str">
        <f t="shared" si="24"/>
        <v>-</v>
      </c>
      <c r="G280" s="458" t="str">
        <f>IF(B280="","-",SUM($F$18:F280))</f>
        <v>-</v>
      </c>
      <c r="H280" s="458" t="str">
        <f t="shared" si="25"/>
        <v>-</v>
      </c>
    </row>
    <row r="281" spans="2:8" x14ac:dyDescent="0.2">
      <c r="B281" s="457" t="str">
        <f t="shared" si="21"/>
        <v/>
      </c>
      <c r="C281" s="458" t="str">
        <f t="shared" si="22"/>
        <v>-</v>
      </c>
      <c r="D281" s="458" t="str">
        <f t="shared" si="23"/>
        <v>-</v>
      </c>
      <c r="E281" s="458" t="str">
        <f>IF(B281="","-",SUM($D$18:D281))</f>
        <v>-</v>
      </c>
      <c r="F281" s="458" t="str">
        <f t="shared" si="24"/>
        <v>-</v>
      </c>
      <c r="G281" s="458" t="str">
        <f>IF(B281="","-",SUM($F$18:F281))</f>
        <v>-</v>
      </c>
      <c r="H281" s="458" t="str">
        <f t="shared" si="25"/>
        <v>-</v>
      </c>
    </row>
    <row r="282" spans="2:8" x14ac:dyDescent="0.2">
      <c r="B282" s="457" t="str">
        <f t="shared" si="21"/>
        <v/>
      </c>
      <c r="C282" s="458" t="str">
        <f t="shared" si="22"/>
        <v>-</v>
      </c>
      <c r="D282" s="458" t="str">
        <f t="shared" si="23"/>
        <v>-</v>
      </c>
      <c r="E282" s="458" t="str">
        <f>IF(B282="","-",SUM($D$18:D282))</f>
        <v>-</v>
      </c>
      <c r="F282" s="458" t="str">
        <f t="shared" si="24"/>
        <v>-</v>
      </c>
      <c r="G282" s="458" t="str">
        <f>IF(B282="","-",SUM($F$18:F282))</f>
        <v>-</v>
      </c>
      <c r="H282" s="458" t="str">
        <f t="shared" si="25"/>
        <v>-</v>
      </c>
    </row>
    <row r="283" spans="2:8" x14ac:dyDescent="0.2">
      <c r="B283" s="457" t="str">
        <f t="shared" si="21"/>
        <v/>
      </c>
      <c r="C283" s="458" t="str">
        <f t="shared" si="22"/>
        <v>-</v>
      </c>
      <c r="D283" s="458" t="str">
        <f t="shared" si="23"/>
        <v>-</v>
      </c>
      <c r="E283" s="458" t="str">
        <f>IF(B283="","-",SUM($D$18:D283))</f>
        <v>-</v>
      </c>
      <c r="F283" s="458" t="str">
        <f t="shared" si="24"/>
        <v>-</v>
      </c>
      <c r="G283" s="458" t="str">
        <f>IF(B283="","-",SUM($F$18:F283))</f>
        <v>-</v>
      </c>
      <c r="H283" s="458" t="str">
        <f t="shared" si="25"/>
        <v>-</v>
      </c>
    </row>
    <row r="284" spans="2:8" x14ac:dyDescent="0.2">
      <c r="B284" s="457" t="str">
        <f t="shared" si="21"/>
        <v/>
      </c>
      <c r="C284" s="458" t="str">
        <f t="shared" si="22"/>
        <v>-</v>
      </c>
      <c r="D284" s="458" t="str">
        <f t="shared" si="23"/>
        <v>-</v>
      </c>
      <c r="E284" s="458" t="str">
        <f>IF(B284="","-",SUM($D$18:D284))</f>
        <v>-</v>
      </c>
      <c r="F284" s="458" t="str">
        <f t="shared" si="24"/>
        <v>-</v>
      </c>
      <c r="G284" s="458" t="str">
        <f>IF(B284="","-",SUM($F$18:F284))</f>
        <v>-</v>
      </c>
      <c r="H284" s="458" t="str">
        <f t="shared" si="25"/>
        <v>-</v>
      </c>
    </row>
    <row r="285" spans="2:8" x14ac:dyDescent="0.2">
      <c r="B285" s="457" t="str">
        <f t="shared" si="21"/>
        <v/>
      </c>
      <c r="C285" s="458" t="str">
        <f t="shared" si="22"/>
        <v>-</v>
      </c>
      <c r="D285" s="458" t="str">
        <f t="shared" si="23"/>
        <v>-</v>
      </c>
      <c r="E285" s="458" t="str">
        <f>IF(B285="","-",SUM($D$18:D285))</f>
        <v>-</v>
      </c>
      <c r="F285" s="458" t="str">
        <f t="shared" si="24"/>
        <v>-</v>
      </c>
      <c r="G285" s="458" t="str">
        <f>IF(B285="","-",SUM($F$18:F285))</f>
        <v>-</v>
      </c>
      <c r="H285" s="458" t="str">
        <f t="shared" si="25"/>
        <v>-</v>
      </c>
    </row>
    <row r="286" spans="2:8" x14ac:dyDescent="0.2">
      <c r="B286" s="457" t="str">
        <f t="shared" ref="B286:B349" si="26">IF(B285&gt;=$D$5*12,"",B285+1)</f>
        <v/>
      </c>
      <c r="C286" s="458" t="str">
        <f t="shared" si="22"/>
        <v>-</v>
      </c>
      <c r="D286" s="458" t="str">
        <f t="shared" si="23"/>
        <v>-</v>
      </c>
      <c r="E286" s="458" t="str">
        <f>IF(B286="","-",SUM($D$18:D286))</f>
        <v>-</v>
      </c>
      <c r="F286" s="458" t="str">
        <f t="shared" si="24"/>
        <v>-</v>
      </c>
      <c r="G286" s="458" t="str">
        <f>IF(B286="","-",SUM($F$18:F286))</f>
        <v>-</v>
      </c>
      <c r="H286" s="458" t="str">
        <f t="shared" si="25"/>
        <v>-</v>
      </c>
    </row>
    <row r="287" spans="2:8" x14ac:dyDescent="0.2">
      <c r="B287" s="457" t="str">
        <f t="shared" si="26"/>
        <v/>
      </c>
      <c r="C287" s="458" t="str">
        <f t="shared" si="22"/>
        <v>-</v>
      </c>
      <c r="D287" s="458" t="str">
        <f t="shared" si="23"/>
        <v>-</v>
      </c>
      <c r="E287" s="458" t="str">
        <f>IF(B287="","-",SUM($D$18:D287))</f>
        <v>-</v>
      </c>
      <c r="F287" s="458" t="str">
        <f t="shared" si="24"/>
        <v>-</v>
      </c>
      <c r="G287" s="458" t="str">
        <f>IF(B287="","-",SUM($F$18:F287))</f>
        <v>-</v>
      </c>
      <c r="H287" s="458" t="str">
        <f t="shared" si="25"/>
        <v>-</v>
      </c>
    </row>
    <row r="288" spans="2:8" x14ac:dyDescent="0.2">
      <c r="B288" s="457" t="str">
        <f t="shared" si="26"/>
        <v/>
      </c>
      <c r="C288" s="458" t="str">
        <f t="shared" si="22"/>
        <v>-</v>
      </c>
      <c r="D288" s="458" t="str">
        <f t="shared" si="23"/>
        <v>-</v>
      </c>
      <c r="E288" s="458" t="str">
        <f>IF(B288="","-",SUM($D$18:D288))</f>
        <v>-</v>
      </c>
      <c r="F288" s="458" t="str">
        <f t="shared" si="24"/>
        <v>-</v>
      </c>
      <c r="G288" s="458" t="str">
        <f>IF(B288="","-",SUM($F$18:F288))</f>
        <v>-</v>
      </c>
      <c r="H288" s="458" t="str">
        <f t="shared" si="25"/>
        <v>-</v>
      </c>
    </row>
    <row r="289" spans="2:8" x14ac:dyDescent="0.2">
      <c r="B289" s="457" t="str">
        <f t="shared" si="26"/>
        <v/>
      </c>
      <c r="C289" s="458" t="str">
        <f t="shared" si="22"/>
        <v>-</v>
      </c>
      <c r="D289" s="458" t="str">
        <f t="shared" si="23"/>
        <v>-</v>
      </c>
      <c r="E289" s="458" t="str">
        <f>IF(B289="","-",SUM($D$18:D289))</f>
        <v>-</v>
      </c>
      <c r="F289" s="458" t="str">
        <f t="shared" si="24"/>
        <v>-</v>
      </c>
      <c r="G289" s="458" t="str">
        <f>IF(B289="","-",SUM($F$18:F289))</f>
        <v>-</v>
      </c>
      <c r="H289" s="458" t="str">
        <f t="shared" si="25"/>
        <v>-</v>
      </c>
    </row>
    <row r="290" spans="2:8" x14ac:dyDescent="0.2">
      <c r="B290" s="457" t="str">
        <f t="shared" si="26"/>
        <v/>
      </c>
      <c r="C290" s="458" t="str">
        <f t="shared" si="22"/>
        <v>-</v>
      </c>
      <c r="D290" s="458" t="str">
        <f t="shared" si="23"/>
        <v>-</v>
      </c>
      <c r="E290" s="458" t="str">
        <f>IF(B290="","-",SUM($D$18:D290))</f>
        <v>-</v>
      </c>
      <c r="F290" s="458" t="str">
        <f t="shared" si="24"/>
        <v>-</v>
      </c>
      <c r="G290" s="458" t="str">
        <f>IF(B290="","-",SUM($F$18:F290))</f>
        <v>-</v>
      </c>
      <c r="H290" s="458" t="str">
        <f t="shared" si="25"/>
        <v>-</v>
      </c>
    </row>
    <row r="291" spans="2:8" x14ac:dyDescent="0.2">
      <c r="B291" s="457" t="str">
        <f t="shared" si="26"/>
        <v/>
      </c>
      <c r="C291" s="458" t="str">
        <f t="shared" si="22"/>
        <v>-</v>
      </c>
      <c r="D291" s="458" t="str">
        <f t="shared" si="23"/>
        <v>-</v>
      </c>
      <c r="E291" s="458" t="str">
        <f>IF(B291="","-",SUM($D$18:D291))</f>
        <v>-</v>
      </c>
      <c r="F291" s="458" t="str">
        <f t="shared" si="24"/>
        <v>-</v>
      </c>
      <c r="G291" s="458" t="str">
        <f>IF(B291="","-",SUM($F$18:F291))</f>
        <v>-</v>
      </c>
      <c r="H291" s="458" t="str">
        <f t="shared" si="25"/>
        <v>-</v>
      </c>
    </row>
    <row r="292" spans="2:8" x14ac:dyDescent="0.2">
      <c r="B292" s="457" t="str">
        <f t="shared" si="26"/>
        <v/>
      </c>
      <c r="C292" s="458" t="str">
        <f t="shared" si="22"/>
        <v>-</v>
      </c>
      <c r="D292" s="458" t="str">
        <f t="shared" si="23"/>
        <v>-</v>
      </c>
      <c r="E292" s="458" t="str">
        <f>IF(B292="","-",SUM($D$18:D292))</f>
        <v>-</v>
      </c>
      <c r="F292" s="458" t="str">
        <f t="shared" si="24"/>
        <v>-</v>
      </c>
      <c r="G292" s="458" t="str">
        <f>IF(B292="","-",SUM($F$18:F292))</f>
        <v>-</v>
      </c>
      <c r="H292" s="458" t="str">
        <f t="shared" si="25"/>
        <v>-</v>
      </c>
    </row>
    <row r="293" spans="2:8" x14ac:dyDescent="0.2">
      <c r="B293" s="457" t="str">
        <f t="shared" si="26"/>
        <v/>
      </c>
      <c r="C293" s="458" t="str">
        <f t="shared" si="22"/>
        <v>-</v>
      </c>
      <c r="D293" s="458" t="str">
        <f t="shared" si="23"/>
        <v>-</v>
      </c>
      <c r="E293" s="458" t="str">
        <f>IF(B293="","-",SUM($D$18:D293))</f>
        <v>-</v>
      </c>
      <c r="F293" s="458" t="str">
        <f t="shared" si="24"/>
        <v>-</v>
      </c>
      <c r="G293" s="458" t="str">
        <f>IF(B293="","-",SUM($F$18:F293))</f>
        <v>-</v>
      </c>
      <c r="H293" s="458" t="str">
        <f t="shared" si="25"/>
        <v>-</v>
      </c>
    </row>
    <row r="294" spans="2:8" x14ac:dyDescent="0.2">
      <c r="B294" s="457" t="str">
        <f t="shared" si="26"/>
        <v/>
      </c>
      <c r="C294" s="458" t="str">
        <f t="shared" si="22"/>
        <v>-</v>
      </c>
      <c r="D294" s="458" t="str">
        <f t="shared" si="23"/>
        <v>-</v>
      </c>
      <c r="E294" s="458" t="str">
        <f>IF(B294="","-",SUM($D$18:D294))</f>
        <v>-</v>
      </c>
      <c r="F294" s="458" t="str">
        <f t="shared" si="24"/>
        <v>-</v>
      </c>
      <c r="G294" s="458" t="str">
        <f>IF(B294="","-",SUM($F$18:F294))</f>
        <v>-</v>
      </c>
      <c r="H294" s="458" t="str">
        <f t="shared" si="25"/>
        <v>-</v>
      </c>
    </row>
    <row r="295" spans="2:8" x14ac:dyDescent="0.2">
      <c r="B295" s="457" t="str">
        <f t="shared" si="26"/>
        <v/>
      </c>
      <c r="C295" s="458" t="str">
        <f t="shared" si="22"/>
        <v>-</v>
      </c>
      <c r="D295" s="458" t="str">
        <f t="shared" si="23"/>
        <v>-</v>
      </c>
      <c r="E295" s="458" t="str">
        <f>IF(B295="","-",SUM($D$18:D295))</f>
        <v>-</v>
      </c>
      <c r="F295" s="458" t="str">
        <f t="shared" si="24"/>
        <v>-</v>
      </c>
      <c r="G295" s="458" t="str">
        <f>IF(B295="","-",SUM($F$18:F295))</f>
        <v>-</v>
      </c>
      <c r="H295" s="458" t="str">
        <f t="shared" si="25"/>
        <v>-</v>
      </c>
    </row>
    <row r="296" spans="2:8" x14ac:dyDescent="0.2">
      <c r="B296" s="457" t="str">
        <f t="shared" si="26"/>
        <v/>
      </c>
      <c r="C296" s="458" t="str">
        <f t="shared" si="22"/>
        <v>-</v>
      </c>
      <c r="D296" s="458" t="str">
        <f t="shared" si="23"/>
        <v>-</v>
      </c>
      <c r="E296" s="458" t="str">
        <f>IF(B296="","-",SUM($D$18:D296))</f>
        <v>-</v>
      </c>
      <c r="F296" s="458" t="str">
        <f t="shared" si="24"/>
        <v>-</v>
      </c>
      <c r="G296" s="458" t="str">
        <f>IF(B296="","-",SUM($F$18:F296))</f>
        <v>-</v>
      </c>
      <c r="H296" s="458" t="str">
        <f t="shared" si="25"/>
        <v>-</v>
      </c>
    </row>
    <row r="297" spans="2:8" x14ac:dyDescent="0.2">
      <c r="B297" s="457" t="str">
        <f t="shared" si="26"/>
        <v/>
      </c>
      <c r="C297" s="458" t="str">
        <f t="shared" si="22"/>
        <v>-</v>
      </c>
      <c r="D297" s="458" t="str">
        <f t="shared" si="23"/>
        <v>-</v>
      </c>
      <c r="E297" s="458" t="str">
        <f>IF(B297="","-",SUM($D$18:D297))</f>
        <v>-</v>
      </c>
      <c r="F297" s="458" t="str">
        <f t="shared" si="24"/>
        <v>-</v>
      </c>
      <c r="G297" s="458" t="str">
        <f>IF(B297="","-",SUM($F$18:F297))</f>
        <v>-</v>
      </c>
      <c r="H297" s="458" t="str">
        <f t="shared" si="25"/>
        <v>-</v>
      </c>
    </row>
    <row r="298" spans="2:8" x14ac:dyDescent="0.2">
      <c r="B298" s="457" t="str">
        <f t="shared" si="26"/>
        <v/>
      </c>
      <c r="C298" s="458" t="str">
        <f t="shared" si="22"/>
        <v>-</v>
      </c>
      <c r="D298" s="458" t="str">
        <f t="shared" si="23"/>
        <v>-</v>
      </c>
      <c r="E298" s="458" t="str">
        <f>IF(B298="","-",SUM($D$18:D298))</f>
        <v>-</v>
      </c>
      <c r="F298" s="458" t="str">
        <f t="shared" si="24"/>
        <v>-</v>
      </c>
      <c r="G298" s="458" t="str">
        <f>IF(B298="","-",SUM($F$18:F298))</f>
        <v>-</v>
      </c>
      <c r="H298" s="458" t="str">
        <f t="shared" si="25"/>
        <v>-</v>
      </c>
    </row>
    <row r="299" spans="2:8" x14ac:dyDescent="0.2">
      <c r="B299" s="457" t="str">
        <f t="shared" si="26"/>
        <v/>
      </c>
      <c r="C299" s="458" t="str">
        <f t="shared" si="22"/>
        <v>-</v>
      </c>
      <c r="D299" s="458" t="str">
        <f t="shared" si="23"/>
        <v>-</v>
      </c>
      <c r="E299" s="458" t="str">
        <f>IF(B299="","-",SUM($D$18:D299))</f>
        <v>-</v>
      </c>
      <c r="F299" s="458" t="str">
        <f t="shared" si="24"/>
        <v>-</v>
      </c>
      <c r="G299" s="458" t="str">
        <f>IF(B299="","-",SUM($F$18:F299))</f>
        <v>-</v>
      </c>
      <c r="H299" s="458" t="str">
        <f t="shared" si="25"/>
        <v>-</v>
      </c>
    </row>
    <row r="300" spans="2:8" x14ac:dyDescent="0.2">
      <c r="B300" s="457" t="str">
        <f t="shared" si="26"/>
        <v/>
      </c>
      <c r="C300" s="458" t="str">
        <f t="shared" si="22"/>
        <v>-</v>
      </c>
      <c r="D300" s="458" t="str">
        <f t="shared" si="23"/>
        <v>-</v>
      </c>
      <c r="E300" s="458" t="str">
        <f>IF(B300="","-",SUM($D$18:D300))</f>
        <v>-</v>
      </c>
      <c r="F300" s="458" t="str">
        <f t="shared" si="24"/>
        <v>-</v>
      </c>
      <c r="G300" s="458" t="str">
        <f>IF(B300="","-",SUM($F$18:F300))</f>
        <v>-</v>
      </c>
      <c r="H300" s="458" t="str">
        <f t="shared" si="25"/>
        <v>-</v>
      </c>
    </row>
    <row r="301" spans="2:8" x14ac:dyDescent="0.2">
      <c r="B301" s="457" t="str">
        <f t="shared" si="26"/>
        <v/>
      </c>
      <c r="C301" s="458" t="str">
        <f t="shared" si="22"/>
        <v>-</v>
      </c>
      <c r="D301" s="458" t="str">
        <f t="shared" si="23"/>
        <v>-</v>
      </c>
      <c r="E301" s="458" t="str">
        <f>IF(B301="","-",SUM($D$18:D301))</f>
        <v>-</v>
      </c>
      <c r="F301" s="458" t="str">
        <f t="shared" si="24"/>
        <v>-</v>
      </c>
      <c r="G301" s="458" t="str">
        <f>IF(B301="","-",SUM($F$18:F301))</f>
        <v>-</v>
      </c>
      <c r="H301" s="458" t="str">
        <f t="shared" si="25"/>
        <v>-</v>
      </c>
    </row>
    <row r="302" spans="2:8" x14ac:dyDescent="0.2">
      <c r="B302" s="457" t="str">
        <f t="shared" si="26"/>
        <v/>
      </c>
      <c r="C302" s="458" t="str">
        <f t="shared" si="22"/>
        <v>-</v>
      </c>
      <c r="D302" s="458" t="str">
        <f t="shared" si="23"/>
        <v>-</v>
      </c>
      <c r="E302" s="458" t="str">
        <f>IF(B302="","-",SUM($D$18:D302))</f>
        <v>-</v>
      </c>
      <c r="F302" s="458" t="str">
        <f t="shared" si="24"/>
        <v>-</v>
      </c>
      <c r="G302" s="458" t="str">
        <f>IF(B302="","-",SUM($F$18:F302))</f>
        <v>-</v>
      </c>
      <c r="H302" s="458" t="str">
        <f t="shared" si="25"/>
        <v>-</v>
      </c>
    </row>
    <row r="303" spans="2:8" x14ac:dyDescent="0.2">
      <c r="B303" s="457" t="str">
        <f t="shared" si="26"/>
        <v/>
      </c>
      <c r="C303" s="458" t="str">
        <f t="shared" si="22"/>
        <v>-</v>
      </c>
      <c r="D303" s="458" t="str">
        <f t="shared" si="23"/>
        <v>-</v>
      </c>
      <c r="E303" s="458" t="str">
        <f>IF(B303="","-",SUM($D$18:D303))</f>
        <v>-</v>
      </c>
      <c r="F303" s="458" t="str">
        <f t="shared" si="24"/>
        <v>-</v>
      </c>
      <c r="G303" s="458" t="str">
        <f>IF(B303="","-",SUM($F$18:F303))</f>
        <v>-</v>
      </c>
      <c r="H303" s="458" t="str">
        <f t="shared" si="25"/>
        <v>-</v>
      </c>
    </row>
    <row r="304" spans="2:8" x14ac:dyDescent="0.2">
      <c r="B304" s="457" t="str">
        <f t="shared" si="26"/>
        <v/>
      </c>
      <c r="C304" s="458" t="str">
        <f t="shared" si="22"/>
        <v>-</v>
      </c>
      <c r="D304" s="458" t="str">
        <f t="shared" si="23"/>
        <v>-</v>
      </c>
      <c r="E304" s="458" t="str">
        <f>IF(B304="","-",SUM($D$18:D304))</f>
        <v>-</v>
      </c>
      <c r="F304" s="458" t="str">
        <f t="shared" si="24"/>
        <v>-</v>
      </c>
      <c r="G304" s="458" t="str">
        <f>IF(B304="","-",SUM($F$18:F304))</f>
        <v>-</v>
      </c>
      <c r="H304" s="458" t="str">
        <f t="shared" si="25"/>
        <v>-</v>
      </c>
    </row>
    <row r="305" spans="2:8" x14ac:dyDescent="0.2">
      <c r="B305" s="457" t="str">
        <f t="shared" si="26"/>
        <v/>
      </c>
      <c r="C305" s="458" t="str">
        <f t="shared" si="22"/>
        <v>-</v>
      </c>
      <c r="D305" s="458" t="str">
        <f t="shared" si="23"/>
        <v>-</v>
      </c>
      <c r="E305" s="458" t="str">
        <f>IF(B305="","-",SUM($D$18:D305))</f>
        <v>-</v>
      </c>
      <c r="F305" s="458" t="str">
        <f t="shared" si="24"/>
        <v>-</v>
      </c>
      <c r="G305" s="458" t="str">
        <f>IF(B305="","-",SUM($F$18:F305))</f>
        <v>-</v>
      </c>
      <c r="H305" s="458" t="str">
        <f t="shared" si="25"/>
        <v>-</v>
      </c>
    </row>
    <row r="306" spans="2:8" x14ac:dyDescent="0.2">
      <c r="B306" s="457" t="str">
        <f t="shared" si="26"/>
        <v/>
      </c>
      <c r="C306" s="458" t="str">
        <f t="shared" si="22"/>
        <v>-</v>
      </c>
      <c r="D306" s="458" t="str">
        <f t="shared" si="23"/>
        <v>-</v>
      </c>
      <c r="E306" s="458" t="str">
        <f>IF(B306="","-",SUM($D$18:D306))</f>
        <v>-</v>
      </c>
      <c r="F306" s="458" t="str">
        <f t="shared" si="24"/>
        <v>-</v>
      </c>
      <c r="G306" s="458" t="str">
        <f>IF(B306="","-",SUM($F$18:F306))</f>
        <v>-</v>
      </c>
      <c r="H306" s="458" t="str">
        <f t="shared" si="25"/>
        <v>-</v>
      </c>
    </row>
    <row r="307" spans="2:8" x14ac:dyDescent="0.2">
      <c r="B307" s="457" t="str">
        <f t="shared" si="26"/>
        <v/>
      </c>
      <c r="C307" s="458" t="str">
        <f t="shared" si="22"/>
        <v>-</v>
      </c>
      <c r="D307" s="458" t="str">
        <f t="shared" si="23"/>
        <v>-</v>
      </c>
      <c r="E307" s="458" t="str">
        <f>IF(B307="","-",SUM($D$18:D307))</f>
        <v>-</v>
      </c>
      <c r="F307" s="458" t="str">
        <f t="shared" si="24"/>
        <v>-</v>
      </c>
      <c r="G307" s="458" t="str">
        <f>IF(B307="","-",SUM($F$18:F307))</f>
        <v>-</v>
      </c>
      <c r="H307" s="458" t="str">
        <f t="shared" si="25"/>
        <v>-</v>
      </c>
    </row>
    <row r="308" spans="2:8" x14ac:dyDescent="0.2">
      <c r="B308" s="457" t="str">
        <f t="shared" si="26"/>
        <v/>
      </c>
      <c r="C308" s="458" t="str">
        <f t="shared" si="22"/>
        <v>-</v>
      </c>
      <c r="D308" s="458" t="str">
        <f t="shared" si="23"/>
        <v>-</v>
      </c>
      <c r="E308" s="458" t="str">
        <f>IF(B308="","-",SUM($D$18:D308))</f>
        <v>-</v>
      </c>
      <c r="F308" s="458" t="str">
        <f t="shared" si="24"/>
        <v>-</v>
      </c>
      <c r="G308" s="458" t="str">
        <f>IF(B308="","-",SUM($F$18:F308))</f>
        <v>-</v>
      </c>
      <c r="H308" s="458" t="str">
        <f t="shared" si="25"/>
        <v>-</v>
      </c>
    </row>
    <row r="309" spans="2:8" x14ac:dyDescent="0.2">
      <c r="B309" s="457" t="str">
        <f t="shared" si="26"/>
        <v/>
      </c>
      <c r="C309" s="458" t="str">
        <f t="shared" si="22"/>
        <v>-</v>
      </c>
      <c r="D309" s="458" t="str">
        <f t="shared" si="23"/>
        <v>-</v>
      </c>
      <c r="E309" s="458" t="str">
        <f>IF(B309="","-",SUM($D$18:D309))</f>
        <v>-</v>
      </c>
      <c r="F309" s="458" t="str">
        <f t="shared" si="24"/>
        <v>-</v>
      </c>
      <c r="G309" s="458" t="str">
        <f>IF(B309="","-",SUM($F$18:F309))</f>
        <v>-</v>
      </c>
      <c r="H309" s="458" t="str">
        <f t="shared" si="25"/>
        <v>-</v>
      </c>
    </row>
    <row r="310" spans="2:8" x14ac:dyDescent="0.2">
      <c r="B310" s="457" t="str">
        <f t="shared" si="26"/>
        <v/>
      </c>
      <c r="C310" s="458" t="str">
        <f t="shared" si="22"/>
        <v>-</v>
      </c>
      <c r="D310" s="458" t="str">
        <f t="shared" si="23"/>
        <v>-</v>
      </c>
      <c r="E310" s="458" t="str">
        <f>IF(B310="","-",SUM($D$18:D310))</f>
        <v>-</v>
      </c>
      <c r="F310" s="458" t="str">
        <f t="shared" si="24"/>
        <v>-</v>
      </c>
      <c r="G310" s="458" t="str">
        <f>IF(B310="","-",SUM($F$18:F310))</f>
        <v>-</v>
      </c>
      <c r="H310" s="458" t="str">
        <f t="shared" si="25"/>
        <v>-</v>
      </c>
    </row>
    <row r="311" spans="2:8" x14ac:dyDescent="0.2">
      <c r="B311" s="457" t="str">
        <f t="shared" si="26"/>
        <v/>
      </c>
      <c r="C311" s="458" t="str">
        <f t="shared" si="22"/>
        <v>-</v>
      </c>
      <c r="D311" s="458" t="str">
        <f t="shared" si="23"/>
        <v>-</v>
      </c>
      <c r="E311" s="458" t="str">
        <f>IF(B311="","-",SUM($D$18:D311))</f>
        <v>-</v>
      </c>
      <c r="F311" s="458" t="str">
        <f t="shared" si="24"/>
        <v>-</v>
      </c>
      <c r="G311" s="458" t="str">
        <f>IF(B311="","-",SUM($F$18:F311))</f>
        <v>-</v>
      </c>
      <c r="H311" s="458" t="str">
        <f t="shared" si="25"/>
        <v>-</v>
      </c>
    </row>
    <row r="312" spans="2:8" x14ac:dyDescent="0.2">
      <c r="B312" s="457" t="str">
        <f t="shared" si="26"/>
        <v/>
      </c>
      <c r="C312" s="458" t="str">
        <f t="shared" si="22"/>
        <v>-</v>
      </c>
      <c r="D312" s="458" t="str">
        <f t="shared" si="23"/>
        <v>-</v>
      </c>
      <c r="E312" s="458" t="str">
        <f>IF(B312="","-",SUM($D$18:D312))</f>
        <v>-</v>
      </c>
      <c r="F312" s="458" t="str">
        <f t="shared" si="24"/>
        <v>-</v>
      </c>
      <c r="G312" s="458" t="str">
        <f>IF(B312="","-",SUM($F$18:F312))</f>
        <v>-</v>
      </c>
      <c r="H312" s="458" t="str">
        <f t="shared" si="25"/>
        <v>-</v>
      </c>
    </row>
    <row r="313" spans="2:8" x14ac:dyDescent="0.2">
      <c r="B313" s="457" t="str">
        <f t="shared" si="26"/>
        <v/>
      </c>
      <c r="C313" s="458" t="str">
        <f t="shared" si="22"/>
        <v>-</v>
      </c>
      <c r="D313" s="458" t="str">
        <f t="shared" si="23"/>
        <v>-</v>
      </c>
      <c r="E313" s="458" t="str">
        <f>IF(B313="","-",SUM($D$18:D313))</f>
        <v>-</v>
      </c>
      <c r="F313" s="458" t="str">
        <f t="shared" si="24"/>
        <v>-</v>
      </c>
      <c r="G313" s="458" t="str">
        <f>IF(B313="","-",SUM($F$18:F313))</f>
        <v>-</v>
      </c>
      <c r="H313" s="458" t="str">
        <f t="shared" si="25"/>
        <v>-</v>
      </c>
    </row>
    <row r="314" spans="2:8" x14ac:dyDescent="0.2">
      <c r="B314" s="457" t="str">
        <f t="shared" si="26"/>
        <v/>
      </c>
      <c r="C314" s="458" t="str">
        <f t="shared" si="22"/>
        <v>-</v>
      </c>
      <c r="D314" s="458" t="str">
        <f t="shared" si="23"/>
        <v>-</v>
      </c>
      <c r="E314" s="458" t="str">
        <f>IF(B314="","-",SUM($D$18:D314))</f>
        <v>-</v>
      </c>
      <c r="F314" s="458" t="str">
        <f t="shared" si="24"/>
        <v>-</v>
      </c>
      <c r="G314" s="458" t="str">
        <f>IF(B314="","-",SUM($F$18:F314))</f>
        <v>-</v>
      </c>
      <c r="H314" s="458" t="str">
        <f t="shared" si="25"/>
        <v>-</v>
      </c>
    </row>
    <row r="315" spans="2:8" x14ac:dyDescent="0.2">
      <c r="B315" s="457" t="str">
        <f t="shared" si="26"/>
        <v/>
      </c>
      <c r="C315" s="458" t="str">
        <f t="shared" si="22"/>
        <v>-</v>
      </c>
      <c r="D315" s="458" t="str">
        <f t="shared" si="23"/>
        <v>-</v>
      </c>
      <c r="E315" s="458" t="str">
        <f>IF(B315="","-",SUM($D$18:D315))</f>
        <v>-</v>
      </c>
      <c r="F315" s="458" t="str">
        <f t="shared" si="24"/>
        <v>-</v>
      </c>
      <c r="G315" s="458" t="str">
        <f>IF(B315="","-",SUM($F$18:F315))</f>
        <v>-</v>
      </c>
      <c r="H315" s="458" t="str">
        <f t="shared" si="25"/>
        <v>-</v>
      </c>
    </row>
    <row r="316" spans="2:8" x14ac:dyDescent="0.2">
      <c r="B316" s="457" t="str">
        <f t="shared" si="26"/>
        <v/>
      </c>
      <c r="C316" s="458" t="str">
        <f t="shared" si="22"/>
        <v>-</v>
      </c>
      <c r="D316" s="458" t="str">
        <f t="shared" si="23"/>
        <v>-</v>
      </c>
      <c r="E316" s="458" t="str">
        <f>IF(B316="","-",SUM($D$18:D316))</f>
        <v>-</v>
      </c>
      <c r="F316" s="458" t="str">
        <f t="shared" si="24"/>
        <v>-</v>
      </c>
      <c r="G316" s="458" t="str">
        <f>IF(B316="","-",SUM($F$18:F316))</f>
        <v>-</v>
      </c>
      <c r="H316" s="458" t="str">
        <f t="shared" si="25"/>
        <v>-</v>
      </c>
    </row>
    <row r="317" spans="2:8" x14ac:dyDescent="0.2">
      <c r="B317" s="457" t="str">
        <f t="shared" si="26"/>
        <v/>
      </c>
      <c r="C317" s="458" t="str">
        <f t="shared" si="22"/>
        <v>-</v>
      </c>
      <c r="D317" s="458" t="str">
        <f t="shared" si="23"/>
        <v>-</v>
      </c>
      <c r="E317" s="458" t="str">
        <f>IF(B317="","-",SUM($D$18:D317))</f>
        <v>-</v>
      </c>
      <c r="F317" s="458" t="str">
        <f t="shared" si="24"/>
        <v>-</v>
      </c>
      <c r="G317" s="458" t="str">
        <f>IF(B317="","-",SUM($F$18:F317))</f>
        <v>-</v>
      </c>
      <c r="H317" s="458" t="str">
        <f t="shared" si="25"/>
        <v>-</v>
      </c>
    </row>
    <row r="318" spans="2:8" x14ac:dyDescent="0.2">
      <c r="B318" s="457" t="str">
        <f t="shared" si="26"/>
        <v/>
      </c>
      <c r="C318" s="458" t="str">
        <f t="shared" si="22"/>
        <v>-</v>
      </c>
      <c r="D318" s="458" t="str">
        <f t="shared" si="23"/>
        <v>-</v>
      </c>
      <c r="E318" s="458" t="str">
        <f>IF(B318="","-",SUM($D$18:D318))</f>
        <v>-</v>
      </c>
      <c r="F318" s="458" t="str">
        <f t="shared" si="24"/>
        <v>-</v>
      </c>
      <c r="G318" s="458" t="str">
        <f>IF(B318="","-",SUM($F$18:F318))</f>
        <v>-</v>
      </c>
      <c r="H318" s="458" t="str">
        <f t="shared" si="25"/>
        <v>-</v>
      </c>
    </row>
    <row r="319" spans="2:8" x14ac:dyDescent="0.2">
      <c r="B319" s="457" t="str">
        <f t="shared" si="26"/>
        <v/>
      </c>
      <c r="C319" s="458" t="str">
        <f t="shared" si="22"/>
        <v>-</v>
      </c>
      <c r="D319" s="458" t="str">
        <f t="shared" si="23"/>
        <v>-</v>
      </c>
      <c r="E319" s="458" t="str">
        <f>IF(B319="","-",SUM($D$18:D319))</f>
        <v>-</v>
      </c>
      <c r="F319" s="458" t="str">
        <f t="shared" si="24"/>
        <v>-</v>
      </c>
      <c r="G319" s="458" t="str">
        <f>IF(B319="","-",SUM($F$18:F319))</f>
        <v>-</v>
      </c>
      <c r="H319" s="458" t="str">
        <f t="shared" si="25"/>
        <v>-</v>
      </c>
    </row>
    <row r="320" spans="2:8" x14ac:dyDescent="0.2">
      <c r="B320" s="457" t="str">
        <f t="shared" si="26"/>
        <v/>
      </c>
      <c r="C320" s="458" t="str">
        <f t="shared" si="22"/>
        <v>-</v>
      </c>
      <c r="D320" s="458" t="str">
        <f t="shared" si="23"/>
        <v>-</v>
      </c>
      <c r="E320" s="458" t="str">
        <f>IF(B320="","-",SUM($D$18:D320))</f>
        <v>-</v>
      </c>
      <c r="F320" s="458" t="str">
        <f t="shared" si="24"/>
        <v>-</v>
      </c>
      <c r="G320" s="458" t="str">
        <f>IF(B320="","-",SUM($F$18:F320))</f>
        <v>-</v>
      </c>
      <c r="H320" s="458" t="str">
        <f t="shared" si="25"/>
        <v>-</v>
      </c>
    </row>
    <row r="321" spans="2:8" x14ac:dyDescent="0.2">
      <c r="B321" s="457" t="str">
        <f t="shared" si="26"/>
        <v/>
      </c>
      <c r="C321" s="458" t="str">
        <f t="shared" si="22"/>
        <v>-</v>
      </c>
      <c r="D321" s="458" t="str">
        <f t="shared" si="23"/>
        <v>-</v>
      </c>
      <c r="E321" s="458" t="str">
        <f>IF(B321="","-",SUM($D$18:D321))</f>
        <v>-</v>
      </c>
      <c r="F321" s="458" t="str">
        <f t="shared" si="24"/>
        <v>-</v>
      </c>
      <c r="G321" s="458" t="str">
        <f>IF(B321="","-",SUM($F$18:F321))</f>
        <v>-</v>
      </c>
      <c r="H321" s="458" t="str">
        <f t="shared" si="25"/>
        <v>-</v>
      </c>
    </row>
    <row r="322" spans="2:8" x14ac:dyDescent="0.2">
      <c r="B322" s="457" t="str">
        <f t="shared" si="26"/>
        <v/>
      </c>
      <c r="C322" s="458" t="str">
        <f t="shared" ref="C322:C378" si="27">IF(B322="","-",$D$7)</f>
        <v>-</v>
      </c>
      <c r="D322" s="458" t="str">
        <f t="shared" si="23"/>
        <v>-</v>
      </c>
      <c r="E322" s="458" t="str">
        <f>IF(B322="","-",SUM($D$18:D322))</f>
        <v>-</v>
      </c>
      <c r="F322" s="458" t="str">
        <f t="shared" si="24"/>
        <v>-</v>
      </c>
      <c r="G322" s="458" t="str">
        <f>IF(B322="","-",SUM($F$18:F322))</f>
        <v>-</v>
      </c>
      <c r="H322" s="458" t="str">
        <f t="shared" si="25"/>
        <v>-</v>
      </c>
    </row>
    <row r="323" spans="2:8" x14ac:dyDescent="0.2">
      <c r="B323" s="457" t="str">
        <f t="shared" si="26"/>
        <v/>
      </c>
      <c r="C323" s="458" t="str">
        <f t="shared" si="27"/>
        <v>-</v>
      </c>
      <c r="D323" s="458" t="str">
        <f t="shared" si="23"/>
        <v>-</v>
      </c>
      <c r="E323" s="458" t="str">
        <f>IF(B323="","-",SUM($D$18:D323))</f>
        <v>-</v>
      </c>
      <c r="F323" s="458" t="str">
        <f t="shared" si="24"/>
        <v>-</v>
      </c>
      <c r="G323" s="458" t="str">
        <f>IF(B323="","-",SUM($F$18:F323))</f>
        <v>-</v>
      </c>
      <c r="H323" s="458" t="str">
        <f t="shared" si="25"/>
        <v>-</v>
      </c>
    </row>
    <row r="324" spans="2:8" x14ac:dyDescent="0.2">
      <c r="B324" s="457" t="str">
        <f t="shared" si="26"/>
        <v/>
      </c>
      <c r="C324" s="458" t="str">
        <f t="shared" si="27"/>
        <v>-</v>
      </c>
      <c r="D324" s="458" t="str">
        <f t="shared" si="23"/>
        <v>-</v>
      </c>
      <c r="E324" s="458" t="str">
        <f>IF(B324="","-",SUM($D$18:D324))</f>
        <v>-</v>
      </c>
      <c r="F324" s="458" t="str">
        <f t="shared" si="24"/>
        <v>-</v>
      </c>
      <c r="G324" s="458" t="str">
        <f>IF(B324="","-",SUM($F$18:F324))</f>
        <v>-</v>
      </c>
      <c r="H324" s="458" t="str">
        <f t="shared" si="25"/>
        <v>-</v>
      </c>
    </row>
    <row r="325" spans="2:8" x14ac:dyDescent="0.2">
      <c r="B325" s="457" t="str">
        <f t="shared" si="26"/>
        <v/>
      </c>
      <c r="C325" s="458" t="str">
        <f t="shared" si="27"/>
        <v>-</v>
      </c>
      <c r="D325" s="458" t="str">
        <f t="shared" si="23"/>
        <v>-</v>
      </c>
      <c r="E325" s="458" t="str">
        <f>IF(B325="","-",SUM($D$18:D325))</f>
        <v>-</v>
      </c>
      <c r="F325" s="458" t="str">
        <f t="shared" si="24"/>
        <v>-</v>
      </c>
      <c r="G325" s="458" t="str">
        <f>IF(B325="","-",SUM($F$18:F325))</f>
        <v>-</v>
      </c>
      <c r="H325" s="458" t="str">
        <f t="shared" si="25"/>
        <v>-</v>
      </c>
    </row>
    <row r="326" spans="2:8" x14ac:dyDescent="0.2">
      <c r="B326" s="457" t="str">
        <f t="shared" si="26"/>
        <v/>
      </c>
      <c r="C326" s="458" t="str">
        <f t="shared" si="27"/>
        <v>-</v>
      </c>
      <c r="D326" s="458" t="str">
        <f t="shared" si="23"/>
        <v>-</v>
      </c>
      <c r="E326" s="458" t="str">
        <f>IF(B326="","-",SUM($D$18:D326))</f>
        <v>-</v>
      </c>
      <c r="F326" s="458" t="str">
        <f t="shared" si="24"/>
        <v>-</v>
      </c>
      <c r="G326" s="458" t="str">
        <f>IF(B326="","-",SUM($F$18:F326))</f>
        <v>-</v>
      </c>
      <c r="H326" s="458" t="str">
        <f t="shared" si="25"/>
        <v>-</v>
      </c>
    </row>
    <row r="327" spans="2:8" x14ac:dyDescent="0.2">
      <c r="B327" s="457" t="str">
        <f t="shared" si="26"/>
        <v/>
      </c>
      <c r="C327" s="458" t="str">
        <f t="shared" si="27"/>
        <v>-</v>
      </c>
      <c r="D327" s="458" t="str">
        <f t="shared" si="23"/>
        <v>-</v>
      </c>
      <c r="E327" s="458" t="str">
        <f>IF(B327="","-",SUM($D$18:D327))</f>
        <v>-</v>
      </c>
      <c r="F327" s="458" t="str">
        <f t="shared" si="24"/>
        <v>-</v>
      </c>
      <c r="G327" s="458" t="str">
        <f>IF(B327="","-",SUM($F$18:F327))</f>
        <v>-</v>
      </c>
      <c r="H327" s="458" t="str">
        <f t="shared" si="25"/>
        <v>-</v>
      </c>
    </row>
    <row r="328" spans="2:8" x14ac:dyDescent="0.2">
      <c r="B328" s="457" t="str">
        <f t="shared" si="26"/>
        <v/>
      </c>
      <c r="C328" s="458" t="str">
        <f t="shared" si="27"/>
        <v>-</v>
      </c>
      <c r="D328" s="458" t="str">
        <f t="shared" si="23"/>
        <v>-</v>
      </c>
      <c r="E328" s="458" t="str">
        <f>IF(B328="","-",SUM($D$18:D328))</f>
        <v>-</v>
      </c>
      <c r="F328" s="458" t="str">
        <f t="shared" si="24"/>
        <v>-</v>
      </c>
      <c r="G328" s="458" t="str">
        <f>IF(B328="","-",SUM($F$18:F328))</f>
        <v>-</v>
      </c>
      <c r="H328" s="458" t="str">
        <f t="shared" si="25"/>
        <v>-</v>
      </c>
    </row>
    <row r="329" spans="2:8" x14ac:dyDescent="0.2">
      <c r="B329" s="457" t="str">
        <f t="shared" si="26"/>
        <v/>
      </c>
      <c r="C329" s="458" t="str">
        <f t="shared" si="27"/>
        <v>-</v>
      </c>
      <c r="D329" s="458" t="str">
        <f t="shared" si="23"/>
        <v>-</v>
      </c>
      <c r="E329" s="458" t="str">
        <f>IF(B329="","-",SUM($D$18:D329))</f>
        <v>-</v>
      </c>
      <c r="F329" s="458" t="str">
        <f t="shared" si="24"/>
        <v>-</v>
      </c>
      <c r="G329" s="458" t="str">
        <f>IF(B329="","-",SUM($F$18:F329))</f>
        <v>-</v>
      </c>
      <c r="H329" s="458" t="str">
        <f t="shared" si="25"/>
        <v>-</v>
      </c>
    </row>
    <row r="330" spans="2:8" x14ac:dyDescent="0.2">
      <c r="B330" s="457" t="str">
        <f t="shared" si="26"/>
        <v/>
      </c>
      <c r="C330" s="458" t="str">
        <f t="shared" si="27"/>
        <v>-</v>
      </c>
      <c r="D330" s="458" t="str">
        <f t="shared" si="23"/>
        <v>-</v>
      </c>
      <c r="E330" s="458" t="str">
        <f>IF(B330="","-",SUM($D$18:D330))</f>
        <v>-</v>
      </c>
      <c r="F330" s="458" t="str">
        <f t="shared" si="24"/>
        <v>-</v>
      </c>
      <c r="G330" s="458" t="str">
        <f>IF(B330="","-",SUM($F$18:F330))</f>
        <v>-</v>
      </c>
      <c r="H330" s="458" t="str">
        <f t="shared" si="25"/>
        <v>-</v>
      </c>
    </row>
    <row r="331" spans="2:8" x14ac:dyDescent="0.2">
      <c r="B331" s="457" t="str">
        <f t="shared" si="26"/>
        <v/>
      </c>
      <c r="C331" s="458" t="str">
        <f t="shared" si="27"/>
        <v>-</v>
      </c>
      <c r="D331" s="458" t="str">
        <f t="shared" si="23"/>
        <v>-</v>
      </c>
      <c r="E331" s="458" t="str">
        <f>IF(B331="","-",SUM($D$18:D331))</f>
        <v>-</v>
      </c>
      <c r="F331" s="458" t="str">
        <f t="shared" si="24"/>
        <v>-</v>
      </c>
      <c r="G331" s="458" t="str">
        <f>IF(B331="","-",SUM($F$18:F331))</f>
        <v>-</v>
      </c>
      <c r="H331" s="458" t="str">
        <f t="shared" si="25"/>
        <v>-</v>
      </c>
    </row>
    <row r="332" spans="2:8" x14ac:dyDescent="0.2">
      <c r="B332" s="457" t="str">
        <f t="shared" si="26"/>
        <v/>
      </c>
      <c r="C332" s="458" t="str">
        <f t="shared" si="27"/>
        <v>-</v>
      </c>
      <c r="D332" s="458" t="str">
        <f t="shared" si="23"/>
        <v>-</v>
      </c>
      <c r="E332" s="458" t="str">
        <f>IF(B332="","-",SUM($D$18:D332))</f>
        <v>-</v>
      </c>
      <c r="F332" s="458" t="str">
        <f t="shared" si="24"/>
        <v>-</v>
      </c>
      <c r="G332" s="458" t="str">
        <f>IF(B332="","-",SUM($F$18:F332))</f>
        <v>-</v>
      </c>
      <c r="H332" s="458" t="str">
        <f t="shared" si="25"/>
        <v>-</v>
      </c>
    </row>
    <row r="333" spans="2:8" x14ac:dyDescent="0.2">
      <c r="B333" s="457" t="str">
        <f t="shared" si="26"/>
        <v/>
      </c>
      <c r="C333" s="458" t="str">
        <f t="shared" si="27"/>
        <v>-</v>
      </c>
      <c r="D333" s="458" t="str">
        <f t="shared" si="23"/>
        <v>-</v>
      </c>
      <c r="E333" s="458" t="str">
        <f>IF(B333="","-",SUM($D$18:D333))</f>
        <v>-</v>
      </c>
      <c r="F333" s="458" t="str">
        <f t="shared" si="24"/>
        <v>-</v>
      </c>
      <c r="G333" s="458" t="str">
        <f>IF(B333="","-",SUM($F$18:F333))</f>
        <v>-</v>
      </c>
      <c r="H333" s="458" t="str">
        <f t="shared" si="25"/>
        <v>-</v>
      </c>
    </row>
    <row r="334" spans="2:8" x14ac:dyDescent="0.2">
      <c r="B334" s="457" t="str">
        <f t="shared" si="26"/>
        <v/>
      </c>
      <c r="C334" s="458" t="str">
        <f t="shared" si="27"/>
        <v>-</v>
      </c>
      <c r="D334" s="458" t="str">
        <f t="shared" si="23"/>
        <v>-</v>
      </c>
      <c r="E334" s="458" t="str">
        <f>IF(B334="","-",SUM($D$18:D334))</f>
        <v>-</v>
      </c>
      <c r="F334" s="458" t="str">
        <f t="shared" si="24"/>
        <v>-</v>
      </c>
      <c r="G334" s="458" t="str">
        <f>IF(B334="","-",SUM($F$18:F334))</f>
        <v>-</v>
      </c>
      <c r="H334" s="458" t="str">
        <f t="shared" si="25"/>
        <v>-</v>
      </c>
    </row>
    <row r="335" spans="2:8" x14ac:dyDescent="0.2">
      <c r="B335" s="457" t="str">
        <f t="shared" si="26"/>
        <v/>
      </c>
      <c r="C335" s="458" t="str">
        <f t="shared" si="27"/>
        <v>-</v>
      </c>
      <c r="D335" s="458" t="str">
        <f t="shared" si="23"/>
        <v>-</v>
      </c>
      <c r="E335" s="458" t="str">
        <f>IF(B335="","-",SUM($D$18:D335))</f>
        <v>-</v>
      </c>
      <c r="F335" s="458" t="str">
        <f t="shared" si="24"/>
        <v>-</v>
      </c>
      <c r="G335" s="458" t="str">
        <f>IF(B335="","-",SUM($F$18:F335))</f>
        <v>-</v>
      </c>
      <c r="H335" s="458" t="str">
        <f t="shared" si="25"/>
        <v>-</v>
      </c>
    </row>
    <row r="336" spans="2:8" x14ac:dyDescent="0.2">
      <c r="B336" s="457" t="str">
        <f t="shared" si="26"/>
        <v/>
      </c>
      <c r="C336" s="458" t="str">
        <f t="shared" si="27"/>
        <v>-</v>
      </c>
      <c r="D336" s="458" t="str">
        <f t="shared" si="23"/>
        <v>-</v>
      </c>
      <c r="E336" s="458" t="str">
        <f>IF(B336="","-",SUM($D$18:D336))</f>
        <v>-</v>
      </c>
      <c r="F336" s="458" t="str">
        <f t="shared" si="24"/>
        <v>-</v>
      </c>
      <c r="G336" s="458" t="str">
        <f>IF(B336="","-",SUM($F$18:F336))</f>
        <v>-</v>
      </c>
      <c r="H336" s="458" t="str">
        <f t="shared" si="25"/>
        <v>-</v>
      </c>
    </row>
    <row r="337" spans="2:8" x14ac:dyDescent="0.2">
      <c r="B337" s="457" t="str">
        <f t="shared" si="26"/>
        <v/>
      </c>
      <c r="C337" s="458" t="str">
        <f t="shared" si="27"/>
        <v>-</v>
      </c>
      <c r="D337" s="458" t="str">
        <f t="shared" si="23"/>
        <v>-</v>
      </c>
      <c r="E337" s="458" t="str">
        <f>IF(B337="","-",SUM($D$18:D337))</f>
        <v>-</v>
      </c>
      <c r="F337" s="458" t="str">
        <f t="shared" si="24"/>
        <v>-</v>
      </c>
      <c r="G337" s="458" t="str">
        <f>IF(B337="","-",SUM($F$18:F337))</f>
        <v>-</v>
      </c>
      <c r="H337" s="458" t="str">
        <f t="shared" si="25"/>
        <v>-</v>
      </c>
    </row>
    <row r="338" spans="2:8" x14ac:dyDescent="0.2">
      <c r="B338" s="457" t="str">
        <f t="shared" si="26"/>
        <v/>
      </c>
      <c r="C338" s="458" t="str">
        <f t="shared" si="27"/>
        <v>-</v>
      </c>
      <c r="D338" s="458" t="str">
        <f t="shared" ref="D338:D378" si="28">IF(B338="","-",$D$4/12*H337)</f>
        <v>-</v>
      </c>
      <c r="E338" s="458" t="str">
        <f>IF(B338="","-",SUM($D$18:D338))</f>
        <v>-</v>
      </c>
      <c r="F338" s="458" t="str">
        <f t="shared" ref="F338:F378" si="29">IF(B338="","-",C338-D338)</f>
        <v>-</v>
      </c>
      <c r="G338" s="458" t="str">
        <f>IF(B338="","-",SUM($F$18:F338))</f>
        <v>-</v>
      </c>
      <c r="H338" s="458" t="str">
        <f t="shared" ref="H338:H378" si="30">IF(B338="","-",H337-F338)</f>
        <v>-</v>
      </c>
    </row>
    <row r="339" spans="2:8" x14ac:dyDescent="0.2">
      <c r="B339" s="457" t="str">
        <f t="shared" si="26"/>
        <v/>
      </c>
      <c r="C339" s="458" t="str">
        <f t="shared" si="27"/>
        <v>-</v>
      </c>
      <c r="D339" s="458" t="str">
        <f t="shared" si="28"/>
        <v>-</v>
      </c>
      <c r="E339" s="458" t="str">
        <f>IF(B339="","-",SUM($D$18:D339))</f>
        <v>-</v>
      </c>
      <c r="F339" s="458" t="str">
        <f t="shared" si="29"/>
        <v>-</v>
      </c>
      <c r="G339" s="458" t="str">
        <f>IF(B339="","-",SUM($F$18:F339))</f>
        <v>-</v>
      </c>
      <c r="H339" s="458" t="str">
        <f t="shared" si="30"/>
        <v>-</v>
      </c>
    </row>
    <row r="340" spans="2:8" x14ac:dyDescent="0.2">
      <c r="B340" s="457" t="str">
        <f t="shared" si="26"/>
        <v/>
      </c>
      <c r="C340" s="458" t="str">
        <f t="shared" si="27"/>
        <v>-</v>
      </c>
      <c r="D340" s="458" t="str">
        <f t="shared" si="28"/>
        <v>-</v>
      </c>
      <c r="E340" s="458" t="str">
        <f>IF(B340="","-",SUM($D$18:D340))</f>
        <v>-</v>
      </c>
      <c r="F340" s="458" t="str">
        <f t="shared" si="29"/>
        <v>-</v>
      </c>
      <c r="G340" s="458" t="str">
        <f>IF(B340="","-",SUM($F$18:F340))</f>
        <v>-</v>
      </c>
      <c r="H340" s="458" t="str">
        <f t="shared" si="30"/>
        <v>-</v>
      </c>
    </row>
    <row r="341" spans="2:8" x14ac:dyDescent="0.2">
      <c r="B341" s="457" t="str">
        <f t="shared" si="26"/>
        <v/>
      </c>
      <c r="C341" s="458" t="str">
        <f t="shared" si="27"/>
        <v>-</v>
      </c>
      <c r="D341" s="458" t="str">
        <f t="shared" si="28"/>
        <v>-</v>
      </c>
      <c r="E341" s="458" t="str">
        <f>IF(B341="","-",SUM($D$18:D341))</f>
        <v>-</v>
      </c>
      <c r="F341" s="458" t="str">
        <f t="shared" si="29"/>
        <v>-</v>
      </c>
      <c r="G341" s="458" t="str">
        <f>IF(B341="","-",SUM($F$18:F341))</f>
        <v>-</v>
      </c>
      <c r="H341" s="458" t="str">
        <f t="shared" si="30"/>
        <v>-</v>
      </c>
    </row>
    <row r="342" spans="2:8" x14ac:dyDescent="0.2">
      <c r="B342" s="457" t="str">
        <f t="shared" si="26"/>
        <v/>
      </c>
      <c r="C342" s="458" t="str">
        <f t="shared" si="27"/>
        <v>-</v>
      </c>
      <c r="D342" s="458" t="str">
        <f t="shared" si="28"/>
        <v>-</v>
      </c>
      <c r="E342" s="458" t="str">
        <f>IF(B342="","-",SUM($D$18:D342))</f>
        <v>-</v>
      </c>
      <c r="F342" s="458" t="str">
        <f t="shared" si="29"/>
        <v>-</v>
      </c>
      <c r="G342" s="458" t="str">
        <f>IF(B342="","-",SUM($F$18:F342))</f>
        <v>-</v>
      </c>
      <c r="H342" s="458" t="str">
        <f t="shared" si="30"/>
        <v>-</v>
      </c>
    </row>
    <row r="343" spans="2:8" x14ac:dyDescent="0.2">
      <c r="B343" s="457" t="str">
        <f t="shared" si="26"/>
        <v/>
      </c>
      <c r="C343" s="458" t="str">
        <f t="shared" si="27"/>
        <v>-</v>
      </c>
      <c r="D343" s="458" t="str">
        <f t="shared" si="28"/>
        <v>-</v>
      </c>
      <c r="E343" s="458" t="str">
        <f>IF(B343="","-",SUM($D$18:D343))</f>
        <v>-</v>
      </c>
      <c r="F343" s="458" t="str">
        <f t="shared" si="29"/>
        <v>-</v>
      </c>
      <c r="G343" s="458" t="str">
        <f>IF(B343="","-",SUM($F$18:F343))</f>
        <v>-</v>
      </c>
      <c r="H343" s="458" t="str">
        <f t="shared" si="30"/>
        <v>-</v>
      </c>
    </row>
    <row r="344" spans="2:8" x14ac:dyDescent="0.2">
      <c r="B344" s="457" t="str">
        <f t="shared" si="26"/>
        <v/>
      </c>
      <c r="C344" s="458" t="str">
        <f t="shared" si="27"/>
        <v>-</v>
      </c>
      <c r="D344" s="458" t="str">
        <f t="shared" si="28"/>
        <v>-</v>
      </c>
      <c r="E344" s="458" t="str">
        <f>IF(B344="","-",SUM($D$18:D344))</f>
        <v>-</v>
      </c>
      <c r="F344" s="458" t="str">
        <f t="shared" si="29"/>
        <v>-</v>
      </c>
      <c r="G344" s="458" t="str">
        <f>IF(B344="","-",SUM($F$18:F344))</f>
        <v>-</v>
      </c>
      <c r="H344" s="458" t="str">
        <f t="shared" si="30"/>
        <v>-</v>
      </c>
    </row>
    <row r="345" spans="2:8" x14ac:dyDescent="0.2">
      <c r="B345" s="457" t="str">
        <f t="shared" si="26"/>
        <v/>
      </c>
      <c r="C345" s="458" t="str">
        <f t="shared" si="27"/>
        <v>-</v>
      </c>
      <c r="D345" s="458" t="str">
        <f t="shared" si="28"/>
        <v>-</v>
      </c>
      <c r="E345" s="458" t="str">
        <f>IF(B345="","-",SUM($D$18:D345))</f>
        <v>-</v>
      </c>
      <c r="F345" s="458" t="str">
        <f t="shared" si="29"/>
        <v>-</v>
      </c>
      <c r="G345" s="458" t="str">
        <f>IF(B345="","-",SUM($F$18:F345))</f>
        <v>-</v>
      </c>
      <c r="H345" s="458" t="str">
        <f t="shared" si="30"/>
        <v>-</v>
      </c>
    </row>
    <row r="346" spans="2:8" x14ac:dyDescent="0.2">
      <c r="B346" s="457" t="str">
        <f t="shared" si="26"/>
        <v/>
      </c>
      <c r="C346" s="458" t="str">
        <f t="shared" si="27"/>
        <v>-</v>
      </c>
      <c r="D346" s="458" t="str">
        <f t="shared" si="28"/>
        <v>-</v>
      </c>
      <c r="E346" s="458" t="str">
        <f>IF(B346="","-",SUM($D$18:D346))</f>
        <v>-</v>
      </c>
      <c r="F346" s="458" t="str">
        <f t="shared" si="29"/>
        <v>-</v>
      </c>
      <c r="G346" s="458" t="str">
        <f>IF(B346="","-",SUM($F$18:F346))</f>
        <v>-</v>
      </c>
      <c r="H346" s="458" t="str">
        <f t="shared" si="30"/>
        <v>-</v>
      </c>
    </row>
    <row r="347" spans="2:8" x14ac:dyDescent="0.2">
      <c r="B347" s="457" t="str">
        <f t="shared" si="26"/>
        <v/>
      </c>
      <c r="C347" s="458" t="str">
        <f t="shared" si="27"/>
        <v>-</v>
      </c>
      <c r="D347" s="458" t="str">
        <f t="shared" si="28"/>
        <v>-</v>
      </c>
      <c r="E347" s="458" t="str">
        <f>IF(B347="","-",SUM($D$18:D347))</f>
        <v>-</v>
      </c>
      <c r="F347" s="458" t="str">
        <f t="shared" si="29"/>
        <v>-</v>
      </c>
      <c r="G347" s="458" t="str">
        <f>IF(B347="","-",SUM($F$18:F347))</f>
        <v>-</v>
      </c>
      <c r="H347" s="458" t="str">
        <f t="shared" si="30"/>
        <v>-</v>
      </c>
    </row>
    <row r="348" spans="2:8" x14ac:dyDescent="0.2">
      <c r="B348" s="457" t="str">
        <f t="shared" si="26"/>
        <v/>
      </c>
      <c r="C348" s="458" t="str">
        <f t="shared" si="27"/>
        <v>-</v>
      </c>
      <c r="D348" s="458" t="str">
        <f t="shared" si="28"/>
        <v>-</v>
      </c>
      <c r="E348" s="458" t="str">
        <f>IF(B348="","-",SUM($D$18:D348))</f>
        <v>-</v>
      </c>
      <c r="F348" s="458" t="str">
        <f t="shared" si="29"/>
        <v>-</v>
      </c>
      <c r="G348" s="458" t="str">
        <f>IF(B348="","-",SUM($F$18:F348))</f>
        <v>-</v>
      </c>
      <c r="H348" s="458" t="str">
        <f t="shared" si="30"/>
        <v>-</v>
      </c>
    </row>
    <row r="349" spans="2:8" x14ac:dyDescent="0.2">
      <c r="B349" s="457" t="str">
        <f t="shared" si="26"/>
        <v/>
      </c>
      <c r="C349" s="458" t="str">
        <f t="shared" si="27"/>
        <v>-</v>
      </c>
      <c r="D349" s="458" t="str">
        <f t="shared" si="28"/>
        <v>-</v>
      </c>
      <c r="E349" s="458" t="str">
        <f>IF(B349="","-",SUM($D$18:D349))</f>
        <v>-</v>
      </c>
      <c r="F349" s="458" t="str">
        <f t="shared" si="29"/>
        <v>-</v>
      </c>
      <c r="G349" s="458" t="str">
        <f>IF(B349="","-",SUM($F$18:F349))</f>
        <v>-</v>
      </c>
      <c r="H349" s="458" t="str">
        <f t="shared" si="30"/>
        <v>-</v>
      </c>
    </row>
    <row r="350" spans="2:8" x14ac:dyDescent="0.2">
      <c r="B350" s="457" t="str">
        <f t="shared" ref="B350:B377" si="31">IF(B349&gt;=$D$5*12,"",B349+1)</f>
        <v/>
      </c>
      <c r="C350" s="458" t="str">
        <f t="shared" si="27"/>
        <v>-</v>
      </c>
      <c r="D350" s="458" t="str">
        <f t="shared" si="28"/>
        <v>-</v>
      </c>
      <c r="E350" s="458" t="str">
        <f>IF(B350="","-",SUM($D$18:D350))</f>
        <v>-</v>
      </c>
      <c r="F350" s="458" t="str">
        <f t="shared" si="29"/>
        <v>-</v>
      </c>
      <c r="G350" s="458" t="str">
        <f>IF(B350="","-",SUM($F$18:F350))</f>
        <v>-</v>
      </c>
      <c r="H350" s="458" t="str">
        <f t="shared" si="30"/>
        <v>-</v>
      </c>
    </row>
    <row r="351" spans="2:8" x14ac:dyDescent="0.2">
      <c r="B351" s="457" t="str">
        <f t="shared" si="31"/>
        <v/>
      </c>
      <c r="C351" s="458" t="str">
        <f t="shared" si="27"/>
        <v>-</v>
      </c>
      <c r="D351" s="458" t="str">
        <f t="shared" si="28"/>
        <v>-</v>
      </c>
      <c r="E351" s="458" t="str">
        <f>IF(B351="","-",SUM($D$18:D351))</f>
        <v>-</v>
      </c>
      <c r="F351" s="458" t="str">
        <f t="shared" si="29"/>
        <v>-</v>
      </c>
      <c r="G351" s="458" t="str">
        <f>IF(B351="","-",SUM($F$18:F351))</f>
        <v>-</v>
      </c>
      <c r="H351" s="458" t="str">
        <f t="shared" si="30"/>
        <v>-</v>
      </c>
    </row>
    <row r="352" spans="2:8" x14ac:dyDescent="0.2">
      <c r="B352" s="457" t="str">
        <f t="shared" si="31"/>
        <v/>
      </c>
      <c r="C352" s="458" t="str">
        <f t="shared" si="27"/>
        <v>-</v>
      </c>
      <c r="D352" s="458" t="str">
        <f t="shared" si="28"/>
        <v>-</v>
      </c>
      <c r="E352" s="458" t="str">
        <f>IF(B352="","-",SUM($D$18:D352))</f>
        <v>-</v>
      </c>
      <c r="F352" s="458" t="str">
        <f t="shared" si="29"/>
        <v>-</v>
      </c>
      <c r="G352" s="458" t="str">
        <f>IF(B352="","-",SUM($F$18:F352))</f>
        <v>-</v>
      </c>
      <c r="H352" s="458" t="str">
        <f t="shared" si="30"/>
        <v>-</v>
      </c>
    </row>
    <row r="353" spans="2:8" x14ac:dyDescent="0.2">
      <c r="B353" s="457" t="str">
        <f t="shared" si="31"/>
        <v/>
      </c>
      <c r="C353" s="458" t="str">
        <f t="shared" si="27"/>
        <v>-</v>
      </c>
      <c r="D353" s="458" t="str">
        <f t="shared" si="28"/>
        <v>-</v>
      </c>
      <c r="E353" s="458" t="str">
        <f>IF(B353="","-",SUM($D$18:D353))</f>
        <v>-</v>
      </c>
      <c r="F353" s="458" t="str">
        <f t="shared" si="29"/>
        <v>-</v>
      </c>
      <c r="G353" s="458" t="str">
        <f>IF(B353="","-",SUM($F$18:F353))</f>
        <v>-</v>
      </c>
      <c r="H353" s="458" t="str">
        <f t="shared" si="30"/>
        <v>-</v>
      </c>
    </row>
    <row r="354" spans="2:8" x14ac:dyDescent="0.2">
      <c r="B354" s="457" t="str">
        <f t="shared" si="31"/>
        <v/>
      </c>
      <c r="C354" s="458" t="str">
        <f t="shared" si="27"/>
        <v>-</v>
      </c>
      <c r="D354" s="458" t="str">
        <f t="shared" si="28"/>
        <v>-</v>
      </c>
      <c r="E354" s="458" t="str">
        <f>IF(B354="","-",SUM($D$18:D354))</f>
        <v>-</v>
      </c>
      <c r="F354" s="458" t="str">
        <f t="shared" si="29"/>
        <v>-</v>
      </c>
      <c r="G354" s="458" t="str">
        <f>IF(B354="","-",SUM($F$18:F354))</f>
        <v>-</v>
      </c>
      <c r="H354" s="458" t="str">
        <f t="shared" si="30"/>
        <v>-</v>
      </c>
    </row>
    <row r="355" spans="2:8" x14ac:dyDescent="0.2">
      <c r="B355" s="457" t="str">
        <f t="shared" si="31"/>
        <v/>
      </c>
      <c r="C355" s="458" t="str">
        <f t="shared" si="27"/>
        <v>-</v>
      </c>
      <c r="D355" s="458" t="str">
        <f t="shared" si="28"/>
        <v>-</v>
      </c>
      <c r="E355" s="458" t="str">
        <f>IF(B355="","-",SUM($D$18:D355))</f>
        <v>-</v>
      </c>
      <c r="F355" s="458" t="str">
        <f t="shared" si="29"/>
        <v>-</v>
      </c>
      <c r="G355" s="458" t="str">
        <f>IF(B355="","-",SUM($F$18:F355))</f>
        <v>-</v>
      </c>
      <c r="H355" s="458" t="str">
        <f t="shared" si="30"/>
        <v>-</v>
      </c>
    </row>
    <row r="356" spans="2:8" x14ac:dyDescent="0.2">
      <c r="B356" s="457" t="str">
        <f t="shared" si="31"/>
        <v/>
      </c>
      <c r="C356" s="458" t="str">
        <f t="shared" si="27"/>
        <v>-</v>
      </c>
      <c r="D356" s="458" t="str">
        <f t="shared" si="28"/>
        <v>-</v>
      </c>
      <c r="E356" s="458" t="str">
        <f>IF(B356="","-",SUM($D$18:D356))</f>
        <v>-</v>
      </c>
      <c r="F356" s="458" t="str">
        <f t="shared" si="29"/>
        <v>-</v>
      </c>
      <c r="G356" s="458" t="str">
        <f>IF(B356="","-",SUM($F$18:F356))</f>
        <v>-</v>
      </c>
      <c r="H356" s="458" t="str">
        <f t="shared" si="30"/>
        <v>-</v>
      </c>
    </row>
    <row r="357" spans="2:8" x14ac:dyDescent="0.2">
      <c r="B357" s="457" t="str">
        <f t="shared" si="31"/>
        <v/>
      </c>
      <c r="C357" s="458" t="str">
        <f t="shared" si="27"/>
        <v>-</v>
      </c>
      <c r="D357" s="458" t="str">
        <f t="shared" si="28"/>
        <v>-</v>
      </c>
      <c r="E357" s="458" t="str">
        <f>IF(B357="","-",SUM($D$18:D357))</f>
        <v>-</v>
      </c>
      <c r="F357" s="458" t="str">
        <f t="shared" si="29"/>
        <v>-</v>
      </c>
      <c r="G357" s="458" t="str">
        <f>IF(B357="","-",SUM($F$18:F357))</f>
        <v>-</v>
      </c>
      <c r="H357" s="458" t="str">
        <f t="shared" si="30"/>
        <v>-</v>
      </c>
    </row>
    <row r="358" spans="2:8" x14ac:dyDescent="0.2">
      <c r="B358" s="457" t="str">
        <f t="shared" si="31"/>
        <v/>
      </c>
      <c r="C358" s="458" t="str">
        <f t="shared" si="27"/>
        <v>-</v>
      </c>
      <c r="D358" s="458" t="str">
        <f t="shared" si="28"/>
        <v>-</v>
      </c>
      <c r="E358" s="458" t="str">
        <f>IF(B358="","-",SUM($D$18:D358))</f>
        <v>-</v>
      </c>
      <c r="F358" s="458" t="str">
        <f t="shared" si="29"/>
        <v>-</v>
      </c>
      <c r="G358" s="458" t="str">
        <f>IF(B358="","-",SUM($F$18:F358))</f>
        <v>-</v>
      </c>
      <c r="H358" s="458" t="str">
        <f t="shared" si="30"/>
        <v>-</v>
      </c>
    </row>
    <row r="359" spans="2:8" x14ac:dyDescent="0.2">
      <c r="B359" s="457" t="str">
        <f t="shared" si="31"/>
        <v/>
      </c>
      <c r="C359" s="458" t="str">
        <f t="shared" si="27"/>
        <v>-</v>
      </c>
      <c r="D359" s="458" t="str">
        <f t="shared" si="28"/>
        <v>-</v>
      </c>
      <c r="E359" s="458" t="str">
        <f>IF(B359="","-",SUM($D$18:D359))</f>
        <v>-</v>
      </c>
      <c r="F359" s="458" t="str">
        <f t="shared" si="29"/>
        <v>-</v>
      </c>
      <c r="G359" s="458" t="str">
        <f>IF(B359="","-",SUM($F$18:F359))</f>
        <v>-</v>
      </c>
      <c r="H359" s="458" t="str">
        <f t="shared" si="30"/>
        <v>-</v>
      </c>
    </row>
    <row r="360" spans="2:8" x14ac:dyDescent="0.2">
      <c r="B360" s="457" t="str">
        <f t="shared" si="31"/>
        <v/>
      </c>
      <c r="C360" s="458" t="str">
        <f t="shared" si="27"/>
        <v>-</v>
      </c>
      <c r="D360" s="458" t="str">
        <f t="shared" si="28"/>
        <v>-</v>
      </c>
      <c r="E360" s="458" t="str">
        <f>IF(B360="","-",SUM($D$18:D360))</f>
        <v>-</v>
      </c>
      <c r="F360" s="458" t="str">
        <f t="shared" si="29"/>
        <v>-</v>
      </c>
      <c r="G360" s="458" t="str">
        <f>IF(B360="","-",SUM($F$18:F360))</f>
        <v>-</v>
      </c>
      <c r="H360" s="458" t="str">
        <f t="shared" si="30"/>
        <v>-</v>
      </c>
    </row>
    <row r="361" spans="2:8" x14ac:dyDescent="0.2">
      <c r="B361" s="457" t="str">
        <f t="shared" si="31"/>
        <v/>
      </c>
      <c r="C361" s="458" t="str">
        <f t="shared" si="27"/>
        <v>-</v>
      </c>
      <c r="D361" s="458" t="str">
        <f t="shared" si="28"/>
        <v>-</v>
      </c>
      <c r="E361" s="458" t="str">
        <f>IF(B361="","-",SUM($D$18:D361))</f>
        <v>-</v>
      </c>
      <c r="F361" s="458" t="str">
        <f t="shared" si="29"/>
        <v>-</v>
      </c>
      <c r="G361" s="458" t="str">
        <f>IF(B361="","-",SUM($F$18:F361))</f>
        <v>-</v>
      </c>
      <c r="H361" s="458" t="str">
        <f t="shared" si="30"/>
        <v>-</v>
      </c>
    </row>
    <row r="362" spans="2:8" x14ac:dyDescent="0.2">
      <c r="B362" s="457" t="str">
        <f t="shared" si="31"/>
        <v/>
      </c>
      <c r="C362" s="458" t="str">
        <f t="shared" si="27"/>
        <v>-</v>
      </c>
      <c r="D362" s="458" t="str">
        <f t="shared" si="28"/>
        <v>-</v>
      </c>
      <c r="E362" s="458" t="str">
        <f>IF(B362="","-",SUM($D$18:D362))</f>
        <v>-</v>
      </c>
      <c r="F362" s="458" t="str">
        <f t="shared" si="29"/>
        <v>-</v>
      </c>
      <c r="G362" s="458" t="str">
        <f>IF(B362="","-",SUM($F$18:F362))</f>
        <v>-</v>
      </c>
      <c r="H362" s="458" t="str">
        <f t="shared" si="30"/>
        <v>-</v>
      </c>
    </row>
    <row r="363" spans="2:8" x14ac:dyDescent="0.2">
      <c r="B363" s="457" t="str">
        <f t="shared" si="31"/>
        <v/>
      </c>
      <c r="C363" s="458" t="str">
        <f t="shared" si="27"/>
        <v>-</v>
      </c>
      <c r="D363" s="458" t="str">
        <f t="shared" si="28"/>
        <v>-</v>
      </c>
      <c r="E363" s="458" t="str">
        <f>IF(B363="","-",SUM($D$18:D363))</f>
        <v>-</v>
      </c>
      <c r="F363" s="458" t="str">
        <f t="shared" si="29"/>
        <v>-</v>
      </c>
      <c r="G363" s="458" t="str">
        <f>IF(B363="","-",SUM($F$18:F363))</f>
        <v>-</v>
      </c>
      <c r="H363" s="458" t="str">
        <f t="shared" si="30"/>
        <v>-</v>
      </c>
    </row>
    <row r="364" spans="2:8" x14ac:dyDescent="0.2">
      <c r="B364" s="457" t="str">
        <f t="shared" si="31"/>
        <v/>
      </c>
      <c r="C364" s="458" t="str">
        <f t="shared" si="27"/>
        <v>-</v>
      </c>
      <c r="D364" s="458" t="str">
        <f t="shared" si="28"/>
        <v>-</v>
      </c>
      <c r="E364" s="458" t="str">
        <f>IF(B364="","-",SUM($D$18:D364))</f>
        <v>-</v>
      </c>
      <c r="F364" s="458" t="str">
        <f t="shared" si="29"/>
        <v>-</v>
      </c>
      <c r="G364" s="458" t="str">
        <f>IF(B364="","-",SUM($F$18:F364))</f>
        <v>-</v>
      </c>
      <c r="H364" s="458" t="str">
        <f t="shared" si="30"/>
        <v>-</v>
      </c>
    </row>
    <row r="365" spans="2:8" x14ac:dyDescent="0.2">
      <c r="B365" s="457" t="str">
        <f t="shared" si="31"/>
        <v/>
      </c>
      <c r="C365" s="458" t="str">
        <f t="shared" si="27"/>
        <v>-</v>
      </c>
      <c r="D365" s="458" t="str">
        <f t="shared" si="28"/>
        <v>-</v>
      </c>
      <c r="E365" s="458" t="str">
        <f>IF(B365="","-",SUM($D$18:D365))</f>
        <v>-</v>
      </c>
      <c r="F365" s="458" t="str">
        <f t="shared" si="29"/>
        <v>-</v>
      </c>
      <c r="G365" s="458" t="str">
        <f>IF(B365="","-",SUM($F$18:F365))</f>
        <v>-</v>
      </c>
      <c r="H365" s="458" t="str">
        <f t="shared" si="30"/>
        <v>-</v>
      </c>
    </row>
    <row r="366" spans="2:8" x14ac:dyDescent="0.2">
      <c r="B366" s="457" t="str">
        <f t="shared" si="31"/>
        <v/>
      </c>
      <c r="C366" s="458" t="str">
        <f t="shared" si="27"/>
        <v>-</v>
      </c>
      <c r="D366" s="458" t="str">
        <f t="shared" si="28"/>
        <v>-</v>
      </c>
      <c r="E366" s="458" t="str">
        <f>IF(B366="","-",SUM($D$18:D366))</f>
        <v>-</v>
      </c>
      <c r="F366" s="458" t="str">
        <f t="shared" si="29"/>
        <v>-</v>
      </c>
      <c r="G366" s="458" t="str">
        <f>IF(B366="","-",SUM($F$18:F366))</f>
        <v>-</v>
      </c>
      <c r="H366" s="458" t="str">
        <f t="shared" si="30"/>
        <v>-</v>
      </c>
    </row>
    <row r="367" spans="2:8" x14ac:dyDescent="0.2">
      <c r="B367" s="457" t="str">
        <f t="shared" si="31"/>
        <v/>
      </c>
      <c r="C367" s="458" t="str">
        <f t="shared" si="27"/>
        <v>-</v>
      </c>
      <c r="D367" s="458" t="str">
        <f t="shared" si="28"/>
        <v>-</v>
      </c>
      <c r="E367" s="458" t="str">
        <f>IF(B367="","-",SUM($D$18:D367))</f>
        <v>-</v>
      </c>
      <c r="F367" s="458" t="str">
        <f t="shared" si="29"/>
        <v>-</v>
      </c>
      <c r="G367" s="458" t="str">
        <f>IF(B367="","-",SUM($F$18:F367))</f>
        <v>-</v>
      </c>
      <c r="H367" s="458" t="str">
        <f t="shared" si="30"/>
        <v>-</v>
      </c>
    </row>
    <row r="368" spans="2:8" x14ac:dyDescent="0.2">
      <c r="B368" s="457" t="str">
        <f t="shared" si="31"/>
        <v/>
      </c>
      <c r="C368" s="458" t="str">
        <f t="shared" si="27"/>
        <v>-</v>
      </c>
      <c r="D368" s="458" t="str">
        <f t="shared" si="28"/>
        <v>-</v>
      </c>
      <c r="E368" s="458" t="str">
        <f>IF(B368="","-",SUM($D$18:D368))</f>
        <v>-</v>
      </c>
      <c r="F368" s="458" t="str">
        <f t="shared" si="29"/>
        <v>-</v>
      </c>
      <c r="G368" s="458" t="str">
        <f>IF(B368="","-",SUM($F$18:F368))</f>
        <v>-</v>
      </c>
      <c r="H368" s="458" t="str">
        <f t="shared" si="30"/>
        <v>-</v>
      </c>
    </row>
    <row r="369" spans="2:8" x14ac:dyDescent="0.2">
      <c r="B369" s="457" t="str">
        <f t="shared" si="31"/>
        <v/>
      </c>
      <c r="C369" s="458" t="str">
        <f t="shared" si="27"/>
        <v>-</v>
      </c>
      <c r="D369" s="458" t="str">
        <f t="shared" si="28"/>
        <v>-</v>
      </c>
      <c r="E369" s="458" t="str">
        <f>IF(B369="","-",SUM($D$18:D369))</f>
        <v>-</v>
      </c>
      <c r="F369" s="458" t="str">
        <f t="shared" si="29"/>
        <v>-</v>
      </c>
      <c r="G369" s="458" t="str">
        <f>IF(B369="","-",SUM($F$18:F369))</f>
        <v>-</v>
      </c>
      <c r="H369" s="458" t="str">
        <f t="shared" si="30"/>
        <v>-</v>
      </c>
    </row>
    <row r="370" spans="2:8" x14ac:dyDescent="0.2">
      <c r="B370" s="457" t="str">
        <f t="shared" si="31"/>
        <v/>
      </c>
      <c r="C370" s="458" t="str">
        <f t="shared" si="27"/>
        <v>-</v>
      </c>
      <c r="D370" s="458" t="str">
        <f t="shared" si="28"/>
        <v>-</v>
      </c>
      <c r="E370" s="458" t="str">
        <f>IF(B370="","-",SUM($D$18:D370))</f>
        <v>-</v>
      </c>
      <c r="F370" s="458" t="str">
        <f t="shared" si="29"/>
        <v>-</v>
      </c>
      <c r="G370" s="458" t="str">
        <f>IF(B370="","-",SUM($F$18:F370))</f>
        <v>-</v>
      </c>
      <c r="H370" s="458" t="str">
        <f t="shared" si="30"/>
        <v>-</v>
      </c>
    </row>
    <row r="371" spans="2:8" x14ac:dyDescent="0.2">
      <c r="B371" s="457" t="str">
        <f t="shared" si="31"/>
        <v/>
      </c>
      <c r="C371" s="458" t="str">
        <f t="shared" si="27"/>
        <v>-</v>
      </c>
      <c r="D371" s="458" t="str">
        <f t="shared" si="28"/>
        <v>-</v>
      </c>
      <c r="E371" s="458" t="str">
        <f>IF(B371="","-",SUM($D$18:D371))</f>
        <v>-</v>
      </c>
      <c r="F371" s="458" t="str">
        <f t="shared" si="29"/>
        <v>-</v>
      </c>
      <c r="G371" s="458" t="str">
        <f>IF(B371="","-",SUM($F$18:F371))</f>
        <v>-</v>
      </c>
      <c r="H371" s="458" t="str">
        <f t="shared" si="30"/>
        <v>-</v>
      </c>
    </row>
    <row r="372" spans="2:8" x14ac:dyDescent="0.2">
      <c r="B372" s="457" t="str">
        <f t="shared" si="31"/>
        <v/>
      </c>
      <c r="C372" s="458" t="str">
        <f t="shared" si="27"/>
        <v>-</v>
      </c>
      <c r="D372" s="458" t="str">
        <f t="shared" si="28"/>
        <v>-</v>
      </c>
      <c r="E372" s="458" t="str">
        <f>IF(B372="","-",SUM($D$18:D372))</f>
        <v>-</v>
      </c>
      <c r="F372" s="458" t="str">
        <f t="shared" si="29"/>
        <v>-</v>
      </c>
      <c r="G372" s="458" t="str">
        <f>IF(B372="","-",SUM($F$18:F372))</f>
        <v>-</v>
      </c>
      <c r="H372" s="458" t="str">
        <f t="shared" si="30"/>
        <v>-</v>
      </c>
    </row>
    <row r="373" spans="2:8" x14ac:dyDescent="0.2">
      <c r="B373" s="457" t="str">
        <f t="shared" si="31"/>
        <v/>
      </c>
      <c r="C373" s="458" t="str">
        <f t="shared" si="27"/>
        <v>-</v>
      </c>
      <c r="D373" s="458" t="str">
        <f t="shared" si="28"/>
        <v>-</v>
      </c>
      <c r="E373" s="458" t="str">
        <f>IF(B373="","-",SUM($D$18:D373))</f>
        <v>-</v>
      </c>
      <c r="F373" s="458" t="str">
        <f t="shared" si="29"/>
        <v>-</v>
      </c>
      <c r="G373" s="458" t="str">
        <f>IF(B373="","-",SUM($F$18:F373))</f>
        <v>-</v>
      </c>
      <c r="H373" s="458" t="str">
        <f t="shared" si="30"/>
        <v>-</v>
      </c>
    </row>
    <row r="374" spans="2:8" x14ac:dyDescent="0.2">
      <c r="B374" s="457" t="str">
        <f t="shared" si="31"/>
        <v/>
      </c>
      <c r="C374" s="458" t="str">
        <f t="shared" si="27"/>
        <v>-</v>
      </c>
      <c r="D374" s="458" t="str">
        <f t="shared" si="28"/>
        <v>-</v>
      </c>
      <c r="E374" s="458" t="str">
        <f>IF(B374="","-",SUM($D$18:D374))</f>
        <v>-</v>
      </c>
      <c r="F374" s="458" t="str">
        <f t="shared" si="29"/>
        <v>-</v>
      </c>
      <c r="G374" s="458" t="str">
        <f>IF(B374="","-",SUM($F$18:F374))</f>
        <v>-</v>
      </c>
      <c r="H374" s="458" t="str">
        <f t="shared" si="30"/>
        <v>-</v>
      </c>
    </row>
    <row r="375" spans="2:8" x14ac:dyDescent="0.2">
      <c r="B375" s="457" t="str">
        <f t="shared" si="31"/>
        <v/>
      </c>
      <c r="C375" s="458" t="str">
        <f t="shared" si="27"/>
        <v>-</v>
      </c>
      <c r="D375" s="458" t="str">
        <f t="shared" si="28"/>
        <v>-</v>
      </c>
      <c r="E375" s="458" t="str">
        <f>IF(B375="","-",SUM($D$18:D375))</f>
        <v>-</v>
      </c>
      <c r="F375" s="458" t="str">
        <f t="shared" si="29"/>
        <v>-</v>
      </c>
      <c r="G375" s="458" t="str">
        <f>IF(B375="","-",SUM($F$18:F375))</f>
        <v>-</v>
      </c>
      <c r="H375" s="458" t="str">
        <f t="shared" si="30"/>
        <v>-</v>
      </c>
    </row>
    <row r="376" spans="2:8" x14ac:dyDescent="0.2">
      <c r="B376" s="457" t="str">
        <f t="shared" si="31"/>
        <v/>
      </c>
      <c r="C376" s="458" t="str">
        <f t="shared" si="27"/>
        <v>-</v>
      </c>
      <c r="D376" s="458" t="str">
        <f t="shared" si="28"/>
        <v>-</v>
      </c>
      <c r="E376" s="458" t="str">
        <f>IF(B376="","-",SUM($D$18:D376))</f>
        <v>-</v>
      </c>
      <c r="F376" s="458" t="str">
        <f t="shared" si="29"/>
        <v>-</v>
      </c>
      <c r="G376" s="458" t="str">
        <f>IF(B376="","-",SUM($F$18:F376))</f>
        <v>-</v>
      </c>
      <c r="H376" s="458" t="str">
        <f t="shared" si="30"/>
        <v>-</v>
      </c>
    </row>
    <row r="377" spans="2:8" x14ac:dyDescent="0.2">
      <c r="B377" s="457" t="str">
        <f t="shared" si="31"/>
        <v/>
      </c>
      <c r="C377" s="458" t="str">
        <f t="shared" si="27"/>
        <v>-</v>
      </c>
      <c r="D377" s="458" t="str">
        <f t="shared" si="28"/>
        <v>-</v>
      </c>
      <c r="E377" s="458" t="str">
        <f>IF(B377="","-",SUM($D$18:D377))</f>
        <v>-</v>
      </c>
      <c r="F377" s="458" t="str">
        <f t="shared" si="29"/>
        <v>-</v>
      </c>
      <c r="G377" s="458" t="str">
        <f>IF(B377="","-",SUM($F$18:F377))</f>
        <v>-</v>
      </c>
      <c r="H377" s="458" t="str">
        <f t="shared" si="30"/>
        <v>-</v>
      </c>
    </row>
    <row r="378" spans="2:8" x14ac:dyDescent="0.2">
      <c r="B378" s="457" t="str">
        <f>IF(B377&gt;=$D$5*12,"",B377+1)</f>
        <v/>
      </c>
      <c r="C378" s="458" t="str">
        <f t="shared" si="27"/>
        <v>-</v>
      </c>
      <c r="D378" s="458" t="str">
        <f t="shared" si="28"/>
        <v>-</v>
      </c>
      <c r="E378" s="458" t="str">
        <f>IF(B378="","-",SUM($D$18:D378))</f>
        <v>-</v>
      </c>
      <c r="F378" s="458" t="str">
        <f t="shared" si="29"/>
        <v>-</v>
      </c>
      <c r="G378" s="458" t="str">
        <f>IF(B378="","-",SUM($F$18:F378))</f>
        <v>-</v>
      </c>
      <c r="H378" s="458" t="str">
        <f t="shared" si="30"/>
        <v>-</v>
      </c>
    </row>
    <row r="379" spans="2:8" x14ac:dyDescent="0.2">
      <c r="B379" s="464"/>
      <c r="C379" s="464"/>
      <c r="D379" s="464"/>
      <c r="E379" s="464"/>
      <c r="F379" s="464"/>
      <c r="G379" s="464"/>
      <c r="H379" s="464"/>
    </row>
    <row r="380" spans="2:8" x14ac:dyDescent="0.2">
      <c r="B380" s="10"/>
    </row>
    <row r="381" spans="2:8" x14ac:dyDescent="0.2">
      <c r="B381" s="52" t="str">
        <f ca="1">copyright</f>
        <v>Copyright © 2026 Michael Blank.</v>
      </c>
    </row>
    <row r="382" spans="2:8" x14ac:dyDescent="0.2">
      <c r="B382" s="52" t="s">
        <v>124</v>
      </c>
    </row>
  </sheetData>
  <customSheetViews>
    <customSheetView guid="{A0B83632-25B5-FE44-8A66-2590D6BCDFDC}" showGridLines="0" state="hidden">
      <selection sqref="A1:L1"/>
      <pageMargins left="0.22" right="0.22" top="0.75" bottom="0.75" header="0.5" footer="0.5"/>
      <pageSetup orientation="portrait" r:id="rId1"/>
      <headerFooter alignWithMargins="0"/>
    </customSheetView>
  </customSheetViews>
  <mergeCells count="1">
    <mergeCell ref="A1:L1"/>
  </mergeCells>
  <phoneticPr fontId="6" type="noConversion"/>
  <conditionalFormatting sqref="C13 A13:A14">
    <cfRule type="cellIs" priority="1" stopIfTrue="1" operator="notEqual">
      <formula>0</formula>
    </cfRule>
    <cfRule type="expression" dxfId="1" priority="2" stopIfTrue="1">
      <formula>+Highlighting_Flag</formula>
    </cfRule>
  </conditionalFormatting>
  <dataValidations count="1">
    <dataValidation type="list" allowBlank="1" showInputMessage="1" showErrorMessage="1" sqref="F6" xr:uid="{712C4CE6-DCE7-E946-95AC-210CA641B4F5}">
      <formula1>"Option 1, Option 2"</formula1>
    </dataValidation>
  </dataValidations>
  <pageMargins left="0.22" right="0.22" top="0.75" bottom="0.75" header="0.5" footer="0.5"/>
  <pageSetup orientation="portrait" r:id="rId2"/>
  <headerFooter alignWithMargins="0"/>
  <ignoredErrors>
    <ignoredError sqref="D3:D6" unlocked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A1:T382"/>
  <sheetViews>
    <sheetView showGridLines="0" zoomScaleNormal="100" workbookViewId="0">
      <selection sqref="A1:L1"/>
    </sheetView>
  </sheetViews>
  <sheetFormatPr baseColWidth="10" defaultColWidth="9" defaultRowHeight="16" x14ac:dyDescent="0.2"/>
  <cols>
    <col min="1" max="1" width="2.5703125" style="50" customWidth="1"/>
    <col min="2" max="2" width="11.85546875" style="50" customWidth="1"/>
    <col min="3" max="12" width="14.28515625" style="50" customWidth="1"/>
    <col min="13" max="13" width="9.7109375" style="50" customWidth="1"/>
    <col min="14" max="14" width="3.28515625" style="50" customWidth="1"/>
    <col min="15" max="15" width="10.5703125" style="50" customWidth="1"/>
    <col min="16" max="16" width="3.28515625" style="50" customWidth="1"/>
    <col min="17" max="17" width="11.42578125" style="50" customWidth="1"/>
    <col min="18" max="18" width="3.28515625" style="50" customWidth="1"/>
    <col min="19" max="19" width="13" style="50" customWidth="1"/>
    <col min="20" max="20" width="2.5703125" style="50" customWidth="1"/>
    <col min="21" max="21" width="11.42578125" style="50" customWidth="1"/>
    <col min="22" max="22" width="2.28515625" style="50" customWidth="1"/>
    <col min="23" max="23" width="9.5703125" style="50" customWidth="1"/>
    <col min="24" max="24" width="3.28515625" style="50" customWidth="1"/>
    <col min="25" max="25" width="8.85546875" style="50" customWidth="1"/>
    <col min="26" max="26" width="2.140625" style="50" customWidth="1"/>
    <col min="27" max="27" width="9" style="50" customWidth="1"/>
    <col min="28" max="28" width="2.140625" style="50" customWidth="1"/>
    <col min="29" max="29" width="10" style="50" bestFit="1" customWidth="1"/>
    <col min="30" max="16384" width="9" style="50"/>
  </cols>
  <sheetData>
    <row r="1" spans="1:20" ht="20" x14ac:dyDescent="0.2">
      <c r="A1" s="1223" t="s">
        <v>199</v>
      </c>
      <c r="B1" s="1223"/>
      <c r="C1" s="1223"/>
      <c r="D1" s="1223"/>
      <c r="E1" s="1223"/>
      <c r="F1" s="1223"/>
      <c r="G1" s="1223"/>
      <c r="H1" s="1223"/>
      <c r="I1" s="1223"/>
      <c r="J1" s="1223"/>
      <c r="K1" s="1223"/>
      <c r="L1" s="1223"/>
    </row>
    <row r="2" spans="1:20" ht="17" thickBot="1" x14ac:dyDescent="0.25"/>
    <row r="3" spans="1:20" x14ac:dyDescent="0.2">
      <c r="B3" s="604" t="s">
        <v>114</v>
      </c>
      <c r="C3" s="603"/>
      <c r="D3" s="588">
        <f>'Exit Strategy'!D15</f>
        <v>0</v>
      </c>
      <c r="E3" s="617" t="s">
        <v>518</v>
      </c>
      <c r="H3" s="614" t="s">
        <v>516</v>
      </c>
      <c r="I3" s="10"/>
      <c r="J3" s="113"/>
      <c r="K3" s="113"/>
    </row>
    <row r="4" spans="1:20" x14ac:dyDescent="0.2">
      <c r="B4" s="605" t="s">
        <v>13</v>
      </c>
      <c r="D4" s="589">
        <f>'Exit Strategy'!D12</f>
        <v>0</v>
      </c>
      <c r="E4" s="616" t="s">
        <v>519</v>
      </c>
      <c r="F4" s="113"/>
      <c r="H4" s="612" t="s">
        <v>513</v>
      </c>
      <c r="I4" s="10"/>
      <c r="J4" s="113"/>
      <c r="K4" s="113"/>
    </row>
    <row r="5" spans="1:20" ht="17" thickBot="1" x14ac:dyDescent="0.25">
      <c r="B5" s="605" t="s">
        <v>4</v>
      </c>
      <c r="D5" s="590">
        <f>'Exit Strategy'!D13</f>
        <v>25</v>
      </c>
      <c r="E5" s="113"/>
      <c r="H5" s="612" t="s">
        <v>515</v>
      </c>
      <c r="I5" s="10"/>
      <c r="J5" s="113"/>
      <c r="K5" s="113"/>
    </row>
    <row r="6" spans="1:20" ht="17" thickBot="1" x14ac:dyDescent="0.25">
      <c r="B6" s="580" t="s">
        <v>185</v>
      </c>
      <c r="D6" s="1061">
        <f>'Exit Strategy'!D14</f>
        <v>0</v>
      </c>
      <c r="E6" s="618"/>
      <c r="F6" s="619" t="s">
        <v>516</v>
      </c>
      <c r="H6" s="113"/>
      <c r="I6" s="10"/>
      <c r="J6" s="113"/>
      <c r="K6" s="113"/>
    </row>
    <row r="7" spans="1:20" x14ac:dyDescent="0.2">
      <c r="B7" s="605" t="s">
        <v>3</v>
      </c>
      <c r="D7" s="592">
        <f>IF($F$6="Option 1",PMT(D4/12,(D5*12),-D3),PMT(D4/12,(D5*12)-D6,-D3))</f>
        <v>0</v>
      </c>
      <c r="E7" s="113"/>
      <c r="F7" s="113"/>
      <c r="H7" s="615" t="s">
        <v>517</v>
      </c>
      <c r="I7" s="10"/>
      <c r="J7" s="113"/>
      <c r="K7" s="113"/>
    </row>
    <row r="8" spans="1:20" x14ac:dyDescent="0.2">
      <c r="B8" s="605" t="s">
        <v>17</v>
      </c>
      <c r="D8" s="593">
        <f>SUM(D17:D378)</f>
        <v>0</v>
      </c>
      <c r="E8" s="113"/>
      <c r="F8" s="113"/>
      <c r="H8" s="612" t="s">
        <v>520</v>
      </c>
      <c r="I8" s="10"/>
      <c r="J8" s="113"/>
      <c r="K8" s="113"/>
    </row>
    <row r="9" spans="1:20" ht="17" thickBot="1" x14ac:dyDescent="0.25">
      <c r="B9" s="602" t="s">
        <v>14</v>
      </c>
      <c r="C9" s="608"/>
      <c r="D9" s="595">
        <f>SUM(C18:C29)</f>
        <v>0</v>
      </c>
      <c r="E9" s="113"/>
      <c r="F9" s="113"/>
      <c r="H9" s="613" t="s">
        <v>514</v>
      </c>
      <c r="I9" s="10"/>
      <c r="J9" s="113"/>
      <c r="K9" s="113"/>
    </row>
    <row r="10" spans="1:20" ht="17" thickBot="1" x14ac:dyDescent="0.25">
      <c r="B10" s="469"/>
      <c r="C10" s="470"/>
    </row>
    <row r="11" spans="1:20" x14ac:dyDescent="0.2">
      <c r="B11" s="596" t="s">
        <v>0</v>
      </c>
      <c r="C11" s="597">
        <v>1</v>
      </c>
      <c r="D11" s="597">
        <f t="shared" ref="D11:L11" si="0">C11+1</f>
        <v>2</v>
      </c>
      <c r="E11" s="597">
        <f t="shared" si="0"/>
        <v>3</v>
      </c>
      <c r="F11" s="597">
        <f t="shared" si="0"/>
        <v>4</v>
      </c>
      <c r="G11" s="597">
        <f t="shared" si="0"/>
        <v>5</v>
      </c>
      <c r="H11" s="597">
        <f t="shared" si="0"/>
        <v>6</v>
      </c>
      <c r="I11" s="597">
        <f t="shared" si="0"/>
        <v>7</v>
      </c>
      <c r="J11" s="597">
        <f t="shared" si="0"/>
        <v>8</v>
      </c>
      <c r="K11" s="597">
        <f t="shared" si="0"/>
        <v>9</v>
      </c>
      <c r="L11" s="598">
        <f t="shared" si="0"/>
        <v>10</v>
      </c>
      <c r="N11" s="457"/>
      <c r="P11" s="457"/>
      <c r="R11" s="457"/>
      <c r="S11" s="471"/>
    </row>
    <row r="12" spans="1:20" x14ac:dyDescent="0.2">
      <c r="B12" s="583" t="s">
        <v>8</v>
      </c>
      <c r="C12" s="472">
        <f ca="1">OFFSET($G$17,12*C11,0)</f>
        <v>0</v>
      </c>
      <c r="D12" s="472">
        <f ca="1">OFFSET($G$17,12*D11,0)-C12</f>
        <v>0</v>
      </c>
      <c r="E12" s="472">
        <f ca="1">OFFSET($G$17,12*E11,0)-SUM(C12:D12)</f>
        <v>0</v>
      </c>
      <c r="F12" s="472">
        <f ca="1">OFFSET($G$17,12*F11,0)-SUM(C12:E12)</f>
        <v>0</v>
      </c>
      <c r="G12" s="472">
        <f ca="1">OFFSET($G$17,12*G11,0)-SUM(C12:F12)</f>
        <v>0</v>
      </c>
      <c r="H12" s="472">
        <f ca="1">OFFSET($G$17,12*H11,0)-SUM(C12:G12)</f>
        <v>0</v>
      </c>
      <c r="I12" s="472">
        <f ca="1">OFFSET($G$17,12*I11,0)-SUM(C12:H12)</f>
        <v>0</v>
      </c>
      <c r="J12" s="472">
        <f ca="1">OFFSET($G$17,12*J11,0)-SUM(C12:I12)</f>
        <v>0</v>
      </c>
      <c r="K12" s="472">
        <f ca="1">OFFSET($G$17,12*K11,0)-SUM(C12:J12)</f>
        <v>0</v>
      </c>
      <c r="L12" s="584">
        <f ca="1">OFFSET($G$17,12*L11,0)-SUM(C12:K12)</f>
        <v>0</v>
      </c>
      <c r="S12" s="473"/>
    </row>
    <row r="13" spans="1:20" x14ac:dyDescent="0.2">
      <c r="B13" s="583" t="s">
        <v>19</v>
      </c>
      <c r="C13" s="472">
        <f ca="1">OFFSET($E$17,12*C11,0)</f>
        <v>0</v>
      </c>
      <c r="D13" s="472">
        <f ca="1">OFFSET($E$17,12*D11,0)-C13</f>
        <v>0</v>
      </c>
      <c r="E13" s="472">
        <f ca="1">OFFSET($E$17,12*E11,0)-SUM(C13:D13)</f>
        <v>0</v>
      </c>
      <c r="F13" s="472">
        <f ca="1">OFFSET($E$17,12*F11,0)-SUM(C13:E13)</f>
        <v>0</v>
      </c>
      <c r="G13" s="472">
        <f ca="1">OFFSET($E$17,12*G11,0)-SUM(C13:F13)</f>
        <v>0</v>
      </c>
      <c r="H13" s="472">
        <f ca="1">OFFSET($E$17,12*H11,0)-SUM(C13:G13)</f>
        <v>0</v>
      </c>
      <c r="I13" s="472">
        <f ca="1">OFFSET($E$17,12*I11,0)-SUM(C13:H13)</f>
        <v>0</v>
      </c>
      <c r="J13" s="472">
        <f ca="1">OFFSET($E$17,12*J11,0)-SUM(C13:I13)</f>
        <v>0</v>
      </c>
      <c r="K13" s="472">
        <f ca="1">OFFSET($E$17,12*K11,0)-SUM(C13:J13)</f>
        <v>0</v>
      </c>
      <c r="L13" s="584">
        <f ca="1">OFFSET($E$17,12*L11,0)-SUM(C13:K13)</f>
        <v>0</v>
      </c>
      <c r="S13" s="473"/>
    </row>
    <row r="14" spans="1:20" ht="17" thickBot="1" x14ac:dyDescent="0.25">
      <c r="B14" s="585" t="s">
        <v>22</v>
      </c>
      <c r="C14" s="606">
        <f t="shared" ref="C14:L14" ca="1" si="1">OFFSET($H$17,C11*12,0)</f>
        <v>0</v>
      </c>
      <c r="D14" s="606">
        <f t="shared" ca="1" si="1"/>
        <v>0</v>
      </c>
      <c r="E14" s="606">
        <f t="shared" ca="1" si="1"/>
        <v>0</v>
      </c>
      <c r="F14" s="606">
        <f t="shared" ca="1" si="1"/>
        <v>0</v>
      </c>
      <c r="G14" s="606">
        <f t="shared" ca="1" si="1"/>
        <v>0</v>
      </c>
      <c r="H14" s="606">
        <f t="shared" ca="1" si="1"/>
        <v>0</v>
      </c>
      <c r="I14" s="606">
        <f t="shared" ca="1" si="1"/>
        <v>0</v>
      </c>
      <c r="J14" s="606">
        <f t="shared" ca="1" si="1"/>
        <v>0</v>
      </c>
      <c r="K14" s="606">
        <f t="shared" ca="1" si="1"/>
        <v>0</v>
      </c>
      <c r="L14" s="607">
        <f t="shared" ca="1" si="1"/>
        <v>0</v>
      </c>
      <c r="N14" s="474"/>
      <c r="P14" s="474"/>
      <c r="R14" s="474"/>
      <c r="S14" s="474"/>
      <c r="T14" s="474"/>
    </row>
    <row r="16" spans="1:20" s="479" customFormat="1" ht="34" x14ac:dyDescent="0.2">
      <c r="B16" s="609" t="s">
        <v>1</v>
      </c>
      <c r="C16" s="610" t="s">
        <v>18</v>
      </c>
      <c r="D16" s="611" t="s">
        <v>19</v>
      </c>
      <c r="E16" s="610" t="s">
        <v>20</v>
      </c>
      <c r="F16" s="610" t="s">
        <v>8</v>
      </c>
      <c r="G16" s="610" t="s">
        <v>21</v>
      </c>
      <c r="H16" s="610" t="s">
        <v>22</v>
      </c>
    </row>
    <row r="17" spans="2:9" x14ac:dyDescent="0.2">
      <c r="B17" s="599"/>
      <c r="C17" s="600"/>
      <c r="D17" s="600"/>
      <c r="E17" s="600"/>
      <c r="F17" s="600"/>
      <c r="G17" s="600"/>
      <c r="H17" s="601">
        <f>D3</f>
        <v>0</v>
      </c>
      <c r="I17" s="475"/>
    </row>
    <row r="18" spans="2:9" x14ac:dyDescent="0.2">
      <c r="B18" s="457">
        <f t="shared" ref="B18:B29" si="2">IF(B17&gt;=$D$5*12+$D$6,"",B17+1)</f>
        <v>1</v>
      </c>
      <c r="C18" s="458">
        <f t="shared" ref="C18:C81" si="3">IF(B18="","-",IF(B18&lt;=$D$6,D18,  $D$7))</f>
        <v>0</v>
      </c>
      <c r="D18" s="458">
        <f t="shared" ref="D18:D81" si="4">IF(B18="","-",$D$4/12*H17)</f>
        <v>0</v>
      </c>
      <c r="E18" s="458">
        <f>IF(B18="","-",SUM($D$18:D18))</f>
        <v>0</v>
      </c>
      <c r="F18" s="458">
        <f t="shared" ref="F18:F81" si="5">IF(B18="","-",C18-D18)</f>
        <v>0</v>
      </c>
      <c r="G18" s="458">
        <f>IF(B18="","-",SUM($F$18:F18))</f>
        <v>0</v>
      </c>
      <c r="H18" s="458">
        <f t="shared" ref="H18:H81" si="6">IF(B18="","-",H17-F18)</f>
        <v>0</v>
      </c>
    </row>
    <row r="19" spans="2:9" x14ac:dyDescent="0.2">
      <c r="B19" s="457">
        <f t="shared" si="2"/>
        <v>2</v>
      </c>
      <c r="C19" s="458">
        <f t="shared" si="3"/>
        <v>0</v>
      </c>
      <c r="D19" s="458">
        <f t="shared" si="4"/>
        <v>0</v>
      </c>
      <c r="E19" s="458">
        <f>IF(B19="","-",SUM($D$18:D19))</f>
        <v>0</v>
      </c>
      <c r="F19" s="458">
        <f t="shared" si="5"/>
        <v>0</v>
      </c>
      <c r="G19" s="458">
        <f>IF(B19="","-",SUM($F$18:F19))</f>
        <v>0</v>
      </c>
      <c r="H19" s="458">
        <f t="shared" si="6"/>
        <v>0</v>
      </c>
    </row>
    <row r="20" spans="2:9" x14ac:dyDescent="0.2">
      <c r="B20" s="457">
        <f t="shared" si="2"/>
        <v>3</v>
      </c>
      <c r="C20" s="458">
        <f t="shared" si="3"/>
        <v>0</v>
      </c>
      <c r="D20" s="458">
        <f t="shared" si="4"/>
        <v>0</v>
      </c>
      <c r="E20" s="458">
        <f>IF(B20="","-",SUM($D$18:D20))</f>
        <v>0</v>
      </c>
      <c r="F20" s="458">
        <f t="shared" si="5"/>
        <v>0</v>
      </c>
      <c r="G20" s="458">
        <f>IF(B20="","-",SUM($F$18:F20))</f>
        <v>0</v>
      </c>
      <c r="H20" s="458">
        <f t="shared" si="6"/>
        <v>0</v>
      </c>
    </row>
    <row r="21" spans="2:9" x14ac:dyDescent="0.2">
      <c r="B21" s="457">
        <f t="shared" si="2"/>
        <v>4</v>
      </c>
      <c r="C21" s="458">
        <f t="shared" si="3"/>
        <v>0</v>
      </c>
      <c r="D21" s="458">
        <f t="shared" si="4"/>
        <v>0</v>
      </c>
      <c r="E21" s="458">
        <f>IF(B21="","-",SUM($D$18:D21))</f>
        <v>0</v>
      </c>
      <c r="F21" s="458">
        <f t="shared" si="5"/>
        <v>0</v>
      </c>
      <c r="G21" s="458">
        <f>IF(B21="","-",SUM($F$18:F21))</f>
        <v>0</v>
      </c>
      <c r="H21" s="458">
        <f t="shared" si="6"/>
        <v>0</v>
      </c>
    </row>
    <row r="22" spans="2:9" x14ac:dyDescent="0.2">
      <c r="B22" s="457">
        <f t="shared" si="2"/>
        <v>5</v>
      </c>
      <c r="C22" s="458">
        <f t="shared" si="3"/>
        <v>0</v>
      </c>
      <c r="D22" s="458">
        <f t="shared" si="4"/>
        <v>0</v>
      </c>
      <c r="E22" s="458">
        <f>IF(B22="","-",SUM($D$18:D22))</f>
        <v>0</v>
      </c>
      <c r="F22" s="458">
        <f t="shared" si="5"/>
        <v>0</v>
      </c>
      <c r="G22" s="458">
        <f>IF(B22="","-",SUM($F$18:F22))</f>
        <v>0</v>
      </c>
      <c r="H22" s="458">
        <f t="shared" si="6"/>
        <v>0</v>
      </c>
    </row>
    <row r="23" spans="2:9" x14ac:dyDescent="0.2">
      <c r="B23" s="457">
        <f t="shared" si="2"/>
        <v>6</v>
      </c>
      <c r="C23" s="458">
        <f t="shared" si="3"/>
        <v>0</v>
      </c>
      <c r="D23" s="458">
        <f t="shared" si="4"/>
        <v>0</v>
      </c>
      <c r="E23" s="458">
        <f>IF(B23="","-",SUM($D$18:D23))</f>
        <v>0</v>
      </c>
      <c r="F23" s="458">
        <f t="shared" si="5"/>
        <v>0</v>
      </c>
      <c r="G23" s="458">
        <f>IF(B23="","-",SUM($F$18:F23))</f>
        <v>0</v>
      </c>
      <c r="H23" s="458">
        <f t="shared" si="6"/>
        <v>0</v>
      </c>
    </row>
    <row r="24" spans="2:9" x14ac:dyDescent="0.2">
      <c r="B24" s="457">
        <f t="shared" si="2"/>
        <v>7</v>
      </c>
      <c r="C24" s="458">
        <f t="shared" si="3"/>
        <v>0</v>
      </c>
      <c r="D24" s="458">
        <f t="shared" si="4"/>
        <v>0</v>
      </c>
      <c r="E24" s="458">
        <f>IF(B24="","-",SUM($D$18:D24))</f>
        <v>0</v>
      </c>
      <c r="F24" s="458">
        <f t="shared" si="5"/>
        <v>0</v>
      </c>
      <c r="G24" s="458">
        <f>IF(B24="","-",SUM($F$18:F24))</f>
        <v>0</v>
      </c>
      <c r="H24" s="458">
        <f t="shared" si="6"/>
        <v>0</v>
      </c>
    </row>
    <row r="25" spans="2:9" x14ac:dyDescent="0.2">
      <c r="B25" s="457">
        <f t="shared" si="2"/>
        <v>8</v>
      </c>
      <c r="C25" s="458">
        <f t="shared" si="3"/>
        <v>0</v>
      </c>
      <c r="D25" s="458">
        <f t="shared" si="4"/>
        <v>0</v>
      </c>
      <c r="E25" s="458">
        <f>IF(B25="","-",SUM($D$18:D25))</f>
        <v>0</v>
      </c>
      <c r="F25" s="458">
        <f t="shared" si="5"/>
        <v>0</v>
      </c>
      <c r="G25" s="458">
        <f>IF(B25="","-",SUM($F$18:F25))</f>
        <v>0</v>
      </c>
      <c r="H25" s="458">
        <f t="shared" si="6"/>
        <v>0</v>
      </c>
    </row>
    <row r="26" spans="2:9" x14ac:dyDescent="0.2">
      <c r="B26" s="457">
        <f t="shared" si="2"/>
        <v>9</v>
      </c>
      <c r="C26" s="458">
        <f t="shared" si="3"/>
        <v>0</v>
      </c>
      <c r="D26" s="458">
        <f t="shared" si="4"/>
        <v>0</v>
      </c>
      <c r="E26" s="458">
        <f>IF(B26="","-",SUM($D$18:D26))</f>
        <v>0</v>
      </c>
      <c r="F26" s="458">
        <f t="shared" si="5"/>
        <v>0</v>
      </c>
      <c r="G26" s="458">
        <f>IF(B26="","-",SUM($F$18:F26))</f>
        <v>0</v>
      </c>
      <c r="H26" s="458">
        <f t="shared" si="6"/>
        <v>0</v>
      </c>
    </row>
    <row r="27" spans="2:9" x14ac:dyDescent="0.2">
      <c r="B27" s="457">
        <f t="shared" si="2"/>
        <v>10</v>
      </c>
      <c r="C27" s="458">
        <f t="shared" si="3"/>
        <v>0</v>
      </c>
      <c r="D27" s="458">
        <f t="shared" si="4"/>
        <v>0</v>
      </c>
      <c r="E27" s="458">
        <f>IF(B27="","-",SUM($D$18:D27))</f>
        <v>0</v>
      </c>
      <c r="F27" s="458">
        <f t="shared" si="5"/>
        <v>0</v>
      </c>
      <c r="G27" s="458">
        <f>IF(B27="","-",SUM($F$18:F27))</f>
        <v>0</v>
      </c>
      <c r="H27" s="458">
        <f t="shared" si="6"/>
        <v>0</v>
      </c>
    </row>
    <row r="28" spans="2:9" x14ac:dyDescent="0.2">
      <c r="B28" s="457">
        <f t="shared" si="2"/>
        <v>11</v>
      </c>
      <c r="C28" s="458">
        <f t="shared" si="3"/>
        <v>0</v>
      </c>
      <c r="D28" s="458">
        <f t="shared" si="4"/>
        <v>0</v>
      </c>
      <c r="E28" s="458">
        <f>IF(B28="","-",SUM($D$18:D28))</f>
        <v>0</v>
      </c>
      <c r="F28" s="458">
        <f t="shared" si="5"/>
        <v>0</v>
      </c>
      <c r="G28" s="458">
        <f>IF(B28="","-",SUM($F$18:F28))</f>
        <v>0</v>
      </c>
      <c r="H28" s="458">
        <f t="shared" si="6"/>
        <v>0</v>
      </c>
    </row>
    <row r="29" spans="2:9" x14ac:dyDescent="0.2">
      <c r="B29" s="459">
        <f t="shared" si="2"/>
        <v>12</v>
      </c>
      <c r="C29" s="460">
        <f t="shared" si="3"/>
        <v>0</v>
      </c>
      <c r="D29" s="460">
        <f t="shared" si="4"/>
        <v>0</v>
      </c>
      <c r="E29" s="460">
        <f>IF(B29="","-",SUM($D$18:D29))</f>
        <v>0</v>
      </c>
      <c r="F29" s="460">
        <f t="shared" si="5"/>
        <v>0</v>
      </c>
      <c r="G29" s="460">
        <f>IF(B29="","-",SUM($F$18:F29))</f>
        <v>0</v>
      </c>
      <c r="H29" s="460">
        <f t="shared" si="6"/>
        <v>0</v>
      </c>
      <c r="I29" s="476"/>
    </row>
    <row r="30" spans="2:9" x14ac:dyDescent="0.2">
      <c r="B30" s="457">
        <f t="shared" ref="B30:B93" si="7">IF(B29&gt;=$D$5*12,"",B29+1)</f>
        <v>13</v>
      </c>
      <c r="C30" s="458">
        <f t="shared" si="3"/>
        <v>0</v>
      </c>
      <c r="D30" s="458">
        <f t="shared" si="4"/>
        <v>0</v>
      </c>
      <c r="E30" s="458">
        <f>IF(B30="","-",SUM($D$18:D30))</f>
        <v>0</v>
      </c>
      <c r="F30" s="458">
        <f t="shared" si="5"/>
        <v>0</v>
      </c>
      <c r="G30" s="458">
        <f>IF(B30="","-",SUM($F$18:F30))</f>
        <v>0</v>
      </c>
      <c r="H30" s="458">
        <f t="shared" si="6"/>
        <v>0</v>
      </c>
    </row>
    <row r="31" spans="2:9" x14ac:dyDescent="0.2">
      <c r="B31" s="457">
        <f t="shared" si="7"/>
        <v>14</v>
      </c>
      <c r="C31" s="458">
        <f t="shared" si="3"/>
        <v>0</v>
      </c>
      <c r="D31" s="458">
        <f t="shared" si="4"/>
        <v>0</v>
      </c>
      <c r="E31" s="458">
        <f>IF(B31="","-",SUM($D$18:D31))</f>
        <v>0</v>
      </c>
      <c r="F31" s="458">
        <f t="shared" si="5"/>
        <v>0</v>
      </c>
      <c r="G31" s="458">
        <f>IF(B31="","-",SUM($F$18:F31))</f>
        <v>0</v>
      </c>
      <c r="H31" s="458">
        <f t="shared" si="6"/>
        <v>0</v>
      </c>
    </row>
    <row r="32" spans="2:9" x14ac:dyDescent="0.2">
      <c r="B32" s="457">
        <f t="shared" si="7"/>
        <v>15</v>
      </c>
      <c r="C32" s="458">
        <f t="shared" si="3"/>
        <v>0</v>
      </c>
      <c r="D32" s="458">
        <f t="shared" si="4"/>
        <v>0</v>
      </c>
      <c r="E32" s="458">
        <f>IF(B32="","-",SUM($D$18:D32))</f>
        <v>0</v>
      </c>
      <c r="F32" s="458">
        <f t="shared" si="5"/>
        <v>0</v>
      </c>
      <c r="G32" s="458">
        <f>IF(B32="","-",SUM($F$18:F32))</f>
        <v>0</v>
      </c>
      <c r="H32" s="458">
        <f t="shared" si="6"/>
        <v>0</v>
      </c>
    </row>
    <row r="33" spans="2:11" x14ac:dyDescent="0.2">
      <c r="B33" s="457">
        <f t="shared" si="7"/>
        <v>16</v>
      </c>
      <c r="C33" s="458">
        <f t="shared" si="3"/>
        <v>0</v>
      </c>
      <c r="D33" s="458">
        <f t="shared" si="4"/>
        <v>0</v>
      </c>
      <c r="E33" s="458">
        <f>IF(B33="","-",SUM($D$18:D33))</f>
        <v>0</v>
      </c>
      <c r="F33" s="458">
        <f t="shared" si="5"/>
        <v>0</v>
      </c>
      <c r="G33" s="458">
        <f>IF(B33="","-",SUM($F$18:F33))</f>
        <v>0</v>
      </c>
      <c r="H33" s="458">
        <f t="shared" si="6"/>
        <v>0</v>
      </c>
    </row>
    <row r="34" spans="2:11" x14ac:dyDescent="0.2">
      <c r="B34" s="457">
        <f t="shared" si="7"/>
        <v>17</v>
      </c>
      <c r="C34" s="458">
        <f t="shared" si="3"/>
        <v>0</v>
      </c>
      <c r="D34" s="458">
        <f t="shared" si="4"/>
        <v>0</v>
      </c>
      <c r="E34" s="458">
        <f>IF(B34="","-",SUM($D$18:D34))</f>
        <v>0</v>
      </c>
      <c r="F34" s="458">
        <f t="shared" si="5"/>
        <v>0</v>
      </c>
      <c r="G34" s="458">
        <f>IF(B34="","-",SUM($F$18:F34))</f>
        <v>0</v>
      </c>
      <c r="H34" s="458">
        <f t="shared" si="6"/>
        <v>0</v>
      </c>
    </row>
    <row r="35" spans="2:11" x14ac:dyDescent="0.2">
      <c r="B35" s="457">
        <f t="shared" si="7"/>
        <v>18</v>
      </c>
      <c r="C35" s="458">
        <f t="shared" si="3"/>
        <v>0</v>
      </c>
      <c r="D35" s="458">
        <f t="shared" si="4"/>
        <v>0</v>
      </c>
      <c r="E35" s="458">
        <f>IF(B35="","-",SUM($D$18:D35))</f>
        <v>0</v>
      </c>
      <c r="F35" s="458">
        <f t="shared" si="5"/>
        <v>0</v>
      </c>
      <c r="G35" s="458">
        <f>IF(B35="","-",SUM($F$18:F35))</f>
        <v>0</v>
      </c>
      <c r="H35" s="458">
        <f t="shared" si="6"/>
        <v>0</v>
      </c>
    </row>
    <row r="36" spans="2:11" x14ac:dyDescent="0.2">
      <c r="B36" s="457">
        <f t="shared" si="7"/>
        <v>19</v>
      </c>
      <c r="C36" s="458">
        <f t="shared" si="3"/>
        <v>0</v>
      </c>
      <c r="D36" s="458">
        <f t="shared" si="4"/>
        <v>0</v>
      </c>
      <c r="E36" s="458">
        <f>IF(B36="","-",SUM($D$18:D36))</f>
        <v>0</v>
      </c>
      <c r="F36" s="458">
        <f t="shared" si="5"/>
        <v>0</v>
      </c>
      <c r="G36" s="458">
        <f>IF(B36="","-",SUM($F$18:F36))</f>
        <v>0</v>
      </c>
      <c r="H36" s="458">
        <f t="shared" si="6"/>
        <v>0</v>
      </c>
    </row>
    <row r="37" spans="2:11" x14ac:dyDescent="0.2">
      <c r="B37" s="457">
        <f t="shared" si="7"/>
        <v>20</v>
      </c>
      <c r="C37" s="458">
        <f t="shared" si="3"/>
        <v>0</v>
      </c>
      <c r="D37" s="458">
        <f t="shared" si="4"/>
        <v>0</v>
      </c>
      <c r="E37" s="458">
        <f>IF(B37="","-",SUM($D$18:D37))</f>
        <v>0</v>
      </c>
      <c r="F37" s="458">
        <f t="shared" si="5"/>
        <v>0</v>
      </c>
      <c r="G37" s="458">
        <f>IF(B37="","-",SUM($F$18:F37))</f>
        <v>0</v>
      </c>
      <c r="H37" s="458">
        <f t="shared" si="6"/>
        <v>0</v>
      </c>
    </row>
    <row r="38" spans="2:11" x14ac:dyDescent="0.2">
      <c r="B38" s="457">
        <f t="shared" si="7"/>
        <v>21</v>
      </c>
      <c r="C38" s="458">
        <f t="shared" si="3"/>
        <v>0</v>
      </c>
      <c r="D38" s="458">
        <f t="shared" si="4"/>
        <v>0</v>
      </c>
      <c r="E38" s="458">
        <f>IF(B38="","-",SUM($D$18:D38))</f>
        <v>0</v>
      </c>
      <c r="F38" s="458">
        <f t="shared" si="5"/>
        <v>0</v>
      </c>
      <c r="G38" s="458">
        <f>IF(B38="","-",SUM($F$18:F38))</f>
        <v>0</v>
      </c>
      <c r="H38" s="458">
        <f t="shared" si="6"/>
        <v>0</v>
      </c>
    </row>
    <row r="39" spans="2:11" x14ac:dyDescent="0.2">
      <c r="B39" s="457">
        <f t="shared" si="7"/>
        <v>22</v>
      </c>
      <c r="C39" s="458">
        <f t="shared" si="3"/>
        <v>0</v>
      </c>
      <c r="D39" s="458">
        <f t="shared" si="4"/>
        <v>0</v>
      </c>
      <c r="E39" s="458">
        <f>IF(B39="","-",SUM($D$18:D39))</f>
        <v>0</v>
      </c>
      <c r="F39" s="458">
        <f t="shared" si="5"/>
        <v>0</v>
      </c>
      <c r="G39" s="458">
        <f>IF(B39="","-",SUM($F$18:F39))</f>
        <v>0</v>
      </c>
      <c r="H39" s="458">
        <f t="shared" si="6"/>
        <v>0</v>
      </c>
    </row>
    <row r="40" spans="2:11" x14ac:dyDescent="0.2">
      <c r="B40" s="457">
        <f t="shared" si="7"/>
        <v>23</v>
      </c>
      <c r="C40" s="458">
        <f t="shared" si="3"/>
        <v>0</v>
      </c>
      <c r="D40" s="458">
        <f t="shared" si="4"/>
        <v>0</v>
      </c>
      <c r="E40" s="458">
        <f>IF(B40="","-",SUM($D$18:D40))</f>
        <v>0</v>
      </c>
      <c r="F40" s="458">
        <f t="shared" si="5"/>
        <v>0</v>
      </c>
      <c r="G40" s="458">
        <f>IF(B40="","-",SUM($F$18:F40))</f>
        <v>0</v>
      </c>
      <c r="H40" s="458">
        <f t="shared" si="6"/>
        <v>0</v>
      </c>
    </row>
    <row r="41" spans="2:11" x14ac:dyDescent="0.2">
      <c r="B41" s="459">
        <f t="shared" si="7"/>
        <v>24</v>
      </c>
      <c r="C41" s="460">
        <f t="shared" si="3"/>
        <v>0</v>
      </c>
      <c r="D41" s="460">
        <f t="shared" si="4"/>
        <v>0</v>
      </c>
      <c r="E41" s="460">
        <f>IF(B41="","-",SUM($D$18:D41))</f>
        <v>0</v>
      </c>
      <c r="F41" s="460">
        <f t="shared" si="5"/>
        <v>0</v>
      </c>
      <c r="G41" s="460">
        <f>IF(B41="","-",SUM($F$18:F41))</f>
        <v>0</v>
      </c>
      <c r="H41" s="460">
        <f t="shared" si="6"/>
        <v>0</v>
      </c>
      <c r="I41" s="476"/>
      <c r="K41" s="478"/>
    </row>
    <row r="42" spans="2:11" x14ac:dyDescent="0.2">
      <c r="B42" s="457">
        <f t="shared" si="7"/>
        <v>25</v>
      </c>
      <c r="C42" s="458">
        <f t="shared" si="3"/>
        <v>0</v>
      </c>
      <c r="D42" s="458">
        <f t="shared" si="4"/>
        <v>0</v>
      </c>
      <c r="E42" s="458">
        <f>IF(B42="","-",SUM($D$18:D42))</f>
        <v>0</v>
      </c>
      <c r="F42" s="458">
        <f t="shared" si="5"/>
        <v>0</v>
      </c>
      <c r="G42" s="458">
        <f>IF(B42="","-",SUM($F$18:F42))</f>
        <v>0</v>
      </c>
      <c r="H42" s="458">
        <f t="shared" si="6"/>
        <v>0</v>
      </c>
    </row>
    <row r="43" spans="2:11" x14ac:dyDescent="0.2">
      <c r="B43" s="457">
        <f t="shared" si="7"/>
        <v>26</v>
      </c>
      <c r="C43" s="458">
        <f t="shared" si="3"/>
        <v>0</v>
      </c>
      <c r="D43" s="458">
        <f t="shared" si="4"/>
        <v>0</v>
      </c>
      <c r="E43" s="458">
        <f>IF(B43="","-",SUM($D$18:D43))</f>
        <v>0</v>
      </c>
      <c r="F43" s="458">
        <f t="shared" si="5"/>
        <v>0</v>
      </c>
      <c r="G43" s="458">
        <f>IF(B43="","-",SUM($F$18:F43))</f>
        <v>0</v>
      </c>
      <c r="H43" s="458">
        <f t="shared" si="6"/>
        <v>0</v>
      </c>
    </row>
    <row r="44" spans="2:11" x14ac:dyDescent="0.2">
      <c r="B44" s="457">
        <f t="shared" si="7"/>
        <v>27</v>
      </c>
      <c r="C44" s="458">
        <f t="shared" si="3"/>
        <v>0</v>
      </c>
      <c r="D44" s="458">
        <f t="shared" si="4"/>
        <v>0</v>
      </c>
      <c r="E44" s="458">
        <f>IF(B44="","-",SUM($D$18:D44))</f>
        <v>0</v>
      </c>
      <c r="F44" s="458">
        <f t="shared" si="5"/>
        <v>0</v>
      </c>
      <c r="G44" s="458">
        <f>IF(B44="","-",SUM($F$18:F44))</f>
        <v>0</v>
      </c>
      <c r="H44" s="458">
        <f t="shared" si="6"/>
        <v>0</v>
      </c>
    </row>
    <row r="45" spans="2:11" x14ac:dyDescent="0.2">
      <c r="B45" s="457">
        <f t="shared" si="7"/>
        <v>28</v>
      </c>
      <c r="C45" s="458">
        <f t="shared" si="3"/>
        <v>0</v>
      </c>
      <c r="D45" s="458">
        <f t="shared" si="4"/>
        <v>0</v>
      </c>
      <c r="E45" s="458">
        <f>IF(B45="","-",SUM($D$18:D45))</f>
        <v>0</v>
      </c>
      <c r="F45" s="458">
        <f t="shared" si="5"/>
        <v>0</v>
      </c>
      <c r="G45" s="458">
        <f>IF(B45="","-",SUM($F$18:F45))</f>
        <v>0</v>
      </c>
      <c r="H45" s="458">
        <f t="shared" si="6"/>
        <v>0</v>
      </c>
    </row>
    <row r="46" spans="2:11" x14ac:dyDescent="0.2">
      <c r="B46" s="457">
        <f t="shared" si="7"/>
        <v>29</v>
      </c>
      <c r="C46" s="458">
        <f t="shared" si="3"/>
        <v>0</v>
      </c>
      <c r="D46" s="458">
        <f t="shared" si="4"/>
        <v>0</v>
      </c>
      <c r="E46" s="458">
        <f>IF(B46="","-",SUM($D$18:D46))</f>
        <v>0</v>
      </c>
      <c r="F46" s="458">
        <f t="shared" si="5"/>
        <v>0</v>
      </c>
      <c r="G46" s="458">
        <f>IF(B46="","-",SUM($F$18:F46))</f>
        <v>0</v>
      </c>
      <c r="H46" s="458">
        <f t="shared" si="6"/>
        <v>0</v>
      </c>
    </row>
    <row r="47" spans="2:11" x14ac:dyDescent="0.2">
      <c r="B47" s="457">
        <f t="shared" si="7"/>
        <v>30</v>
      </c>
      <c r="C47" s="458">
        <f t="shared" si="3"/>
        <v>0</v>
      </c>
      <c r="D47" s="458">
        <f t="shared" si="4"/>
        <v>0</v>
      </c>
      <c r="E47" s="458">
        <f>IF(B47="","-",SUM($D$18:D47))</f>
        <v>0</v>
      </c>
      <c r="F47" s="458">
        <f t="shared" si="5"/>
        <v>0</v>
      </c>
      <c r="G47" s="458">
        <f>IF(B47="","-",SUM($F$18:F47))</f>
        <v>0</v>
      </c>
      <c r="H47" s="458">
        <f t="shared" si="6"/>
        <v>0</v>
      </c>
    </row>
    <row r="48" spans="2:11" x14ac:dyDescent="0.2">
      <c r="B48" s="457">
        <f t="shared" si="7"/>
        <v>31</v>
      </c>
      <c r="C48" s="458">
        <f t="shared" si="3"/>
        <v>0</v>
      </c>
      <c r="D48" s="458">
        <f t="shared" si="4"/>
        <v>0</v>
      </c>
      <c r="E48" s="458">
        <f>IF(B48="","-",SUM($D$18:D48))</f>
        <v>0</v>
      </c>
      <c r="F48" s="458">
        <f t="shared" si="5"/>
        <v>0</v>
      </c>
      <c r="G48" s="458">
        <f>IF(B48="","-",SUM($F$18:F48))</f>
        <v>0</v>
      </c>
      <c r="H48" s="458">
        <f t="shared" si="6"/>
        <v>0</v>
      </c>
    </row>
    <row r="49" spans="2:9" x14ac:dyDescent="0.2">
      <c r="B49" s="457">
        <f t="shared" si="7"/>
        <v>32</v>
      </c>
      <c r="C49" s="458">
        <f t="shared" si="3"/>
        <v>0</v>
      </c>
      <c r="D49" s="458">
        <f t="shared" si="4"/>
        <v>0</v>
      </c>
      <c r="E49" s="458">
        <f>IF(B49="","-",SUM($D$18:D49))</f>
        <v>0</v>
      </c>
      <c r="F49" s="458">
        <f t="shared" si="5"/>
        <v>0</v>
      </c>
      <c r="G49" s="458">
        <f>IF(B49="","-",SUM($F$18:F49))</f>
        <v>0</v>
      </c>
      <c r="H49" s="458">
        <f t="shared" si="6"/>
        <v>0</v>
      </c>
    </row>
    <row r="50" spans="2:9" x14ac:dyDescent="0.2">
      <c r="B50" s="457">
        <f t="shared" si="7"/>
        <v>33</v>
      </c>
      <c r="C50" s="458">
        <f t="shared" si="3"/>
        <v>0</v>
      </c>
      <c r="D50" s="458">
        <f t="shared" si="4"/>
        <v>0</v>
      </c>
      <c r="E50" s="458">
        <f>IF(B50="","-",SUM($D$18:D50))</f>
        <v>0</v>
      </c>
      <c r="F50" s="458">
        <f t="shared" si="5"/>
        <v>0</v>
      </c>
      <c r="G50" s="458">
        <f>IF(B50="","-",SUM($F$18:F50))</f>
        <v>0</v>
      </c>
      <c r="H50" s="458">
        <f t="shared" si="6"/>
        <v>0</v>
      </c>
    </row>
    <row r="51" spans="2:9" x14ac:dyDescent="0.2">
      <c r="B51" s="457">
        <f t="shared" si="7"/>
        <v>34</v>
      </c>
      <c r="C51" s="458">
        <f t="shared" si="3"/>
        <v>0</v>
      </c>
      <c r="D51" s="458">
        <f t="shared" si="4"/>
        <v>0</v>
      </c>
      <c r="E51" s="458">
        <f>IF(B51="","-",SUM($D$18:D51))</f>
        <v>0</v>
      </c>
      <c r="F51" s="458">
        <f t="shared" si="5"/>
        <v>0</v>
      </c>
      <c r="G51" s="458">
        <f>IF(B51="","-",SUM($F$18:F51))</f>
        <v>0</v>
      </c>
      <c r="H51" s="458">
        <f t="shared" si="6"/>
        <v>0</v>
      </c>
    </row>
    <row r="52" spans="2:9" x14ac:dyDescent="0.2">
      <c r="B52" s="457">
        <f t="shared" si="7"/>
        <v>35</v>
      </c>
      <c r="C52" s="458">
        <f t="shared" si="3"/>
        <v>0</v>
      </c>
      <c r="D52" s="458">
        <f t="shared" si="4"/>
        <v>0</v>
      </c>
      <c r="E52" s="458">
        <f>IF(B52="","-",SUM($D$18:D52))</f>
        <v>0</v>
      </c>
      <c r="F52" s="458">
        <f t="shared" si="5"/>
        <v>0</v>
      </c>
      <c r="G52" s="458">
        <f>IF(B52="","-",SUM($F$18:F52))</f>
        <v>0</v>
      </c>
      <c r="H52" s="458">
        <f t="shared" si="6"/>
        <v>0</v>
      </c>
    </row>
    <row r="53" spans="2:9" x14ac:dyDescent="0.2">
      <c r="B53" s="459">
        <f t="shared" si="7"/>
        <v>36</v>
      </c>
      <c r="C53" s="460">
        <f t="shared" si="3"/>
        <v>0</v>
      </c>
      <c r="D53" s="460">
        <f t="shared" si="4"/>
        <v>0</v>
      </c>
      <c r="E53" s="460">
        <f>IF(B53="","-",SUM($D$18:D53))</f>
        <v>0</v>
      </c>
      <c r="F53" s="460">
        <f t="shared" si="5"/>
        <v>0</v>
      </c>
      <c r="G53" s="460">
        <f>IF(B53="","-",SUM($F$18:F53))</f>
        <v>0</v>
      </c>
      <c r="H53" s="460">
        <f t="shared" si="6"/>
        <v>0</v>
      </c>
      <c r="I53" s="476"/>
    </row>
    <row r="54" spans="2:9" x14ac:dyDescent="0.2">
      <c r="B54" s="457">
        <f t="shared" si="7"/>
        <v>37</v>
      </c>
      <c r="C54" s="458">
        <f t="shared" si="3"/>
        <v>0</v>
      </c>
      <c r="D54" s="458">
        <f t="shared" si="4"/>
        <v>0</v>
      </c>
      <c r="E54" s="458">
        <f>IF(B54="","-",SUM($D$18:D54))</f>
        <v>0</v>
      </c>
      <c r="F54" s="458">
        <f t="shared" si="5"/>
        <v>0</v>
      </c>
      <c r="G54" s="458">
        <f>IF(B54="","-",SUM($F$18:F54))</f>
        <v>0</v>
      </c>
      <c r="H54" s="458">
        <f t="shared" si="6"/>
        <v>0</v>
      </c>
    </row>
    <row r="55" spans="2:9" x14ac:dyDescent="0.2">
      <c r="B55" s="457">
        <f t="shared" si="7"/>
        <v>38</v>
      </c>
      <c r="C55" s="458">
        <f t="shared" si="3"/>
        <v>0</v>
      </c>
      <c r="D55" s="458">
        <f t="shared" si="4"/>
        <v>0</v>
      </c>
      <c r="E55" s="458">
        <f>IF(B55="","-",SUM($D$18:D55))</f>
        <v>0</v>
      </c>
      <c r="F55" s="458">
        <f t="shared" si="5"/>
        <v>0</v>
      </c>
      <c r="G55" s="458">
        <f>IF(B55="","-",SUM($F$18:F55))</f>
        <v>0</v>
      </c>
      <c r="H55" s="458">
        <f t="shared" si="6"/>
        <v>0</v>
      </c>
    </row>
    <row r="56" spans="2:9" x14ac:dyDescent="0.2">
      <c r="B56" s="457">
        <f t="shared" si="7"/>
        <v>39</v>
      </c>
      <c r="C56" s="458">
        <f t="shared" si="3"/>
        <v>0</v>
      </c>
      <c r="D56" s="458">
        <f t="shared" si="4"/>
        <v>0</v>
      </c>
      <c r="E56" s="458">
        <f>IF(B56="","-",SUM($D$18:D56))</f>
        <v>0</v>
      </c>
      <c r="F56" s="458">
        <f t="shared" si="5"/>
        <v>0</v>
      </c>
      <c r="G56" s="458">
        <f>IF(B56="","-",SUM($F$18:F56))</f>
        <v>0</v>
      </c>
      <c r="H56" s="458">
        <f t="shared" si="6"/>
        <v>0</v>
      </c>
    </row>
    <row r="57" spans="2:9" x14ac:dyDescent="0.2">
      <c r="B57" s="457">
        <f t="shared" si="7"/>
        <v>40</v>
      </c>
      <c r="C57" s="458">
        <f t="shared" si="3"/>
        <v>0</v>
      </c>
      <c r="D57" s="458">
        <f t="shared" si="4"/>
        <v>0</v>
      </c>
      <c r="E57" s="458">
        <f>IF(B57="","-",SUM($D$18:D57))</f>
        <v>0</v>
      </c>
      <c r="F57" s="458">
        <f t="shared" si="5"/>
        <v>0</v>
      </c>
      <c r="G57" s="458">
        <f>IF(B57="","-",SUM($F$18:F57))</f>
        <v>0</v>
      </c>
      <c r="H57" s="458">
        <f t="shared" si="6"/>
        <v>0</v>
      </c>
    </row>
    <row r="58" spans="2:9" x14ac:dyDescent="0.2">
      <c r="B58" s="457">
        <f t="shared" si="7"/>
        <v>41</v>
      </c>
      <c r="C58" s="458">
        <f t="shared" si="3"/>
        <v>0</v>
      </c>
      <c r="D58" s="458">
        <f t="shared" si="4"/>
        <v>0</v>
      </c>
      <c r="E58" s="458">
        <f>IF(B58="","-",SUM($D$18:D58))</f>
        <v>0</v>
      </c>
      <c r="F58" s="458">
        <f t="shared" si="5"/>
        <v>0</v>
      </c>
      <c r="G58" s="458">
        <f>IF(B58="","-",SUM($F$18:F58))</f>
        <v>0</v>
      </c>
      <c r="H58" s="458">
        <f t="shared" si="6"/>
        <v>0</v>
      </c>
    </row>
    <row r="59" spans="2:9" x14ac:dyDescent="0.2">
      <c r="B59" s="457">
        <f t="shared" si="7"/>
        <v>42</v>
      </c>
      <c r="C59" s="458">
        <f t="shared" si="3"/>
        <v>0</v>
      </c>
      <c r="D59" s="458">
        <f t="shared" si="4"/>
        <v>0</v>
      </c>
      <c r="E59" s="458">
        <f>IF(B59="","-",SUM($D$18:D59))</f>
        <v>0</v>
      </c>
      <c r="F59" s="458">
        <f t="shared" si="5"/>
        <v>0</v>
      </c>
      <c r="G59" s="458">
        <f>IF(B59="","-",SUM($F$18:F59))</f>
        <v>0</v>
      </c>
      <c r="H59" s="458">
        <f t="shared" si="6"/>
        <v>0</v>
      </c>
    </row>
    <row r="60" spans="2:9" x14ac:dyDescent="0.2">
      <c r="B60" s="457">
        <f t="shared" si="7"/>
        <v>43</v>
      </c>
      <c r="C60" s="458">
        <f t="shared" si="3"/>
        <v>0</v>
      </c>
      <c r="D60" s="458">
        <f t="shared" si="4"/>
        <v>0</v>
      </c>
      <c r="E60" s="458">
        <f>IF(B60="","-",SUM($D$18:D60))</f>
        <v>0</v>
      </c>
      <c r="F60" s="458">
        <f t="shared" si="5"/>
        <v>0</v>
      </c>
      <c r="G60" s="458">
        <f>IF(B60="","-",SUM($F$18:F60))</f>
        <v>0</v>
      </c>
      <c r="H60" s="458">
        <f t="shared" si="6"/>
        <v>0</v>
      </c>
    </row>
    <row r="61" spans="2:9" x14ac:dyDescent="0.2">
      <c r="B61" s="457">
        <f t="shared" si="7"/>
        <v>44</v>
      </c>
      <c r="C61" s="458">
        <f t="shared" si="3"/>
        <v>0</v>
      </c>
      <c r="D61" s="458">
        <f t="shared" si="4"/>
        <v>0</v>
      </c>
      <c r="E61" s="458">
        <f>IF(B61="","-",SUM($D$18:D61))</f>
        <v>0</v>
      </c>
      <c r="F61" s="458">
        <f t="shared" si="5"/>
        <v>0</v>
      </c>
      <c r="G61" s="458">
        <f>IF(B61="","-",SUM($F$18:F61))</f>
        <v>0</v>
      </c>
      <c r="H61" s="458">
        <f t="shared" si="6"/>
        <v>0</v>
      </c>
    </row>
    <row r="62" spans="2:9" x14ac:dyDescent="0.2">
      <c r="B62" s="457">
        <f t="shared" si="7"/>
        <v>45</v>
      </c>
      <c r="C62" s="458">
        <f t="shared" si="3"/>
        <v>0</v>
      </c>
      <c r="D62" s="458">
        <f t="shared" si="4"/>
        <v>0</v>
      </c>
      <c r="E62" s="458">
        <f>IF(B62="","-",SUM($D$18:D62))</f>
        <v>0</v>
      </c>
      <c r="F62" s="458">
        <f t="shared" si="5"/>
        <v>0</v>
      </c>
      <c r="G62" s="458">
        <f>IF(B62="","-",SUM($F$18:F62))</f>
        <v>0</v>
      </c>
      <c r="H62" s="458">
        <f t="shared" si="6"/>
        <v>0</v>
      </c>
    </row>
    <row r="63" spans="2:9" x14ac:dyDescent="0.2">
      <c r="B63" s="457">
        <f t="shared" si="7"/>
        <v>46</v>
      </c>
      <c r="C63" s="458">
        <f t="shared" si="3"/>
        <v>0</v>
      </c>
      <c r="D63" s="458">
        <f t="shared" si="4"/>
        <v>0</v>
      </c>
      <c r="E63" s="458">
        <f>IF(B63="","-",SUM($D$18:D63))</f>
        <v>0</v>
      </c>
      <c r="F63" s="458">
        <f t="shared" si="5"/>
        <v>0</v>
      </c>
      <c r="G63" s="458">
        <f>IF(B63="","-",SUM($F$18:F63))</f>
        <v>0</v>
      </c>
      <c r="H63" s="458">
        <f t="shared" si="6"/>
        <v>0</v>
      </c>
    </row>
    <row r="64" spans="2:9" x14ac:dyDescent="0.2">
      <c r="B64" s="457">
        <f t="shared" si="7"/>
        <v>47</v>
      </c>
      <c r="C64" s="458">
        <f t="shared" si="3"/>
        <v>0</v>
      </c>
      <c r="D64" s="458">
        <f t="shared" si="4"/>
        <v>0</v>
      </c>
      <c r="E64" s="458">
        <f>IF(B64="","-",SUM($D$18:D64))</f>
        <v>0</v>
      </c>
      <c r="F64" s="458">
        <f t="shared" si="5"/>
        <v>0</v>
      </c>
      <c r="G64" s="458">
        <f>IF(B64="","-",SUM($F$18:F64))</f>
        <v>0</v>
      </c>
      <c r="H64" s="458">
        <f t="shared" si="6"/>
        <v>0</v>
      </c>
    </row>
    <row r="65" spans="2:9" x14ac:dyDescent="0.2">
      <c r="B65" s="459">
        <f>IF(B64&gt;=$D$5*12,"",B64+1)</f>
        <v>48</v>
      </c>
      <c r="C65" s="460">
        <f t="shared" si="3"/>
        <v>0</v>
      </c>
      <c r="D65" s="460">
        <f t="shared" si="4"/>
        <v>0</v>
      </c>
      <c r="E65" s="460">
        <f>IF(B65="","-",SUM($D$18:D65))</f>
        <v>0</v>
      </c>
      <c r="F65" s="460">
        <f t="shared" si="5"/>
        <v>0</v>
      </c>
      <c r="G65" s="460">
        <f>IF(B65="","-",SUM($F$18:F65))</f>
        <v>0</v>
      </c>
      <c r="H65" s="460">
        <f t="shared" si="6"/>
        <v>0</v>
      </c>
      <c r="I65" s="476"/>
    </row>
    <row r="66" spans="2:9" x14ac:dyDescent="0.2">
      <c r="B66" s="457">
        <f t="shared" si="7"/>
        <v>49</v>
      </c>
      <c r="C66" s="458">
        <f t="shared" si="3"/>
        <v>0</v>
      </c>
      <c r="D66" s="458">
        <f t="shared" si="4"/>
        <v>0</v>
      </c>
      <c r="E66" s="458">
        <f>IF(B66="","-",SUM($D$18:D66))</f>
        <v>0</v>
      </c>
      <c r="F66" s="458">
        <f t="shared" si="5"/>
        <v>0</v>
      </c>
      <c r="G66" s="458">
        <f>IF(B66="","-",SUM($F$18:F66))</f>
        <v>0</v>
      </c>
      <c r="H66" s="458">
        <f t="shared" si="6"/>
        <v>0</v>
      </c>
    </row>
    <row r="67" spans="2:9" x14ac:dyDescent="0.2">
      <c r="B67" s="457">
        <f t="shared" si="7"/>
        <v>50</v>
      </c>
      <c r="C67" s="458">
        <f t="shared" si="3"/>
        <v>0</v>
      </c>
      <c r="D67" s="458">
        <f t="shared" si="4"/>
        <v>0</v>
      </c>
      <c r="E67" s="458">
        <f>IF(B67="","-",SUM($D$18:D67))</f>
        <v>0</v>
      </c>
      <c r="F67" s="458">
        <f t="shared" si="5"/>
        <v>0</v>
      </c>
      <c r="G67" s="458">
        <f>IF(B67="","-",SUM($F$18:F67))</f>
        <v>0</v>
      </c>
      <c r="H67" s="458">
        <f t="shared" si="6"/>
        <v>0</v>
      </c>
    </row>
    <row r="68" spans="2:9" x14ac:dyDescent="0.2">
      <c r="B68" s="457">
        <f t="shared" si="7"/>
        <v>51</v>
      </c>
      <c r="C68" s="458">
        <f t="shared" si="3"/>
        <v>0</v>
      </c>
      <c r="D68" s="458">
        <f t="shared" si="4"/>
        <v>0</v>
      </c>
      <c r="E68" s="458">
        <f>IF(B68="","-",SUM($D$18:D68))</f>
        <v>0</v>
      </c>
      <c r="F68" s="458">
        <f t="shared" si="5"/>
        <v>0</v>
      </c>
      <c r="G68" s="458">
        <f>IF(B68="","-",SUM($F$18:F68))</f>
        <v>0</v>
      </c>
      <c r="H68" s="458">
        <f t="shared" si="6"/>
        <v>0</v>
      </c>
    </row>
    <row r="69" spans="2:9" x14ac:dyDescent="0.2">
      <c r="B69" s="457">
        <f t="shared" si="7"/>
        <v>52</v>
      </c>
      <c r="C69" s="458">
        <f t="shared" si="3"/>
        <v>0</v>
      </c>
      <c r="D69" s="458">
        <f t="shared" si="4"/>
        <v>0</v>
      </c>
      <c r="E69" s="458">
        <f>IF(B69="","-",SUM($D$18:D69))</f>
        <v>0</v>
      </c>
      <c r="F69" s="458">
        <f t="shared" si="5"/>
        <v>0</v>
      </c>
      <c r="G69" s="458">
        <f>IF(B69="","-",SUM($F$18:F69))</f>
        <v>0</v>
      </c>
      <c r="H69" s="458">
        <f t="shared" si="6"/>
        <v>0</v>
      </c>
    </row>
    <row r="70" spans="2:9" x14ac:dyDescent="0.2">
      <c r="B70" s="457">
        <f t="shared" si="7"/>
        <v>53</v>
      </c>
      <c r="C70" s="458">
        <f t="shared" si="3"/>
        <v>0</v>
      </c>
      <c r="D70" s="458">
        <f t="shared" si="4"/>
        <v>0</v>
      </c>
      <c r="E70" s="458">
        <f>IF(B70="","-",SUM($D$18:D70))</f>
        <v>0</v>
      </c>
      <c r="F70" s="458">
        <f t="shared" si="5"/>
        <v>0</v>
      </c>
      <c r="G70" s="458">
        <f>IF(B70="","-",SUM($F$18:F70))</f>
        <v>0</v>
      </c>
      <c r="H70" s="458">
        <f t="shared" si="6"/>
        <v>0</v>
      </c>
    </row>
    <row r="71" spans="2:9" x14ac:dyDescent="0.2">
      <c r="B71" s="457">
        <f t="shared" si="7"/>
        <v>54</v>
      </c>
      <c r="C71" s="458">
        <f t="shared" si="3"/>
        <v>0</v>
      </c>
      <c r="D71" s="458">
        <f t="shared" si="4"/>
        <v>0</v>
      </c>
      <c r="E71" s="458">
        <f>IF(B71="","-",SUM($D$18:D71))</f>
        <v>0</v>
      </c>
      <c r="F71" s="458">
        <f t="shared" si="5"/>
        <v>0</v>
      </c>
      <c r="G71" s="458">
        <f>IF(B71="","-",SUM($F$18:F71))</f>
        <v>0</v>
      </c>
      <c r="H71" s="458">
        <f t="shared" si="6"/>
        <v>0</v>
      </c>
    </row>
    <row r="72" spans="2:9" x14ac:dyDescent="0.2">
      <c r="B72" s="457">
        <f t="shared" si="7"/>
        <v>55</v>
      </c>
      <c r="C72" s="458">
        <f t="shared" si="3"/>
        <v>0</v>
      </c>
      <c r="D72" s="458">
        <f t="shared" si="4"/>
        <v>0</v>
      </c>
      <c r="E72" s="458">
        <f>IF(B72="","-",SUM($D$18:D72))</f>
        <v>0</v>
      </c>
      <c r="F72" s="458">
        <f t="shared" si="5"/>
        <v>0</v>
      </c>
      <c r="G72" s="458">
        <f>IF(B72="","-",SUM($F$18:F72))</f>
        <v>0</v>
      </c>
      <c r="H72" s="458">
        <f t="shared" si="6"/>
        <v>0</v>
      </c>
    </row>
    <row r="73" spans="2:9" x14ac:dyDescent="0.2">
      <c r="B73" s="457">
        <f t="shared" si="7"/>
        <v>56</v>
      </c>
      <c r="C73" s="458">
        <f t="shared" si="3"/>
        <v>0</v>
      </c>
      <c r="D73" s="458">
        <f t="shared" si="4"/>
        <v>0</v>
      </c>
      <c r="E73" s="458">
        <f>IF(B73="","-",SUM($D$18:D73))</f>
        <v>0</v>
      </c>
      <c r="F73" s="458">
        <f t="shared" si="5"/>
        <v>0</v>
      </c>
      <c r="G73" s="458">
        <f>IF(B73="","-",SUM($F$18:F73))</f>
        <v>0</v>
      </c>
      <c r="H73" s="458">
        <f t="shared" si="6"/>
        <v>0</v>
      </c>
    </row>
    <row r="74" spans="2:9" x14ac:dyDescent="0.2">
      <c r="B74" s="457">
        <f t="shared" si="7"/>
        <v>57</v>
      </c>
      <c r="C74" s="458">
        <f t="shared" si="3"/>
        <v>0</v>
      </c>
      <c r="D74" s="458">
        <f t="shared" si="4"/>
        <v>0</v>
      </c>
      <c r="E74" s="458">
        <f>IF(B74="","-",SUM($D$18:D74))</f>
        <v>0</v>
      </c>
      <c r="F74" s="458">
        <f t="shared" si="5"/>
        <v>0</v>
      </c>
      <c r="G74" s="458">
        <f>IF(B74="","-",SUM($F$18:F74))</f>
        <v>0</v>
      </c>
      <c r="H74" s="458">
        <f t="shared" si="6"/>
        <v>0</v>
      </c>
    </row>
    <row r="75" spans="2:9" x14ac:dyDescent="0.2">
      <c r="B75" s="457">
        <f t="shared" si="7"/>
        <v>58</v>
      </c>
      <c r="C75" s="458">
        <f t="shared" si="3"/>
        <v>0</v>
      </c>
      <c r="D75" s="458">
        <f t="shared" si="4"/>
        <v>0</v>
      </c>
      <c r="E75" s="458">
        <f>IF(B75="","-",SUM($D$18:D75))</f>
        <v>0</v>
      </c>
      <c r="F75" s="458">
        <f t="shared" si="5"/>
        <v>0</v>
      </c>
      <c r="G75" s="458">
        <f>IF(B75="","-",SUM($F$18:F75))</f>
        <v>0</v>
      </c>
      <c r="H75" s="458">
        <f t="shared" si="6"/>
        <v>0</v>
      </c>
    </row>
    <row r="76" spans="2:9" x14ac:dyDescent="0.2">
      <c r="B76" s="457">
        <f t="shared" si="7"/>
        <v>59</v>
      </c>
      <c r="C76" s="458">
        <f t="shared" si="3"/>
        <v>0</v>
      </c>
      <c r="D76" s="458">
        <f t="shared" si="4"/>
        <v>0</v>
      </c>
      <c r="E76" s="458">
        <f>IF(B76="","-",SUM($D$18:D76))</f>
        <v>0</v>
      </c>
      <c r="F76" s="458">
        <f t="shared" si="5"/>
        <v>0</v>
      </c>
      <c r="G76" s="458">
        <f>IF(B76="","-",SUM($F$18:F76))</f>
        <v>0</v>
      </c>
      <c r="H76" s="458">
        <f t="shared" si="6"/>
        <v>0</v>
      </c>
    </row>
    <row r="77" spans="2:9" x14ac:dyDescent="0.2">
      <c r="B77" s="459">
        <f>IF(B76&gt;=$D$5*12,"",B76+1)</f>
        <v>60</v>
      </c>
      <c r="C77" s="460">
        <f t="shared" si="3"/>
        <v>0</v>
      </c>
      <c r="D77" s="460">
        <f t="shared" si="4"/>
        <v>0</v>
      </c>
      <c r="E77" s="460">
        <f>IF(B77="","-",SUM($D$18:D77))</f>
        <v>0</v>
      </c>
      <c r="F77" s="460">
        <f t="shared" si="5"/>
        <v>0</v>
      </c>
      <c r="G77" s="460">
        <f>IF(B77="","-",SUM($F$18:F77))</f>
        <v>0</v>
      </c>
      <c r="H77" s="460">
        <f t="shared" si="6"/>
        <v>0</v>
      </c>
      <c r="I77" s="476"/>
    </row>
    <row r="78" spans="2:9" x14ac:dyDescent="0.2">
      <c r="B78" s="457">
        <f t="shared" si="7"/>
        <v>61</v>
      </c>
      <c r="C78" s="458">
        <f t="shared" si="3"/>
        <v>0</v>
      </c>
      <c r="D78" s="458">
        <f t="shared" si="4"/>
        <v>0</v>
      </c>
      <c r="E78" s="458">
        <f>IF(B78="","-",SUM($D$18:D78))</f>
        <v>0</v>
      </c>
      <c r="F78" s="458">
        <f t="shared" si="5"/>
        <v>0</v>
      </c>
      <c r="G78" s="458">
        <f>IF(B78="","-",SUM($F$18:F78))</f>
        <v>0</v>
      </c>
      <c r="H78" s="458">
        <f t="shared" si="6"/>
        <v>0</v>
      </c>
    </row>
    <row r="79" spans="2:9" x14ac:dyDescent="0.2">
      <c r="B79" s="457">
        <f t="shared" si="7"/>
        <v>62</v>
      </c>
      <c r="C79" s="458">
        <f t="shared" si="3"/>
        <v>0</v>
      </c>
      <c r="D79" s="458">
        <f t="shared" si="4"/>
        <v>0</v>
      </c>
      <c r="E79" s="458">
        <f>IF(B79="","-",SUM($D$18:D79))</f>
        <v>0</v>
      </c>
      <c r="F79" s="458">
        <f t="shared" si="5"/>
        <v>0</v>
      </c>
      <c r="G79" s="458">
        <f>IF(B79="","-",SUM($F$18:F79))</f>
        <v>0</v>
      </c>
      <c r="H79" s="458">
        <f t="shared" si="6"/>
        <v>0</v>
      </c>
    </row>
    <row r="80" spans="2:9" x14ac:dyDescent="0.2">
      <c r="B80" s="457">
        <f t="shared" si="7"/>
        <v>63</v>
      </c>
      <c r="C80" s="458">
        <f t="shared" si="3"/>
        <v>0</v>
      </c>
      <c r="D80" s="458">
        <f t="shared" si="4"/>
        <v>0</v>
      </c>
      <c r="E80" s="458">
        <f>IF(B80="","-",SUM($D$18:D80))</f>
        <v>0</v>
      </c>
      <c r="F80" s="458">
        <f t="shared" si="5"/>
        <v>0</v>
      </c>
      <c r="G80" s="458">
        <f>IF(B80="","-",SUM($F$18:F80))</f>
        <v>0</v>
      </c>
      <c r="H80" s="458">
        <f t="shared" si="6"/>
        <v>0</v>
      </c>
    </row>
    <row r="81" spans="2:9" x14ac:dyDescent="0.2">
      <c r="B81" s="457">
        <f t="shared" si="7"/>
        <v>64</v>
      </c>
      <c r="C81" s="458">
        <f t="shared" si="3"/>
        <v>0</v>
      </c>
      <c r="D81" s="458">
        <f t="shared" si="4"/>
        <v>0</v>
      </c>
      <c r="E81" s="458">
        <f>IF(B81="","-",SUM($D$18:D81))</f>
        <v>0</v>
      </c>
      <c r="F81" s="458">
        <f t="shared" si="5"/>
        <v>0</v>
      </c>
      <c r="G81" s="458">
        <f>IF(B81="","-",SUM($F$18:F81))</f>
        <v>0</v>
      </c>
      <c r="H81" s="458">
        <f t="shared" si="6"/>
        <v>0</v>
      </c>
    </row>
    <row r="82" spans="2:9" x14ac:dyDescent="0.2">
      <c r="B82" s="457">
        <f t="shared" si="7"/>
        <v>65</v>
      </c>
      <c r="C82" s="458">
        <f t="shared" ref="C82:C145" si="8">IF(B82="","-",IF(B82&lt;=$D$6,D82,  $D$7))</f>
        <v>0</v>
      </c>
      <c r="D82" s="458">
        <f t="shared" ref="D82:D145" si="9">IF(B82="","-",$D$4/12*H81)</f>
        <v>0</v>
      </c>
      <c r="E82" s="458">
        <f>IF(B82="","-",SUM($D$18:D82))</f>
        <v>0</v>
      </c>
      <c r="F82" s="458">
        <f t="shared" ref="F82:F145" si="10">IF(B82="","-",C82-D82)</f>
        <v>0</v>
      </c>
      <c r="G82" s="458">
        <f>IF(B82="","-",SUM($F$18:F82))</f>
        <v>0</v>
      </c>
      <c r="H82" s="458">
        <f t="shared" ref="H82:H145" si="11">IF(B82="","-",H81-F82)</f>
        <v>0</v>
      </c>
    </row>
    <row r="83" spans="2:9" x14ac:dyDescent="0.2">
      <c r="B83" s="457">
        <f t="shared" si="7"/>
        <v>66</v>
      </c>
      <c r="C83" s="458">
        <f t="shared" si="8"/>
        <v>0</v>
      </c>
      <c r="D83" s="458">
        <f t="shared" si="9"/>
        <v>0</v>
      </c>
      <c r="E83" s="458">
        <f>IF(B83="","-",SUM($D$18:D83))</f>
        <v>0</v>
      </c>
      <c r="F83" s="458">
        <f t="shared" si="10"/>
        <v>0</v>
      </c>
      <c r="G83" s="458">
        <f>IF(B83="","-",SUM($F$18:F83))</f>
        <v>0</v>
      </c>
      <c r="H83" s="458">
        <f t="shared" si="11"/>
        <v>0</v>
      </c>
    </row>
    <row r="84" spans="2:9" x14ac:dyDescent="0.2">
      <c r="B84" s="457">
        <f t="shared" si="7"/>
        <v>67</v>
      </c>
      <c r="C84" s="458">
        <f t="shared" si="8"/>
        <v>0</v>
      </c>
      <c r="D84" s="458">
        <f t="shared" si="9"/>
        <v>0</v>
      </c>
      <c r="E84" s="458">
        <f>IF(B84="","-",SUM($D$18:D84))</f>
        <v>0</v>
      </c>
      <c r="F84" s="458">
        <f t="shared" si="10"/>
        <v>0</v>
      </c>
      <c r="G84" s="458">
        <f>IF(B84="","-",SUM($F$18:F84))</f>
        <v>0</v>
      </c>
      <c r="H84" s="458">
        <f t="shared" si="11"/>
        <v>0</v>
      </c>
    </row>
    <row r="85" spans="2:9" x14ac:dyDescent="0.2">
      <c r="B85" s="457">
        <f t="shared" si="7"/>
        <v>68</v>
      </c>
      <c r="C85" s="458">
        <f t="shared" si="8"/>
        <v>0</v>
      </c>
      <c r="D85" s="458">
        <f t="shared" si="9"/>
        <v>0</v>
      </c>
      <c r="E85" s="458">
        <f>IF(B85="","-",SUM($D$18:D85))</f>
        <v>0</v>
      </c>
      <c r="F85" s="458">
        <f t="shared" si="10"/>
        <v>0</v>
      </c>
      <c r="G85" s="458">
        <f>IF(B85="","-",SUM($F$18:F85))</f>
        <v>0</v>
      </c>
      <c r="H85" s="458">
        <f t="shared" si="11"/>
        <v>0</v>
      </c>
    </row>
    <row r="86" spans="2:9" x14ac:dyDescent="0.2">
      <c r="B86" s="457">
        <f t="shared" si="7"/>
        <v>69</v>
      </c>
      <c r="C86" s="458">
        <f t="shared" si="8"/>
        <v>0</v>
      </c>
      <c r="D86" s="458">
        <f t="shared" si="9"/>
        <v>0</v>
      </c>
      <c r="E86" s="458">
        <f>IF(B86="","-",SUM($D$18:D86))</f>
        <v>0</v>
      </c>
      <c r="F86" s="458">
        <f t="shared" si="10"/>
        <v>0</v>
      </c>
      <c r="G86" s="458">
        <f>IF(B86="","-",SUM($F$18:F86))</f>
        <v>0</v>
      </c>
      <c r="H86" s="458">
        <f t="shared" si="11"/>
        <v>0</v>
      </c>
    </row>
    <row r="87" spans="2:9" x14ac:dyDescent="0.2">
      <c r="B87" s="457">
        <f t="shared" si="7"/>
        <v>70</v>
      </c>
      <c r="C87" s="458">
        <f t="shared" si="8"/>
        <v>0</v>
      </c>
      <c r="D87" s="458">
        <f t="shared" si="9"/>
        <v>0</v>
      </c>
      <c r="E87" s="458">
        <f>IF(B87="","-",SUM($D$18:D87))</f>
        <v>0</v>
      </c>
      <c r="F87" s="458">
        <f t="shared" si="10"/>
        <v>0</v>
      </c>
      <c r="G87" s="458">
        <f>IF(B87="","-",SUM($F$18:F87))</f>
        <v>0</v>
      </c>
      <c r="H87" s="458">
        <f t="shared" si="11"/>
        <v>0</v>
      </c>
    </row>
    <row r="88" spans="2:9" x14ac:dyDescent="0.2">
      <c r="B88" s="457">
        <f t="shared" si="7"/>
        <v>71</v>
      </c>
      <c r="C88" s="458">
        <f t="shared" si="8"/>
        <v>0</v>
      </c>
      <c r="D88" s="458">
        <f t="shared" si="9"/>
        <v>0</v>
      </c>
      <c r="E88" s="458">
        <f>IF(B88="","-",SUM($D$18:D88))</f>
        <v>0</v>
      </c>
      <c r="F88" s="458">
        <f t="shared" si="10"/>
        <v>0</v>
      </c>
      <c r="G88" s="458">
        <f>IF(B88="","-",SUM($F$18:F88))</f>
        <v>0</v>
      </c>
      <c r="H88" s="458">
        <f t="shared" si="11"/>
        <v>0</v>
      </c>
    </row>
    <row r="89" spans="2:9" x14ac:dyDescent="0.2">
      <c r="B89" s="459">
        <f t="shared" si="7"/>
        <v>72</v>
      </c>
      <c r="C89" s="460">
        <f t="shared" si="8"/>
        <v>0</v>
      </c>
      <c r="D89" s="460">
        <f t="shared" si="9"/>
        <v>0</v>
      </c>
      <c r="E89" s="460">
        <f>IF(B89="","-",SUM($D$18:D89))</f>
        <v>0</v>
      </c>
      <c r="F89" s="460">
        <f t="shared" si="10"/>
        <v>0</v>
      </c>
      <c r="G89" s="460">
        <f>IF(B89="","-",SUM($F$18:F89))</f>
        <v>0</v>
      </c>
      <c r="H89" s="460">
        <f t="shared" si="11"/>
        <v>0</v>
      </c>
      <c r="I89" s="476"/>
    </row>
    <row r="90" spans="2:9" x14ac:dyDescent="0.2">
      <c r="B90" s="457">
        <f t="shared" si="7"/>
        <v>73</v>
      </c>
      <c r="C90" s="458">
        <f t="shared" si="8"/>
        <v>0</v>
      </c>
      <c r="D90" s="458">
        <f t="shared" si="9"/>
        <v>0</v>
      </c>
      <c r="E90" s="458">
        <f>IF(B90="","-",SUM($D$18:D90))</f>
        <v>0</v>
      </c>
      <c r="F90" s="458">
        <f t="shared" si="10"/>
        <v>0</v>
      </c>
      <c r="G90" s="458">
        <f>IF(B90="","-",SUM($F$18:F90))</f>
        <v>0</v>
      </c>
      <c r="H90" s="458">
        <f t="shared" si="11"/>
        <v>0</v>
      </c>
    </row>
    <row r="91" spans="2:9" x14ac:dyDescent="0.2">
      <c r="B91" s="457">
        <f t="shared" si="7"/>
        <v>74</v>
      </c>
      <c r="C91" s="458">
        <f t="shared" si="8"/>
        <v>0</v>
      </c>
      <c r="D91" s="458">
        <f t="shared" si="9"/>
        <v>0</v>
      </c>
      <c r="E91" s="458">
        <f>IF(B91="","-",SUM($D$18:D91))</f>
        <v>0</v>
      </c>
      <c r="F91" s="458">
        <f t="shared" si="10"/>
        <v>0</v>
      </c>
      <c r="G91" s="458">
        <f>IF(B91="","-",SUM($F$18:F91))</f>
        <v>0</v>
      </c>
      <c r="H91" s="458">
        <f t="shared" si="11"/>
        <v>0</v>
      </c>
    </row>
    <row r="92" spans="2:9" x14ac:dyDescent="0.2">
      <c r="B92" s="457">
        <f t="shared" si="7"/>
        <v>75</v>
      </c>
      <c r="C92" s="458">
        <f t="shared" si="8"/>
        <v>0</v>
      </c>
      <c r="D92" s="458">
        <f t="shared" si="9"/>
        <v>0</v>
      </c>
      <c r="E92" s="458">
        <f>IF(B92="","-",SUM($D$18:D92))</f>
        <v>0</v>
      </c>
      <c r="F92" s="458">
        <f t="shared" si="10"/>
        <v>0</v>
      </c>
      <c r="G92" s="458">
        <f>IF(B92="","-",SUM($F$18:F92))</f>
        <v>0</v>
      </c>
      <c r="H92" s="458">
        <f t="shared" si="11"/>
        <v>0</v>
      </c>
    </row>
    <row r="93" spans="2:9" x14ac:dyDescent="0.2">
      <c r="B93" s="457">
        <f t="shared" si="7"/>
        <v>76</v>
      </c>
      <c r="C93" s="458">
        <f t="shared" si="8"/>
        <v>0</v>
      </c>
      <c r="D93" s="458">
        <f t="shared" si="9"/>
        <v>0</v>
      </c>
      <c r="E93" s="458">
        <f>IF(B93="","-",SUM($D$18:D93))</f>
        <v>0</v>
      </c>
      <c r="F93" s="458">
        <f t="shared" si="10"/>
        <v>0</v>
      </c>
      <c r="G93" s="458">
        <f>IF(B93="","-",SUM($F$18:F93))</f>
        <v>0</v>
      </c>
      <c r="H93" s="458">
        <f t="shared" si="11"/>
        <v>0</v>
      </c>
    </row>
    <row r="94" spans="2:9" x14ac:dyDescent="0.2">
      <c r="B94" s="457">
        <f t="shared" ref="B94:B157" si="12">IF(B93&gt;=$D$5*12,"",B93+1)</f>
        <v>77</v>
      </c>
      <c r="C94" s="458">
        <f t="shared" si="8"/>
        <v>0</v>
      </c>
      <c r="D94" s="458">
        <f t="shared" si="9"/>
        <v>0</v>
      </c>
      <c r="E94" s="458">
        <f>IF(B94="","-",SUM($D$18:D94))</f>
        <v>0</v>
      </c>
      <c r="F94" s="458">
        <f t="shared" si="10"/>
        <v>0</v>
      </c>
      <c r="G94" s="458">
        <f>IF(B94="","-",SUM($F$18:F94))</f>
        <v>0</v>
      </c>
      <c r="H94" s="458">
        <f t="shared" si="11"/>
        <v>0</v>
      </c>
    </row>
    <row r="95" spans="2:9" x14ac:dyDescent="0.2">
      <c r="B95" s="457">
        <f t="shared" si="12"/>
        <v>78</v>
      </c>
      <c r="C95" s="458">
        <f t="shared" si="8"/>
        <v>0</v>
      </c>
      <c r="D95" s="458">
        <f t="shared" si="9"/>
        <v>0</v>
      </c>
      <c r="E95" s="458">
        <f>IF(B95="","-",SUM($D$18:D95))</f>
        <v>0</v>
      </c>
      <c r="F95" s="458">
        <f t="shared" si="10"/>
        <v>0</v>
      </c>
      <c r="G95" s="458">
        <f>IF(B95="","-",SUM($F$18:F95))</f>
        <v>0</v>
      </c>
      <c r="H95" s="458">
        <f t="shared" si="11"/>
        <v>0</v>
      </c>
    </row>
    <row r="96" spans="2:9" x14ac:dyDescent="0.2">
      <c r="B96" s="457">
        <f t="shared" si="12"/>
        <v>79</v>
      </c>
      <c r="C96" s="458">
        <f t="shared" si="8"/>
        <v>0</v>
      </c>
      <c r="D96" s="458">
        <f t="shared" si="9"/>
        <v>0</v>
      </c>
      <c r="E96" s="458">
        <f>IF(B96="","-",SUM($D$18:D96))</f>
        <v>0</v>
      </c>
      <c r="F96" s="458">
        <f t="shared" si="10"/>
        <v>0</v>
      </c>
      <c r="G96" s="458">
        <f>IF(B96="","-",SUM($F$18:F96))</f>
        <v>0</v>
      </c>
      <c r="H96" s="458">
        <f t="shared" si="11"/>
        <v>0</v>
      </c>
    </row>
    <row r="97" spans="2:9" x14ac:dyDescent="0.2">
      <c r="B97" s="457">
        <f t="shared" si="12"/>
        <v>80</v>
      </c>
      <c r="C97" s="458">
        <f t="shared" si="8"/>
        <v>0</v>
      </c>
      <c r="D97" s="458">
        <f t="shared" si="9"/>
        <v>0</v>
      </c>
      <c r="E97" s="458">
        <f>IF(B97="","-",SUM($D$18:D97))</f>
        <v>0</v>
      </c>
      <c r="F97" s="458">
        <f t="shared" si="10"/>
        <v>0</v>
      </c>
      <c r="G97" s="458">
        <f>IF(B97="","-",SUM($F$18:F97))</f>
        <v>0</v>
      </c>
      <c r="H97" s="458">
        <f t="shared" si="11"/>
        <v>0</v>
      </c>
    </row>
    <row r="98" spans="2:9" x14ac:dyDescent="0.2">
      <c r="B98" s="457">
        <f t="shared" si="12"/>
        <v>81</v>
      </c>
      <c r="C98" s="458">
        <f t="shared" si="8"/>
        <v>0</v>
      </c>
      <c r="D98" s="458">
        <f t="shared" si="9"/>
        <v>0</v>
      </c>
      <c r="E98" s="458">
        <f>IF(B98="","-",SUM($D$18:D98))</f>
        <v>0</v>
      </c>
      <c r="F98" s="458">
        <f t="shared" si="10"/>
        <v>0</v>
      </c>
      <c r="G98" s="458">
        <f>IF(B98="","-",SUM($F$18:F98))</f>
        <v>0</v>
      </c>
      <c r="H98" s="458">
        <f t="shared" si="11"/>
        <v>0</v>
      </c>
    </row>
    <row r="99" spans="2:9" x14ac:dyDescent="0.2">
      <c r="B99" s="457">
        <f t="shared" si="12"/>
        <v>82</v>
      </c>
      <c r="C99" s="458">
        <f t="shared" si="8"/>
        <v>0</v>
      </c>
      <c r="D99" s="458">
        <f t="shared" si="9"/>
        <v>0</v>
      </c>
      <c r="E99" s="458">
        <f>IF(B99="","-",SUM($D$18:D99))</f>
        <v>0</v>
      </c>
      <c r="F99" s="458">
        <f t="shared" si="10"/>
        <v>0</v>
      </c>
      <c r="G99" s="458">
        <f>IF(B99="","-",SUM($F$18:F99))</f>
        <v>0</v>
      </c>
      <c r="H99" s="458">
        <f t="shared" si="11"/>
        <v>0</v>
      </c>
    </row>
    <row r="100" spans="2:9" x14ac:dyDescent="0.2">
      <c r="B100" s="457">
        <f t="shared" si="12"/>
        <v>83</v>
      </c>
      <c r="C100" s="458">
        <f t="shared" si="8"/>
        <v>0</v>
      </c>
      <c r="D100" s="458">
        <f t="shared" si="9"/>
        <v>0</v>
      </c>
      <c r="E100" s="458">
        <f>IF(B100="","-",SUM($D$18:D100))</f>
        <v>0</v>
      </c>
      <c r="F100" s="458">
        <f t="shared" si="10"/>
        <v>0</v>
      </c>
      <c r="G100" s="458">
        <f>IF(B100="","-",SUM($F$18:F100))</f>
        <v>0</v>
      </c>
      <c r="H100" s="458">
        <f t="shared" si="11"/>
        <v>0</v>
      </c>
    </row>
    <row r="101" spans="2:9" x14ac:dyDescent="0.2">
      <c r="B101" s="459">
        <f t="shared" si="12"/>
        <v>84</v>
      </c>
      <c r="C101" s="460">
        <f t="shared" si="8"/>
        <v>0</v>
      </c>
      <c r="D101" s="460">
        <f t="shared" si="9"/>
        <v>0</v>
      </c>
      <c r="E101" s="460">
        <f>IF(B101="","-",SUM($D$18:D101))</f>
        <v>0</v>
      </c>
      <c r="F101" s="460">
        <f t="shared" si="10"/>
        <v>0</v>
      </c>
      <c r="G101" s="460">
        <f>IF(B101="","-",SUM($F$18:F101))</f>
        <v>0</v>
      </c>
      <c r="H101" s="460">
        <f t="shared" si="11"/>
        <v>0</v>
      </c>
      <c r="I101" s="476"/>
    </row>
    <row r="102" spans="2:9" x14ac:dyDescent="0.2">
      <c r="B102" s="457">
        <f t="shared" si="12"/>
        <v>85</v>
      </c>
      <c r="C102" s="458">
        <f t="shared" si="8"/>
        <v>0</v>
      </c>
      <c r="D102" s="458">
        <f t="shared" si="9"/>
        <v>0</v>
      </c>
      <c r="E102" s="458">
        <f>IF(B102="","-",SUM($D$18:D102))</f>
        <v>0</v>
      </c>
      <c r="F102" s="458">
        <f t="shared" si="10"/>
        <v>0</v>
      </c>
      <c r="G102" s="458">
        <f>IF(B102="","-",SUM($F$18:F102))</f>
        <v>0</v>
      </c>
      <c r="H102" s="458">
        <f t="shared" si="11"/>
        <v>0</v>
      </c>
    </row>
    <row r="103" spans="2:9" x14ac:dyDescent="0.2">
      <c r="B103" s="457">
        <f t="shared" si="12"/>
        <v>86</v>
      </c>
      <c r="C103" s="458">
        <f t="shared" si="8"/>
        <v>0</v>
      </c>
      <c r="D103" s="458">
        <f t="shared" si="9"/>
        <v>0</v>
      </c>
      <c r="E103" s="458">
        <f>IF(B103="","-",SUM($D$18:D103))</f>
        <v>0</v>
      </c>
      <c r="F103" s="458">
        <f t="shared" si="10"/>
        <v>0</v>
      </c>
      <c r="G103" s="458">
        <f>IF(B103="","-",SUM($F$18:F103))</f>
        <v>0</v>
      </c>
      <c r="H103" s="458">
        <f t="shared" si="11"/>
        <v>0</v>
      </c>
    </row>
    <row r="104" spans="2:9" x14ac:dyDescent="0.2">
      <c r="B104" s="457">
        <f t="shared" si="12"/>
        <v>87</v>
      </c>
      <c r="C104" s="458">
        <f t="shared" si="8"/>
        <v>0</v>
      </c>
      <c r="D104" s="458">
        <f t="shared" si="9"/>
        <v>0</v>
      </c>
      <c r="E104" s="458">
        <f>IF(B104="","-",SUM($D$18:D104))</f>
        <v>0</v>
      </c>
      <c r="F104" s="458">
        <f t="shared" si="10"/>
        <v>0</v>
      </c>
      <c r="G104" s="458">
        <f>IF(B104="","-",SUM($F$18:F104))</f>
        <v>0</v>
      </c>
      <c r="H104" s="458">
        <f t="shared" si="11"/>
        <v>0</v>
      </c>
    </row>
    <row r="105" spans="2:9" x14ac:dyDescent="0.2">
      <c r="B105" s="457">
        <f t="shared" si="12"/>
        <v>88</v>
      </c>
      <c r="C105" s="458">
        <f t="shared" si="8"/>
        <v>0</v>
      </c>
      <c r="D105" s="458">
        <f t="shared" si="9"/>
        <v>0</v>
      </c>
      <c r="E105" s="458">
        <f>IF(B105="","-",SUM($D$18:D105))</f>
        <v>0</v>
      </c>
      <c r="F105" s="458">
        <f t="shared" si="10"/>
        <v>0</v>
      </c>
      <c r="G105" s="458">
        <f>IF(B105="","-",SUM($F$18:F105))</f>
        <v>0</v>
      </c>
      <c r="H105" s="458">
        <f t="shared" si="11"/>
        <v>0</v>
      </c>
    </row>
    <row r="106" spans="2:9" x14ac:dyDescent="0.2">
      <c r="B106" s="457">
        <f t="shared" si="12"/>
        <v>89</v>
      </c>
      <c r="C106" s="458">
        <f t="shared" si="8"/>
        <v>0</v>
      </c>
      <c r="D106" s="458">
        <f t="shared" si="9"/>
        <v>0</v>
      </c>
      <c r="E106" s="458">
        <f>IF(B106="","-",SUM($D$18:D106))</f>
        <v>0</v>
      </c>
      <c r="F106" s="458">
        <f t="shared" si="10"/>
        <v>0</v>
      </c>
      <c r="G106" s="458">
        <f>IF(B106="","-",SUM($F$18:F106))</f>
        <v>0</v>
      </c>
      <c r="H106" s="458">
        <f t="shared" si="11"/>
        <v>0</v>
      </c>
    </row>
    <row r="107" spans="2:9" x14ac:dyDescent="0.2">
      <c r="B107" s="457">
        <f t="shared" si="12"/>
        <v>90</v>
      </c>
      <c r="C107" s="458">
        <f t="shared" si="8"/>
        <v>0</v>
      </c>
      <c r="D107" s="458">
        <f t="shared" si="9"/>
        <v>0</v>
      </c>
      <c r="E107" s="458">
        <f>IF(B107="","-",SUM($D$18:D107))</f>
        <v>0</v>
      </c>
      <c r="F107" s="458">
        <f t="shared" si="10"/>
        <v>0</v>
      </c>
      <c r="G107" s="458">
        <f>IF(B107="","-",SUM($F$18:F107))</f>
        <v>0</v>
      </c>
      <c r="H107" s="458">
        <f t="shared" si="11"/>
        <v>0</v>
      </c>
    </row>
    <row r="108" spans="2:9" x14ac:dyDescent="0.2">
      <c r="B108" s="457">
        <f t="shared" si="12"/>
        <v>91</v>
      </c>
      <c r="C108" s="458">
        <f t="shared" si="8"/>
        <v>0</v>
      </c>
      <c r="D108" s="458">
        <f t="shared" si="9"/>
        <v>0</v>
      </c>
      <c r="E108" s="458">
        <f>IF(B108="","-",SUM($D$18:D108))</f>
        <v>0</v>
      </c>
      <c r="F108" s="458">
        <f t="shared" si="10"/>
        <v>0</v>
      </c>
      <c r="G108" s="458">
        <f>IF(B108="","-",SUM($F$18:F108))</f>
        <v>0</v>
      </c>
      <c r="H108" s="458">
        <f t="shared" si="11"/>
        <v>0</v>
      </c>
    </row>
    <row r="109" spans="2:9" x14ac:dyDescent="0.2">
      <c r="B109" s="457">
        <f t="shared" si="12"/>
        <v>92</v>
      </c>
      <c r="C109" s="458">
        <f t="shared" si="8"/>
        <v>0</v>
      </c>
      <c r="D109" s="458">
        <f t="shared" si="9"/>
        <v>0</v>
      </c>
      <c r="E109" s="458">
        <f>IF(B109="","-",SUM($D$18:D109))</f>
        <v>0</v>
      </c>
      <c r="F109" s="458">
        <f t="shared" si="10"/>
        <v>0</v>
      </c>
      <c r="G109" s="458">
        <f>IF(B109="","-",SUM($F$18:F109))</f>
        <v>0</v>
      </c>
      <c r="H109" s="458">
        <f t="shared" si="11"/>
        <v>0</v>
      </c>
    </row>
    <row r="110" spans="2:9" x14ac:dyDescent="0.2">
      <c r="B110" s="457">
        <f t="shared" si="12"/>
        <v>93</v>
      </c>
      <c r="C110" s="458">
        <f t="shared" si="8"/>
        <v>0</v>
      </c>
      <c r="D110" s="458">
        <f t="shared" si="9"/>
        <v>0</v>
      </c>
      <c r="E110" s="458">
        <f>IF(B110="","-",SUM($D$18:D110))</f>
        <v>0</v>
      </c>
      <c r="F110" s="458">
        <f t="shared" si="10"/>
        <v>0</v>
      </c>
      <c r="G110" s="458">
        <f>IF(B110="","-",SUM($F$18:F110))</f>
        <v>0</v>
      </c>
      <c r="H110" s="458">
        <f t="shared" si="11"/>
        <v>0</v>
      </c>
    </row>
    <row r="111" spans="2:9" x14ac:dyDescent="0.2">
      <c r="B111" s="457">
        <f t="shared" si="12"/>
        <v>94</v>
      </c>
      <c r="C111" s="458">
        <f t="shared" si="8"/>
        <v>0</v>
      </c>
      <c r="D111" s="458">
        <f t="shared" si="9"/>
        <v>0</v>
      </c>
      <c r="E111" s="458">
        <f>IF(B111="","-",SUM($D$18:D111))</f>
        <v>0</v>
      </c>
      <c r="F111" s="458">
        <f t="shared" si="10"/>
        <v>0</v>
      </c>
      <c r="G111" s="458">
        <f>IF(B111="","-",SUM($F$18:F111))</f>
        <v>0</v>
      </c>
      <c r="H111" s="458">
        <f t="shared" si="11"/>
        <v>0</v>
      </c>
    </row>
    <row r="112" spans="2:9" x14ac:dyDescent="0.2">
      <c r="B112" s="457">
        <f t="shared" si="12"/>
        <v>95</v>
      </c>
      <c r="C112" s="458">
        <f t="shared" si="8"/>
        <v>0</v>
      </c>
      <c r="D112" s="458">
        <f t="shared" si="9"/>
        <v>0</v>
      </c>
      <c r="E112" s="458">
        <f>IF(B112="","-",SUM($D$18:D112))</f>
        <v>0</v>
      </c>
      <c r="F112" s="458">
        <f t="shared" si="10"/>
        <v>0</v>
      </c>
      <c r="G112" s="458">
        <f>IF(B112="","-",SUM($F$18:F112))</f>
        <v>0</v>
      </c>
      <c r="H112" s="458">
        <f t="shared" si="11"/>
        <v>0</v>
      </c>
    </row>
    <row r="113" spans="2:9" x14ac:dyDescent="0.2">
      <c r="B113" s="459">
        <f t="shared" si="12"/>
        <v>96</v>
      </c>
      <c r="C113" s="460">
        <f t="shared" si="8"/>
        <v>0</v>
      </c>
      <c r="D113" s="460">
        <f t="shared" si="9"/>
        <v>0</v>
      </c>
      <c r="E113" s="462">
        <f>IF(B113="","-",SUM($D$18:D113))</f>
        <v>0</v>
      </c>
      <c r="F113" s="462">
        <f t="shared" si="10"/>
        <v>0</v>
      </c>
      <c r="G113" s="462">
        <f>IF(B113="","-",SUM($F$18:F113))</f>
        <v>0</v>
      </c>
      <c r="H113" s="462">
        <f t="shared" si="11"/>
        <v>0</v>
      </c>
      <c r="I113" s="476"/>
    </row>
    <row r="114" spans="2:9" x14ac:dyDescent="0.2">
      <c r="B114" s="457">
        <f t="shared" si="12"/>
        <v>97</v>
      </c>
      <c r="C114" s="458">
        <f t="shared" si="8"/>
        <v>0</v>
      </c>
      <c r="D114" s="458">
        <f t="shared" si="9"/>
        <v>0</v>
      </c>
      <c r="E114" s="458">
        <f>IF(B114="","-",SUM($D$18:D114))</f>
        <v>0</v>
      </c>
      <c r="F114" s="458">
        <f t="shared" si="10"/>
        <v>0</v>
      </c>
      <c r="G114" s="458">
        <f>IF(B114="","-",SUM($F$18:F114))</f>
        <v>0</v>
      </c>
      <c r="H114" s="458">
        <f t="shared" si="11"/>
        <v>0</v>
      </c>
      <c r="I114" s="49"/>
    </row>
    <row r="115" spans="2:9" x14ac:dyDescent="0.2">
      <c r="B115" s="457">
        <f t="shared" si="12"/>
        <v>98</v>
      </c>
      <c r="C115" s="458">
        <f t="shared" si="8"/>
        <v>0</v>
      </c>
      <c r="D115" s="458">
        <f t="shared" si="9"/>
        <v>0</v>
      </c>
      <c r="E115" s="458">
        <f>IF(B115="","-",SUM($D$18:D115))</f>
        <v>0</v>
      </c>
      <c r="F115" s="458">
        <f t="shared" si="10"/>
        <v>0</v>
      </c>
      <c r="G115" s="458">
        <f>IF(B115="","-",SUM($F$18:F115))</f>
        <v>0</v>
      </c>
      <c r="H115" s="458">
        <f t="shared" si="11"/>
        <v>0</v>
      </c>
    </row>
    <row r="116" spans="2:9" x14ac:dyDescent="0.2">
      <c r="B116" s="457">
        <f t="shared" si="12"/>
        <v>99</v>
      </c>
      <c r="C116" s="458">
        <f t="shared" si="8"/>
        <v>0</v>
      </c>
      <c r="D116" s="458">
        <f t="shared" si="9"/>
        <v>0</v>
      </c>
      <c r="E116" s="458">
        <f>IF(B116="","-",SUM($D$18:D116))</f>
        <v>0</v>
      </c>
      <c r="F116" s="458">
        <f t="shared" si="10"/>
        <v>0</v>
      </c>
      <c r="G116" s="458">
        <f>IF(B116="","-",SUM($F$18:F116))</f>
        <v>0</v>
      </c>
      <c r="H116" s="458">
        <f t="shared" si="11"/>
        <v>0</v>
      </c>
    </row>
    <row r="117" spans="2:9" x14ac:dyDescent="0.2">
      <c r="B117" s="457">
        <f t="shared" si="12"/>
        <v>100</v>
      </c>
      <c r="C117" s="458">
        <f t="shared" si="8"/>
        <v>0</v>
      </c>
      <c r="D117" s="458">
        <f t="shared" si="9"/>
        <v>0</v>
      </c>
      <c r="E117" s="458">
        <f>IF(B117="","-",SUM($D$18:D117))</f>
        <v>0</v>
      </c>
      <c r="F117" s="458">
        <f t="shared" si="10"/>
        <v>0</v>
      </c>
      <c r="G117" s="458">
        <f>IF(B117="","-",SUM($F$18:F117))</f>
        <v>0</v>
      </c>
      <c r="H117" s="458">
        <f t="shared" si="11"/>
        <v>0</v>
      </c>
    </row>
    <row r="118" spans="2:9" x14ac:dyDescent="0.2">
      <c r="B118" s="457">
        <f t="shared" si="12"/>
        <v>101</v>
      </c>
      <c r="C118" s="458">
        <f t="shared" si="8"/>
        <v>0</v>
      </c>
      <c r="D118" s="458">
        <f t="shared" si="9"/>
        <v>0</v>
      </c>
      <c r="E118" s="458">
        <f>IF(B118="","-",SUM($D$18:D118))</f>
        <v>0</v>
      </c>
      <c r="F118" s="458">
        <f t="shared" si="10"/>
        <v>0</v>
      </c>
      <c r="G118" s="458">
        <f>IF(B118="","-",SUM($F$18:F118))</f>
        <v>0</v>
      </c>
      <c r="H118" s="458">
        <f t="shared" si="11"/>
        <v>0</v>
      </c>
    </row>
    <row r="119" spans="2:9" x14ac:dyDescent="0.2">
      <c r="B119" s="457">
        <f t="shared" si="12"/>
        <v>102</v>
      </c>
      <c r="C119" s="458">
        <f t="shared" si="8"/>
        <v>0</v>
      </c>
      <c r="D119" s="458">
        <f t="shared" si="9"/>
        <v>0</v>
      </c>
      <c r="E119" s="458">
        <f>IF(B119="","-",SUM($D$18:D119))</f>
        <v>0</v>
      </c>
      <c r="F119" s="458">
        <f t="shared" si="10"/>
        <v>0</v>
      </c>
      <c r="G119" s="458">
        <f>IF(B119="","-",SUM($F$18:F119))</f>
        <v>0</v>
      </c>
      <c r="H119" s="458">
        <f t="shared" si="11"/>
        <v>0</v>
      </c>
    </row>
    <row r="120" spans="2:9" x14ac:dyDescent="0.2">
      <c r="B120" s="457">
        <f t="shared" si="12"/>
        <v>103</v>
      </c>
      <c r="C120" s="458">
        <f t="shared" si="8"/>
        <v>0</v>
      </c>
      <c r="D120" s="458">
        <f t="shared" si="9"/>
        <v>0</v>
      </c>
      <c r="E120" s="458">
        <f>IF(B120="","-",SUM($D$18:D120))</f>
        <v>0</v>
      </c>
      <c r="F120" s="458">
        <f t="shared" si="10"/>
        <v>0</v>
      </c>
      <c r="G120" s="458">
        <f>IF(B120="","-",SUM($F$18:F120))</f>
        <v>0</v>
      </c>
      <c r="H120" s="458">
        <f t="shared" si="11"/>
        <v>0</v>
      </c>
    </row>
    <row r="121" spans="2:9" x14ac:dyDescent="0.2">
      <c r="B121" s="457">
        <f t="shared" si="12"/>
        <v>104</v>
      </c>
      <c r="C121" s="458">
        <f t="shared" si="8"/>
        <v>0</v>
      </c>
      <c r="D121" s="458">
        <f t="shared" si="9"/>
        <v>0</v>
      </c>
      <c r="E121" s="458">
        <f>IF(B121="","-",SUM($D$18:D121))</f>
        <v>0</v>
      </c>
      <c r="F121" s="458">
        <f t="shared" si="10"/>
        <v>0</v>
      </c>
      <c r="G121" s="458">
        <f>IF(B121="","-",SUM($F$18:F121))</f>
        <v>0</v>
      </c>
      <c r="H121" s="458">
        <f t="shared" si="11"/>
        <v>0</v>
      </c>
    </row>
    <row r="122" spans="2:9" x14ac:dyDescent="0.2">
      <c r="B122" s="457">
        <f t="shared" si="12"/>
        <v>105</v>
      </c>
      <c r="C122" s="458">
        <f t="shared" si="8"/>
        <v>0</v>
      </c>
      <c r="D122" s="458">
        <f t="shared" si="9"/>
        <v>0</v>
      </c>
      <c r="E122" s="458">
        <f>IF(B122="","-",SUM($D$18:D122))</f>
        <v>0</v>
      </c>
      <c r="F122" s="458">
        <f t="shared" si="10"/>
        <v>0</v>
      </c>
      <c r="G122" s="458">
        <f>IF(B122="","-",SUM($F$18:F122))</f>
        <v>0</v>
      </c>
      <c r="H122" s="458">
        <f t="shared" si="11"/>
        <v>0</v>
      </c>
    </row>
    <row r="123" spans="2:9" x14ac:dyDescent="0.2">
      <c r="B123" s="457">
        <f t="shared" si="12"/>
        <v>106</v>
      </c>
      <c r="C123" s="458">
        <f t="shared" si="8"/>
        <v>0</v>
      </c>
      <c r="D123" s="458">
        <f t="shared" si="9"/>
        <v>0</v>
      </c>
      <c r="E123" s="458">
        <f>IF(B123="","-",SUM($D$18:D123))</f>
        <v>0</v>
      </c>
      <c r="F123" s="458">
        <f t="shared" si="10"/>
        <v>0</v>
      </c>
      <c r="G123" s="458">
        <f>IF(B123="","-",SUM($F$18:F123))</f>
        <v>0</v>
      </c>
      <c r="H123" s="458">
        <f t="shared" si="11"/>
        <v>0</v>
      </c>
    </row>
    <row r="124" spans="2:9" x14ac:dyDescent="0.2">
      <c r="B124" s="457">
        <f t="shared" si="12"/>
        <v>107</v>
      </c>
      <c r="C124" s="458">
        <f t="shared" si="8"/>
        <v>0</v>
      </c>
      <c r="D124" s="458">
        <f t="shared" si="9"/>
        <v>0</v>
      </c>
      <c r="E124" s="458">
        <f>IF(B124="","-",SUM($D$18:D124))</f>
        <v>0</v>
      </c>
      <c r="F124" s="458">
        <f t="shared" si="10"/>
        <v>0</v>
      </c>
      <c r="G124" s="458">
        <f>IF(B124="","-",SUM($F$18:F124))</f>
        <v>0</v>
      </c>
      <c r="H124" s="458">
        <f t="shared" si="11"/>
        <v>0</v>
      </c>
    </row>
    <row r="125" spans="2:9" x14ac:dyDescent="0.2">
      <c r="B125" s="459">
        <f t="shared" si="12"/>
        <v>108</v>
      </c>
      <c r="C125" s="460">
        <f t="shared" si="8"/>
        <v>0</v>
      </c>
      <c r="D125" s="460">
        <f t="shared" si="9"/>
        <v>0</v>
      </c>
      <c r="E125" s="462">
        <f>IF(B125="","-",SUM($D$18:D125))</f>
        <v>0</v>
      </c>
      <c r="F125" s="462">
        <f t="shared" si="10"/>
        <v>0</v>
      </c>
      <c r="G125" s="462">
        <f>IF(B125="","-",SUM($F$18:F125))</f>
        <v>0</v>
      </c>
      <c r="H125" s="462">
        <f t="shared" si="11"/>
        <v>0</v>
      </c>
      <c r="I125" s="476"/>
    </row>
    <row r="126" spans="2:9" x14ac:dyDescent="0.2">
      <c r="B126" s="457">
        <f t="shared" si="12"/>
        <v>109</v>
      </c>
      <c r="C126" s="458">
        <f t="shared" si="8"/>
        <v>0</v>
      </c>
      <c r="D126" s="458">
        <f t="shared" si="9"/>
        <v>0</v>
      </c>
      <c r="E126" s="458">
        <f>IF(B126="","-",SUM($D$18:D126))</f>
        <v>0</v>
      </c>
      <c r="F126" s="458">
        <f t="shared" si="10"/>
        <v>0</v>
      </c>
      <c r="G126" s="458">
        <f>IF(B126="","-",SUM($F$18:F126))</f>
        <v>0</v>
      </c>
      <c r="H126" s="458">
        <f t="shared" si="11"/>
        <v>0</v>
      </c>
    </row>
    <row r="127" spans="2:9" x14ac:dyDescent="0.2">
      <c r="B127" s="457">
        <f t="shared" si="12"/>
        <v>110</v>
      </c>
      <c r="C127" s="458">
        <f t="shared" si="8"/>
        <v>0</v>
      </c>
      <c r="D127" s="458">
        <f t="shared" si="9"/>
        <v>0</v>
      </c>
      <c r="E127" s="458">
        <f>IF(B127="","-",SUM($D$18:D127))</f>
        <v>0</v>
      </c>
      <c r="F127" s="458">
        <f t="shared" si="10"/>
        <v>0</v>
      </c>
      <c r="G127" s="458">
        <f>IF(B127="","-",SUM($F$18:F127))</f>
        <v>0</v>
      </c>
      <c r="H127" s="458">
        <f t="shared" si="11"/>
        <v>0</v>
      </c>
    </row>
    <row r="128" spans="2:9" x14ac:dyDescent="0.2">
      <c r="B128" s="457">
        <f t="shared" si="12"/>
        <v>111</v>
      </c>
      <c r="C128" s="458">
        <f t="shared" si="8"/>
        <v>0</v>
      </c>
      <c r="D128" s="458">
        <f t="shared" si="9"/>
        <v>0</v>
      </c>
      <c r="E128" s="458">
        <f>IF(B128="","-",SUM($D$18:D128))</f>
        <v>0</v>
      </c>
      <c r="F128" s="458">
        <f t="shared" si="10"/>
        <v>0</v>
      </c>
      <c r="G128" s="458">
        <f>IF(B128="","-",SUM($F$18:F128))</f>
        <v>0</v>
      </c>
      <c r="H128" s="458">
        <f t="shared" si="11"/>
        <v>0</v>
      </c>
    </row>
    <row r="129" spans="2:9" x14ac:dyDescent="0.2">
      <c r="B129" s="457">
        <f t="shared" si="12"/>
        <v>112</v>
      </c>
      <c r="C129" s="458">
        <f t="shared" si="8"/>
        <v>0</v>
      </c>
      <c r="D129" s="458">
        <f t="shared" si="9"/>
        <v>0</v>
      </c>
      <c r="E129" s="458">
        <f>IF(B129="","-",SUM($D$18:D129))</f>
        <v>0</v>
      </c>
      <c r="F129" s="458">
        <f t="shared" si="10"/>
        <v>0</v>
      </c>
      <c r="G129" s="458">
        <f>IF(B129="","-",SUM($F$18:F129))</f>
        <v>0</v>
      </c>
      <c r="H129" s="458">
        <f t="shared" si="11"/>
        <v>0</v>
      </c>
    </row>
    <row r="130" spans="2:9" x14ac:dyDescent="0.2">
      <c r="B130" s="457">
        <f t="shared" si="12"/>
        <v>113</v>
      </c>
      <c r="C130" s="458">
        <f t="shared" si="8"/>
        <v>0</v>
      </c>
      <c r="D130" s="458">
        <f t="shared" si="9"/>
        <v>0</v>
      </c>
      <c r="E130" s="458">
        <f>IF(B130="","-",SUM($D$18:D130))</f>
        <v>0</v>
      </c>
      <c r="F130" s="458">
        <f t="shared" si="10"/>
        <v>0</v>
      </c>
      <c r="G130" s="458">
        <f>IF(B130="","-",SUM($F$18:F130))</f>
        <v>0</v>
      </c>
      <c r="H130" s="458">
        <f t="shared" si="11"/>
        <v>0</v>
      </c>
    </row>
    <row r="131" spans="2:9" x14ac:dyDescent="0.2">
      <c r="B131" s="457">
        <f t="shared" si="12"/>
        <v>114</v>
      </c>
      <c r="C131" s="458">
        <f t="shared" si="8"/>
        <v>0</v>
      </c>
      <c r="D131" s="458">
        <f t="shared" si="9"/>
        <v>0</v>
      </c>
      <c r="E131" s="458">
        <f>IF(B131="","-",SUM($D$18:D131))</f>
        <v>0</v>
      </c>
      <c r="F131" s="458">
        <f t="shared" si="10"/>
        <v>0</v>
      </c>
      <c r="G131" s="458">
        <f>IF(B131="","-",SUM($F$18:F131))</f>
        <v>0</v>
      </c>
      <c r="H131" s="458">
        <f t="shared" si="11"/>
        <v>0</v>
      </c>
    </row>
    <row r="132" spans="2:9" x14ac:dyDescent="0.2">
      <c r="B132" s="457">
        <f t="shared" si="12"/>
        <v>115</v>
      </c>
      <c r="C132" s="458">
        <f t="shared" si="8"/>
        <v>0</v>
      </c>
      <c r="D132" s="458">
        <f t="shared" si="9"/>
        <v>0</v>
      </c>
      <c r="E132" s="458">
        <f>IF(B132="","-",SUM($D$18:D132))</f>
        <v>0</v>
      </c>
      <c r="F132" s="458">
        <f t="shared" si="10"/>
        <v>0</v>
      </c>
      <c r="G132" s="458">
        <f>IF(B132="","-",SUM($F$18:F132))</f>
        <v>0</v>
      </c>
      <c r="H132" s="458">
        <f t="shared" si="11"/>
        <v>0</v>
      </c>
    </row>
    <row r="133" spans="2:9" x14ac:dyDescent="0.2">
      <c r="B133" s="457">
        <f t="shared" si="12"/>
        <v>116</v>
      </c>
      <c r="C133" s="458">
        <f t="shared" si="8"/>
        <v>0</v>
      </c>
      <c r="D133" s="458">
        <f t="shared" si="9"/>
        <v>0</v>
      </c>
      <c r="E133" s="458">
        <f>IF(B133="","-",SUM($D$18:D133))</f>
        <v>0</v>
      </c>
      <c r="F133" s="458">
        <f t="shared" si="10"/>
        <v>0</v>
      </c>
      <c r="G133" s="458">
        <f>IF(B133="","-",SUM($F$18:F133))</f>
        <v>0</v>
      </c>
      <c r="H133" s="458">
        <f t="shared" si="11"/>
        <v>0</v>
      </c>
    </row>
    <row r="134" spans="2:9" x14ac:dyDescent="0.2">
      <c r="B134" s="457">
        <f t="shared" si="12"/>
        <v>117</v>
      </c>
      <c r="C134" s="458">
        <f t="shared" si="8"/>
        <v>0</v>
      </c>
      <c r="D134" s="458">
        <f t="shared" si="9"/>
        <v>0</v>
      </c>
      <c r="E134" s="458">
        <f>IF(B134="","-",SUM($D$18:D134))</f>
        <v>0</v>
      </c>
      <c r="F134" s="458">
        <f t="shared" si="10"/>
        <v>0</v>
      </c>
      <c r="G134" s="458">
        <f>IF(B134="","-",SUM($F$18:F134))</f>
        <v>0</v>
      </c>
      <c r="H134" s="458">
        <f t="shared" si="11"/>
        <v>0</v>
      </c>
    </row>
    <row r="135" spans="2:9" x14ac:dyDescent="0.2">
      <c r="B135" s="457">
        <f t="shared" si="12"/>
        <v>118</v>
      </c>
      <c r="C135" s="458">
        <f t="shared" si="8"/>
        <v>0</v>
      </c>
      <c r="D135" s="458">
        <f t="shared" si="9"/>
        <v>0</v>
      </c>
      <c r="E135" s="458">
        <f>IF(B135="","-",SUM($D$18:D135))</f>
        <v>0</v>
      </c>
      <c r="F135" s="458">
        <f t="shared" si="10"/>
        <v>0</v>
      </c>
      <c r="G135" s="458">
        <f>IF(B135="","-",SUM($F$18:F135))</f>
        <v>0</v>
      </c>
      <c r="H135" s="458">
        <f t="shared" si="11"/>
        <v>0</v>
      </c>
    </row>
    <row r="136" spans="2:9" x14ac:dyDescent="0.2">
      <c r="B136" s="457">
        <f t="shared" si="12"/>
        <v>119</v>
      </c>
      <c r="C136" s="458">
        <f t="shared" si="8"/>
        <v>0</v>
      </c>
      <c r="D136" s="458">
        <f t="shared" si="9"/>
        <v>0</v>
      </c>
      <c r="E136" s="458">
        <f>IF(B136="","-",SUM($D$18:D136))</f>
        <v>0</v>
      </c>
      <c r="F136" s="458">
        <f t="shared" si="10"/>
        <v>0</v>
      </c>
      <c r="G136" s="458">
        <f>IF(B136="","-",SUM($F$18:F136))</f>
        <v>0</v>
      </c>
      <c r="H136" s="458">
        <f t="shared" si="11"/>
        <v>0</v>
      </c>
    </row>
    <row r="137" spans="2:9" x14ac:dyDescent="0.2">
      <c r="B137" s="459">
        <f t="shared" si="12"/>
        <v>120</v>
      </c>
      <c r="C137" s="460">
        <f t="shared" si="8"/>
        <v>0</v>
      </c>
      <c r="D137" s="460">
        <f t="shared" si="9"/>
        <v>0</v>
      </c>
      <c r="E137" s="462">
        <f>IF(B137="","-",SUM($D$18:D137))</f>
        <v>0</v>
      </c>
      <c r="F137" s="462">
        <f t="shared" si="10"/>
        <v>0</v>
      </c>
      <c r="G137" s="462">
        <f>IF(B137="","-",SUM($F$18:F137))</f>
        <v>0</v>
      </c>
      <c r="H137" s="462">
        <f t="shared" si="11"/>
        <v>0</v>
      </c>
      <c r="I137" s="476"/>
    </row>
    <row r="138" spans="2:9" x14ac:dyDescent="0.2">
      <c r="B138" s="457">
        <f t="shared" si="12"/>
        <v>121</v>
      </c>
      <c r="C138" s="458">
        <f t="shared" si="8"/>
        <v>0</v>
      </c>
      <c r="D138" s="458">
        <f t="shared" si="9"/>
        <v>0</v>
      </c>
      <c r="E138" s="458">
        <f>IF(B138="","-",SUM($D$18:D138))</f>
        <v>0</v>
      </c>
      <c r="F138" s="458">
        <f t="shared" si="10"/>
        <v>0</v>
      </c>
      <c r="G138" s="458">
        <f>IF(B138="","-",SUM($F$18:F138))</f>
        <v>0</v>
      </c>
      <c r="H138" s="458">
        <f t="shared" si="11"/>
        <v>0</v>
      </c>
    </row>
    <row r="139" spans="2:9" x14ac:dyDescent="0.2">
      <c r="B139" s="457">
        <f t="shared" si="12"/>
        <v>122</v>
      </c>
      <c r="C139" s="458">
        <f t="shared" si="8"/>
        <v>0</v>
      </c>
      <c r="D139" s="458">
        <f t="shared" si="9"/>
        <v>0</v>
      </c>
      <c r="E139" s="458">
        <f>IF(B139="","-",SUM($D$18:D139))</f>
        <v>0</v>
      </c>
      <c r="F139" s="458">
        <f t="shared" si="10"/>
        <v>0</v>
      </c>
      <c r="G139" s="458">
        <f>IF(B139="","-",SUM($F$18:F139))</f>
        <v>0</v>
      </c>
      <c r="H139" s="458">
        <f t="shared" si="11"/>
        <v>0</v>
      </c>
    </row>
    <row r="140" spans="2:9" x14ac:dyDescent="0.2">
      <c r="B140" s="457">
        <f t="shared" si="12"/>
        <v>123</v>
      </c>
      <c r="C140" s="458">
        <f t="shared" si="8"/>
        <v>0</v>
      </c>
      <c r="D140" s="458">
        <f t="shared" si="9"/>
        <v>0</v>
      </c>
      <c r="E140" s="458">
        <f>IF(B140="","-",SUM($D$18:D140))</f>
        <v>0</v>
      </c>
      <c r="F140" s="458">
        <f t="shared" si="10"/>
        <v>0</v>
      </c>
      <c r="G140" s="458">
        <f>IF(B140="","-",SUM($F$18:F140))</f>
        <v>0</v>
      </c>
      <c r="H140" s="458">
        <f t="shared" si="11"/>
        <v>0</v>
      </c>
    </row>
    <row r="141" spans="2:9" x14ac:dyDescent="0.2">
      <c r="B141" s="457">
        <f t="shared" si="12"/>
        <v>124</v>
      </c>
      <c r="C141" s="458">
        <f t="shared" si="8"/>
        <v>0</v>
      </c>
      <c r="D141" s="458">
        <f t="shared" si="9"/>
        <v>0</v>
      </c>
      <c r="E141" s="458">
        <f>IF(B141="","-",SUM($D$18:D141))</f>
        <v>0</v>
      </c>
      <c r="F141" s="458">
        <f t="shared" si="10"/>
        <v>0</v>
      </c>
      <c r="G141" s="458">
        <f>IF(B141="","-",SUM($F$18:F141))</f>
        <v>0</v>
      </c>
      <c r="H141" s="458">
        <f t="shared" si="11"/>
        <v>0</v>
      </c>
    </row>
    <row r="142" spans="2:9" x14ac:dyDescent="0.2">
      <c r="B142" s="457">
        <f t="shared" si="12"/>
        <v>125</v>
      </c>
      <c r="C142" s="458">
        <f t="shared" si="8"/>
        <v>0</v>
      </c>
      <c r="D142" s="458">
        <f t="shared" si="9"/>
        <v>0</v>
      </c>
      <c r="E142" s="458">
        <f>IF(B142="","-",SUM($D$18:D142))</f>
        <v>0</v>
      </c>
      <c r="F142" s="458">
        <f t="shared" si="10"/>
        <v>0</v>
      </c>
      <c r="G142" s="458">
        <f>IF(B142="","-",SUM($F$18:F142))</f>
        <v>0</v>
      </c>
      <c r="H142" s="458">
        <f t="shared" si="11"/>
        <v>0</v>
      </c>
    </row>
    <row r="143" spans="2:9" x14ac:dyDescent="0.2">
      <c r="B143" s="457">
        <f t="shared" si="12"/>
        <v>126</v>
      </c>
      <c r="C143" s="458">
        <f t="shared" si="8"/>
        <v>0</v>
      </c>
      <c r="D143" s="458">
        <f t="shared" si="9"/>
        <v>0</v>
      </c>
      <c r="E143" s="458">
        <f>IF(B143="","-",SUM($D$18:D143))</f>
        <v>0</v>
      </c>
      <c r="F143" s="458">
        <f t="shared" si="10"/>
        <v>0</v>
      </c>
      <c r="G143" s="458">
        <f>IF(B143="","-",SUM($F$18:F143))</f>
        <v>0</v>
      </c>
      <c r="H143" s="458">
        <f t="shared" si="11"/>
        <v>0</v>
      </c>
    </row>
    <row r="144" spans="2:9" x14ac:dyDescent="0.2">
      <c r="B144" s="457">
        <f t="shared" si="12"/>
        <v>127</v>
      </c>
      <c r="C144" s="458">
        <f t="shared" si="8"/>
        <v>0</v>
      </c>
      <c r="D144" s="458">
        <f t="shared" si="9"/>
        <v>0</v>
      </c>
      <c r="E144" s="458">
        <f>IF(B144="","-",SUM($D$18:D144))</f>
        <v>0</v>
      </c>
      <c r="F144" s="458">
        <f t="shared" si="10"/>
        <v>0</v>
      </c>
      <c r="G144" s="458">
        <f>IF(B144="","-",SUM($F$18:F144))</f>
        <v>0</v>
      </c>
      <c r="H144" s="458">
        <f t="shared" si="11"/>
        <v>0</v>
      </c>
    </row>
    <row r="145" spans="2:8" x14ac:dyDescent="0.2">
      <c r="B145" s="457">
        <f t="shared" si="12"/>
        <v>128</v>
      </c>
      <c r="C145" s="458">
        <f t="shared" si="8"/>
        <v>0</v>
      </c>
      <c r="D145" s="458">
        <f t="shared" si="9"/>
        <v>0</v>
      </c>
      <c r="E145" s="458">
        <f>IF(B145="","-",SUM($D$18:D145))</f>
        <v>0</v>
      </c>
      <c r="F145" s="458">
        <f t="shared" si="10"/>
        <v>0</v>
      </c>
      <c r="G145" s="458">
        <f>IF(B145="","-",SUM($F$18:F145))</f>
        <v>0</v>
      </c>
      <c r="H145" s="458">
        <f t="shared" si="11"/>
        <v>0</v>
      </c>
    </row>
    <row r="146" spans="2:8" x14ac:dyDescent="0.2">
      <c r="B146" s="457">
        <f t="shared" si="12"/>
        <v>129</v>
      </c>
      <c r="C146" s="458">
        <f t="shared" ref="C146:C209" si="13">IF(B146="","-",IF(B146&lt;=$D$6,D146,  $D$7))</f>
        <v>0</v>
      </c>
      <c r="D146" s="458">
        <f t="shared" ref="D146:D209" si="14">IF(B146="","-",$D$4/12*H145)</f>
        <v>0</v>
      </c>
      <c r="E146" s="458">
        <f>IF(B146="","-",SUM($D$18:D146))</f>
        <v>0</v>
      </c>
      <c r="F146" s="458">
        <f t="shared" ref="F146:F209" si="15">IF(B146="","-",C146-D146)</f>
        <v>0</v>
      </c>
      <c r="G146" s="458">
        <f>IF(B146="","-",SUM($F$18:F146))</f>
        <v>0</v>
      </c>
      <c r="H146" s="458">
        <f t="shared" ref="H146:H209" si="16">IF(B146="","-",H145-F146)</f>
        <v>0</v>
      </c>
    </row>
    <row r="147" spans="2:8" x14ac:dyDescent="0.2">
      <c r="B147" s="457">
        <f t="shared" si="12"/>
        <v>130</v>
      </c>
      <c r="C147" s="458">
        <f t="shared" si="13"/>
        <v>0</v>
      </c>
      <c r="D147" s="458">
        <f t="shared" si="14"/>
        <v>0</v>
      </c>
      <c r="E147" s="458">
        <f>IF(B147="","-",SUM($D$18:D147))</f>
        <v>0</v>
      </c>
      <c r="F147" s="458">
        <f t="shared" si="15"/>
        <v>0</v>
      </c>
      <c r="G147" s="458">
        <f>IF(B147="","-",SUM($F$18:F147))</f>
        <v>0</v>
      </c>
      <c r="H147" s="458">
        <f t="shared" si="16"/>
        <v>0</v>
      </c>
    </row>
    <row r="148" spans="2:8" x14ac:dyDescent="0.2">
      <c r="B148" s="457">
        <f t="shared" si="12"/>
        <v>131</v>
      </c>
      <c r="C148" s="458">
        <f t="shared" si="13"/>
        <v>0</v>
      </c>
      <c r="D148" s="458">
        <f t="shared" si="14"/>
        <v>0</v>
      </c>
      <c r="E148" s="458">
        <f>IF(B148="","-",SUM($D$18:D148))</f>
        <v>0</v>
      </c>
      <c r="F148" s="458">
        <f t="shared" si="15"/>
        <v>0</v>
      </c>
      <c r="G148" s="458">
        <f>IF(B148="","-",SUM($F$18:F148))</f>
        <v>0</v>
      </c>
      <c r="H148" s="458">
        <f t="shared" si="16"/>
        <v>0</v>
      </c>
    </row>
    <row r="149" spans="2:8" x14ac:dyDescent="0.2">
      <c r="B149" s="457">
        <f t="shared" si="12"/>
        <v>132</v>
      </c>
      <c r="C149" s="460">
        <f t="shared" si="13"/>
        <v>0</v>
      </c>
      <c r="D149" s="458">
        <f t="shared" si="14"/>
        <v>0</v>
      </c>
      <c r="E149" s="458">
        <f>IF(B149="","-",SUM($D$18:D149))</f>
        <v>0</v>
      </c>
      <c r="F149" s="458">
        <f t="shared" si="15"/>
        <v>0</v>
      </c>
      <c r="G149" s="458">
        <f>IF(B149="","-",SUM($F$18:F149))</f>
        <v>0</v>
      </c>
      <c r="H149" s="458">
        <f t="shared" si="16"/>
        <v>0</v>
      </c>
    </row>
    <row r="150" spans="2:8" x14ac:dyDescent="0.2">
      <c r="B150" s="457">
        <f t="shared" si="12"/>
        <v>133</v>
      </c>
      <c r="C150" s="458">
        <f t="shared" si="13"/>
        <v>0</v>
      </c>
      <c r="D150" s="458">
        <f t="shared" si="14"/>
        <v>0</v>
      </c>
      <c r="E150" s="458">
        <f>IF(B150="","-",SUM($D$18:D150))</f>
        <v>0</v>
      </c>
      <c r="F150" s="458">
        <f t="shared" si="15"/>
        <v>0</v>
      </c>
      <c r="G150" s="458">
        <f>IF(B150="","-",SUM($F$18:F150))</f>
        <v>0</v>
      </c>
      <c r="H150" s="458">
        <f t="shared" si="16"/>
        <v>0</v>
      </c>
    </row>
    <row r="151" spans="2:8" x14ac:dyDescent="0.2">
      <c r="B151" s="457">
        <f t="shared" si="12"/>
        <v>134</v>
      </c>
      <c r="C151" s="458">
        <f t="shared" si="13"/>
        <v>0</v>
      </c>
      <c r="D151" s="458">
        <f t="shared" si="14"/>
        <v>0</v>
      </c>
      <c r="E151" s="458">
        <f>IF(B151="","-",SUM($D$18:D151))</f>
        <v>0</v>
      </c>
      <c r="F151" s="458">
        <f t="shared" si="15"/>
        <v>0</v>
      </c>
      <c r="G151" s="458">
        <f>IF(B151="","-",SUM($F$18:F151))</f>
        <v>0</v>
      </c>
      <c r="H151" s="458">
        <f t="shared" si="16"/>
        <v>0</v>
      </c>
    </row>
    <row r="152" spans="2:8" x14ac:dyDescent="0.2">
      <c r="B152" s="457">
        <f t="shared" si="12"/>
        <v>135</v>
      </c>
      <c r="C152" s="458">
        <f t="shared" si="13"/>
        <v>0</v>
      </c>
      <c r="D152" s="458">
        <f t="shared" si="14"/>
        <v>0</v>
      </c>
      <c r="E152" s="458">
        <f>IF(B152="","-",SUM($D$18:D152))</f>
        <v>0</v>
      </c>
      <c r="F152" s="458">
        <f t="shared" si="15"/>
        <v>0</v>
      </c>
      <c r="G152" s="458">
        <f>IF(B152="","-",SUM($F$18:F152))</f>
        <v>0</v>
      </c>
      <c r="H152" s="458">
        <f t="shared" si="16"/>
        <v>0</v>
      </c>
    </row>
    <row r="153" spans="2:8" x14ac:dyDescent="0.2">
      <c r="B153" s="457">
        <f t="shared" si="12"/>
        <v>136</v>
      </c>
      <c r="C153" s="458">
        <f t="shared" si="13"/>
        <v>0</v>
      </c>
      <c r="D153" s="458">
        <f t="shared" si="14"/>
        <v>0</v>
      </c>
      <c r="E153" s="458">
        <f>IF(B153="","-",SUM($D$18:D153))</f>
        <v>0</v>
      </c>
      <c r="F153" s="458">
        <f t="shared" si="15"/>
        <v>0</v>
      </c>
      <c r="G153" s="458">
        <f>IF(B153="","-",SUM($F$18:F153))</f>
        <v>0</v>
      </c>
      <c r="H153" s="458">
        <f t="shared" si="16"/>
        <v>0</v>
      </c>
    </row>
    <row r="154" spans="2:8" x14ac:dyDescent="0.2">
      <c r="B154" s="457">
        <f t="shared" si="12"/>
        <v>137</v>
      </c>
      <c r="C154" s="458">
        <f t="shared" si="13"/>
        <v>0</v>
      </c>
      <c r="D154" s="458">
        <f t="shared" si="14"/>
        <v>0</v>
      </c>
      <c r="E154" s="458">
        <f>IF(B154="","-",SUM($D$18:D154))</f>
        <v>0</v>
      </c>
      <c r="F154" s="458">
        <f t="shared" si="15"/>
        <v>0</v>
      </c>
      <c r="G154" s="458">
        <f>IF(B154="","-",SUM($F$18:F154))</f>
        <v>0</v>
      </c>
      <c r="H154" s="458">
        <f t="shared" si="16"/>
        <v>0</v>
      </c>
    </row>
    <row r="155" spans="2:8" x14ac:dyDescent="0.2">
      <c r="B155" s="457">
        <f t="shared" si="12"/>
        <v>138</v>
      </c>
      <c r="C155" s="458">
        <f t="shared" si="13"/>
        <v>0</v>
      </c>
      <c r="D155" s="458">
        <f t="shared" si="14"/>
        <v>0</v>
      </c>
      <c r="E155" s="458">
        <f>IF(B155="","-",SUM($D$18:D155))</f>
        <v>0</v>
      </c>
      <c r="F155" s="458">
        <f t="shared" si="15"/>
        <v>0</v>
      </c>
      <c r="G155" s="458">
        <f>IF(B155="","-",SUM($F$18:F155))</f>
        <v>0</v>
      </c>
      <c r="H155" s="458">
        <f t="shared" si="16"/>
        <v>0</v>
      </c>
    </row>
    <row r="156" spans="2:8" x14ac:dyDescent="0.2">
      <c r="B156" s="457">
        <f t="shared" si="12"/>
        <v>139</v>
      </c>
      <c r="C156" s="458">
        <f t="shared" si="13"/>
        <v>0</v>
      </c>
      <c r="D156" s="458">
        <f t="shared" si="14"/>
        <v>0</v>
      </c>
      <c r="E156" s="458">
        <f>IF(B156="","-",SUM($D$18:D156))</f>
        <v>0</v>
      </c>
      <c r="F156" s="458">
        <f t="shared" si="15"/>
        <v>0</v>
      </c>
      <c r="G156" s="458">
        <f>IF(B156="","-",SUM($F$18:F156))</f>
        <v>0</v>
      </c>
      <c r="H156" s="458">
        <f t="shared" si="16"/>
        <v>0</v>
      </c>
    </row>
    <row r="157" spans="2:8" x14ac:dyDescent="0.2">
      <c r="B157" s="457">
        <f t="shared" si="12"/>
        <v>140</v>
      </c>
      <c r="C157" s="458">
        <f t="shared" si="13"/>
        <v>0</v>
      </c>
      <c r="D157" s="458">
        <f t="shared" si="14"/>
        <v>0</v>
      </c>
      <c r="E157" s="458">
        <f>IF(B157="","-",SUM($D$18:D157))</f>
        <v>0</v>
      </c>
      <c r="F157" s="458">
        <f t="shared" si="15"/>
        <v>0</v>
      </c>
      <c r="G157" s="458">
        <f>IF(B157="","-",SUM($F$18:F157))</f>
        <v>0</v>
      </c>
      <c r="H157" s="458">
        <f t="shared" si="16"/>
        <v>0</v>
      </c>
    </row>
    <row r="158" spans="2:8" x14ac:dyDescent="0.2">
      <c r="B158" s="457">
        <f t="shared" ref="B158:B221" si="17">IF(B157&gt;=$D$5*12,"",B157+1)</f>
        <v>141</v>
      </c>
      <c r="C158" s="458">
        <f t="shared" si="13"/>
        <v>0</v>
      </c>
      <c r="D158" s="458">
        <f t="shared" si="14"/>
        <v>0</v>
      </c>
      <c r="E158" s="458">
        <f>IF(B158="","-",SUM($D$18:D158))</f>
        <v>0</v>
      </c>
      <c r="F158" s="458">
        <f t="shared" si="15"/>
        <v>0</v>
      </c>
      <c r="G158" s="458">
        <f>IF(B158="","-",SUM($F$18:F158))</f>
        <v>0</v>
      </c>
      <c r="H158" s="458">
        <f t="shared" si="16"/>
        <v>0</v>
      </c>
    </row>
    <row r="159" spans="2:8" x14ac:dyDescent="0.2">
      <c r="B159" s="457">
        <f t="shared" si="17"/>
        <v>142</v>
      </c>
      <c r="C159" s="458">
        <f t="shared" si="13"/>
        <v>0</v>
      </c>
      <c r="D159" s="458">
        <f t="shared" si="14"/>
        <v>0</v>
      </c>
      <c r="E159" s="458">
        <f>IF(B159="","-",SUM($D$18:D159))</f>
        <v>0</v>
      </c>
      <c r="F159" s="458">
        <f t="shared" si="15"/>
        <v>0</v>
      </c>
      <c r="G159" s="458">
        <f>IF(B159="","-",SUM($F$18:F159))</f>
        <v>0</v>
      </c>
      <c r="H159" s="458">
        <f t="shared" si="16"/>
        <v>0</v>
      </c>
    </row>
    <row r="160" spans="2:8" x14ac:dyDescent="0.2">
      <c r="B160" s="457">
        <f t="shared" si="17"/>
        <v>143</v>
      </c>
      <c r="C160" s="458">
        <f t="shared" si="13"/>
        <v>0</v>
      </c>
      <c r="D160" s="458">
        <f t="shared" si="14"/>
        <v>0</v>
      </c>
      <c r="E160" s="458">
        <f>IF(B160="","-",SUM($D$18:D160))</f>
        <v>0</v>
      </c>
      <c r="F160" s="458">
        <f t="shared" si="15"/>
        <v>0</v>
      </c>
      <c r="G160" s="458">
        <f>IF(B160="","-",SUM($F$18:F160))</f>
        <v>0</v>
      </c>
      <c r="H160" s="458">
        <f t="shared" si="16"/>
        <v>0</v>
      </c>
    </row>
    <row r="161" spans="2:8" x14ac:dyDescent="0.2">
      <c r="B161" s="457">
        <f t="shared" si="17"/>
        <v>144</v>
      </c>
      <c r="C161" s="460">
        <f t="shared" si="13"/>
        <v>0</v>
      </c>
      <c r="D161" s="458">
        <f t="shared" si="14"/>
        <v>0</v>
      </c>
      <c r="E161" s="458">
        <f>IF(B161="","-",SUM($D$18:D161))</f>
        <v>0</v>
      </c>
      <c r="F161" s="458">
        <f t="shared" si="15"/>
        <v>0</v>
      </c>
      <c r="G161" s="458">
        <f>IF(B161="","-",SUM($F$18:F161))</f>
        <v>0</v>
      </c>
      <c r="H161" s="458">
        <f t="shared" si="16"/>
        <v>0</v>
      </c>
    </row>
    <row r="162" spans="2:8" x14ac:dyDescent="0.2">
      <c r="B162" s="457">
        <f t="shared" si="17"/>
        <v>145</v>
      </c>
      <c r="C162" s="458">
        <f t="shared" si="13"/>
        <v>0</v>
      </c>
      <c r="D162" s="458">
        <f t="shared" si="14"/>
        <v>0</v>
      </c>
      <c r="E162" s="458">
        <f>IF(B162="","-",SUM($D$18:D162))</f>
        <v>0</v>
      </c>
      <c r="F162" s="458">
        <f t="shared" si="15"/>
        <v>0</v>
      </c>
      <c r="G162" s="458">
        <f>IF(B162="","-",SUM($F$18:F162))</f>
        <v>0</v>
      </c>
      <c r="H162" s="458">
        <f t="shared" si="16"/>
        <v>0</v>
      </c>
    </row>
    <row r="163" spans="2:8" x14ac:dyDescent="0.2">
      <c r="B163" s="457">
        <f t="shared" si="17"/>
        <v>146</v>
      </c>
      <c r="C163" s="458">
        <f t="shared" si="13"/>
        <v>0</v>
      </c>
      <c r="D163" s="458">
        <f t="shared" si="14"/>
        <v>0</v>
      </c>
      <c r="E163" s="458">
        <f>IF(B163="","-",SUM($D$18:D163))</f>
        <v>0</v>
      </c>
      <c r="F163" s="458">
        <f t="shared" si="15"/>
        <v>0</v>
      </c>
      <c r="G163" s="458">
        <f>IF(B163="","-",SUM($F$18:F163))</f>
        <v>0</v>
      </c>
      <c r="H163" s="458">
        <f t="shared" si="16"/>
        <v>0</v>
      </c>
    </row>
    <row r="164" spans="2:8" x14ac:dyDescent="0.2">
      <c r="B164" s="457">
        <f t="shared" si="17"/>
        <v>147</v>
      </c>
      <c r="C164" s="458">
        <f t="shared" si="13"/>
        <v>0</v>
      </c>
      <c r="D164" s="458">
        <f t="shared" si="14"/>
        <v>0</v>
      </c>
      <c r="E164" s="458">
        <f>IF(B164="","-",SUM($D$18:D164))</f>
        <v>0</v>
      </c>
      <c r="F164" s="458">
        <f t="shared" si="15"/>
        <v>0</v>
      </c>
      <c r="G164" s="458">
        <f>IF(B164="","-",SUM($F$18:F164))</f>
        <v>0</v>
      </c>
      <c r="H164" s="458">
        <f t="shared" si="16"/>
        <v>0</v>
      </c>
    </row>
    <row r="165" spans="2:8" x14ac:dyDescent="0.2">
      <c r="B165" s="457">
        <f t="shared" si="17"/>
        <v>148</v>
      </c>
      <c r="C165" s="458">
        <f t="shared" si="13"/>
        <v>0</v>
      </c>
      <c r="D165" s="458">
        <f t="shared" si="14"/>
        <v>0</v>
      </c>
      <c r="E165" s="458">
        <f>IF(B165="","-",SUM($D$18:D165))</f>
        <v>0</v>
      </c>
      <c r="F165" s="458">
        <f t="shared" si="15"/>
        <v>0</v>
      </c>
      <c r="G165" s="458">
        <f>IF(B165="","-",SUM($F$18:F165))</f>
        <v>0</v>
      </c>
      <c r="H165" s="458">
        <f t="shared" si="16"/>
        <v>0</v>
      </c>
    </row>
    <row r="166" spans="2:8" x14ac:dyDescent="0.2">
      <c r="B166" s="457">
        <f t="shared" si="17"/>
        <v>149</v>
      </c>
      <c r="C166" s="458">
        <f t="shared" si="13"/>
        <v>0</v>
      </c>
      <c r="D166" s="458">
        <f t="shared" si="14"/>
        <v>0</v>
      </c>
      <c r="E166" s="458">
        <f>IF(B166="","-",SUM($D$18:D166))</f>
        <v>0</v>
      </c>
      <c r="F166" s="458">
        <f t="shared" si="15"/>
        <v>0</v>
      </c>
      <c r="G166" s="458">
        <f>IF(B166="","-",SUM($F$18:F166))</f>
        <v>0</v>
      </c>
      <c r="H166" s="458">
        <f t="shared" si="16"/>
        <v>0</v>
      </c>
    </row>
    <row r="167" spans="2:8" x14ac:dyDescent="0.2">
      <c r="B167" s="457">
        <f t="shared" si="17"/>
        <v>150</v>
      </c>
      <c r="C167" s="458">
        <f t="shared" si="13"/>
        <v>0</v>
      </c>
      <c r="D167" s="458">
        <f t="shared" si="14"/>
        <v>0</v>
      </c>
      <c r="E167" s="458">
        <f>IF(B167="","-",SUM($D$18:D167))</f>
        <v>0</v>
      </c>
      <c r="F167" s="458">
        <f t="shared" si="15"/>
        <v>0</v>
      </c>
      <c r="G167" s="458">
        <f>IF(B167="","-",SUM($F$18:F167))</f>
        <v>0</v>
      </c>
      <c r="H167" s="458">
        <f t="shared" si="16"/>
        <v>0</v>
      </c>
    </row>
    <row r="168" spans="2:8" x14ac:dyDescent="0.2">
      <c r="B168" s="457">
        <f t="shared" si="17"/>
        <v>151</v>
      </c>
      <c r="C168" s="458">
        <f t="shared" si="13"/>
        <v>0</v>
      </c>
      <c r="D168" s="458">
        <f t="shared" si="14"/>
        <v>0</v>
      </c>
      <c r="E168" s="458">
        <f>IF(B168="","-",SUM($D$18:D168))</f>
        <v>0</v>
      </c>
      <c r="F168" s="458">
        <f t="shared" si="15"/>
        <v>0</v>
      </c>
      <c r="G168" s="458">
        <f>IF(B168="","-",SUM($F$18:F168))</f>
        <v>0</v>
      </c>
      <c r="H168" s="458">
        <f t="shared" si="16"/>
        <v>0</v>
      </c>
    </row>
    <row r="169" spans="2:8" x14ac:dyDescent="0.2">
      <c r="B169" s="457">
        <f t="shared" si="17"/>
        <v>152</v>
      </c>
      <c r="C169" s="458">
        <f t="shared" si="13"/>
        <v>0</v>
      </c>
      <c r="D169" s="458">
        <f t="shared" si="14"/>
        <v>0</v>
      </c>
      <c r="E169" s="458">
        <f>IF(B169="","-",SUM($D$18:D169))</f>
        <v>0</v>
      </c>
      <c r="F169" s="458">
        <f t="shared" si="15"/>
        <v>0</v>
      </c>
      <c r="G169" s="458">
        <f>IF(B169="","-",SUM($F$18:F169))</f>
        <v>0</v>
      </c>
      <c r="H169" s="458">
        <f t="shared" si="16"/>
        <v>0</v>
      </c>
    </row>
    <row r="170" spans="2:8" x14ac:dyDescent="0.2">
      <c r="B170" s="457">
        <f t="shared" si="17"/>
        <v>153</v>
      </c>
      <c r="C170" s="458">
        <f t="shared" si="13"/>
        <v>0</v>
      </c>
      <c r="D170" s="458">
        <f t="shared" si="14"/>
        <v>0</v>
      </c>
      <c r="E170" s="458">
        <f>IF(B170="","-",SUM($D$18:D170))</f>
        <v>0</v>
      </c>
      <c r="F170" s="458">
        <f t="shared" si="15"/>
        <v>0</v>
      </c>
      <c r="G170" s="458">
        <f>IF(B170="","-",SUM($F$18:F170))</f>
        <v>0</v>
      </c>
      <c r="H170" s="458">
        <f t="shared" si="16"/>
        <v>0</v>
      </c>
    </row>
    <row r="171" spans="2:8" x14ac:dyDescent="0.2">
      <c r="B171" s="457">
        <f t="shared" si="17"/>
        <v>154</v>
      </c>
      <c r="C171" s="458">
        <f t="shared" si="13"/>
        <v>0</v>
      </c>
      <c r="D171" s="458">
        <f t="shared" si="14"/>
        <v>0</v>
      </c>
      <c r="E171" s="458">
        <f>IF(B171="","-",SUM($D$18:D171))</f>
        <v>0</v>
      </c>
      <c r="F171" s="458">
        <f t="shared" si="15"/>
        <v>0</v>
      </c>
      <c r="G171" s="458">
        <f>IF(B171="","-",SUM($F$18:F171))</f>
        <v>0</v>
      </c>
      <c r="H171" s="458">
        <f t="shared" si="16"/>
        <v>0</v>
      </c>
    </row>
    <row r="172" spans="2:8" x14ac:dyDescent="0.2">
      <c r="B172" s="457">
        <f t="shared" si="17"/>
        <v>155</v>
      </c>
      <c r="C172" s="458">
        <f t="shared" si="13"/>
        <v>0</v>
      </c>
      <c r="D172" s="458">
        <f t="shared" si="14"/>
        <v>0</v>
      </c>
      <c r="E172" s="458">
        <f>IF(B172="","-",SUM($D$18:D172))</f>
        <v>0</v>
      </c>
      <c r="F172" s="458">
        <f t="shared" si="15"/>
        <v>0</v>
      </c>
      <c r="G172" s="458">
        <f>IF(B172="","-",SUM($F$18:F172))</f>
        <v>0</v>
      </c>
      <c r="H172" s="458">
        <f t="shared" si="16"/>
        <v>0</v>
      </c>
    </row>
    <row r="173" spans="2:8" x14ac:dyDescent="0.2">
      <c r="B173" s="457">
        <f t="shared" si="17"/>
        <v>156</v>
      </c>
      <c r="C173" s="460">
        <f t="shared" si="13"/>
        <v>0</v>
      </c>
      <c r="D173" s="458">
        <f t="shared" si="14"/>
        <v>0</v>
      </c>
      <c r="E173" s="458">
        <f>IF(B173="","-",SUM($D$18:D173))</f>
        <v>0</v>
      </c>
      <c r="F173" s="458">
        <f t="shared" si="15"/>
        <v>0</v>
      </c>
      <c r="G173" s="458">
        <f>IF(B173="","-",SUM($F$18:F173))</f>
        <v>0</v>
      </c>
      <c r="H173" s="458">
        <f t="shared" si="16"/>
        <v>0</v>
      </c>
    </row>
    <row r="174" spans="2:8" x14ac:dyDescent="0.2">
      <c r="B174" s="457">
        <f t="shared" si="17"/>
        <v>157</v>
      </c>
      <c r="C174" s="458">
        <f t="shared" si="13"/>
        <v>0</v>
      </c>
      <c r="D174" s="458">
        <f t="shared" si="14"/>
        <v>0</v>
      </c>
      <c r="E174" s="458">
        <f>IF(B174="","-",SUM($D$18:D174))</f>
        <v>0</v>
      </c>
      <c r="F174" s="458">
        <f t="shared" si="15"/>
        <v>0</v>
      </c>
      <c r="G174" s="458">
        <f>IF(B174="","-",SUM($F$18:F174))</f>
        <v>0</v>
      </c>
      <c r="H174" s="458">
        <f t="shared" si="16"/>
        <v>0</v>
      </c>
    </row>
    <row r="175" spans="2:8" x14ac:dyDescent="0.2">
      <c r="B175" s="457">
        <f t="shared" si="17"/>
        <v>158</v>
      </c>
      <c r="C175" s="458">
        <f t="shared" si="13"/>
        <v>0</v>
      </c>
      <c r="D175" s="458">
        <f t="shared" si="14"/>
        <v>0</v>
      </c>
      <c r="E175" s="458">
        <f>IF(B175="","-",SUM($D$18:D175))</f>
        <v>0</v>
      </c>
      <c r="F175" s="458">
        <f t="shared" si="15"/>
        <v>0</v>
      </c>
      <c r="G175" s="458">
        <f>IF(B175="","-",SUM($F$18:F175))</f>
        <v>0</v>
      </c>
      <c r="H175" s="458">
        <f t="shared" si="16"/>
        <v>0</v>
      </c>
    </row>
    <row r="176" spans="2:8" x14ac:dyDescent="0.2">
      <c r="B176" s="457">
        <f t="shared" si="17"/>
        <v>159</v>
      </c>
      <c r="C176" s="458">
        <f t="shared" si="13"/>
        <v>0</v>
      </c>
      <c r="D176" s="458">
        <f t="shared" si="14"/>
        <v>0</v>
      </c>
      <c r="E176" s="458">
        <f>IF(B176="","-",SUM($D$18:D176))</f>
        <v>0</v>
      </c>
      <c r="F176" s="458">
        <f t="shared" si="15"/>
        <v>0</v>
      </c>
      <c r="G176" s="458">
        <f>IF(B176="","-",SUM($F$18:F176))</f>
        <v>0</v>
      </c>
      <c r="H176" s="458">
        <f t="shared" si="16"/>
        <v>0</v>
      </c>
    </row>
    <row r="177" spans="2:8" x14ac:dyDescent="0.2">
      <c r="B177" s="457">
        <f t="shared" si="17"/>
        <v>160</v>
      </c>
      <c r="C177" s="458">
        <f t="shared" si="13"/>
        <v>0</v>
      </c>
      <c r="D177" s="458">
        <f t="shared" si="14"/>
        <v>0</v>
      </c>
      <c r="E177" s="458">
        <f>IF(B177="","-",SUM($D$18:D177))</f>
        <v>0</v>
      </c>
      <c r="F177" s="458">
        <f t="shared" si="15"/>
        <v>0</v>
      </c>
      <c r="G177" s="458">
        <f>IF(B177="","-",SUM($F$18:F177))</f>
        <v>0</v>
      </c>
      <c r="H177" s="458">
        <f t="shared" si="16"/>
        <v>0</v>
      </c>
    </row>
    <row r="178" spans="2:8" x14ac:dyDescent="0.2">
      <c r="B178" s="457">
        <f t="shared" si="17"/>
        <v>161</v>
      </c>
      <c r="C178" s="458">
        <f t="shared" si="13"/>
        <v>0</v>
      </c>
      <c r="D178" s="458">
        <f t="shared" si="14"/>
        <v>0</v>
      </c>
      <c r="E178" s="458">
        <f>IF(B178="","-",SUM($D$18:D178))</f>
        <v>0</v>
      </c>
      <c r="F178" s="458">
        <f t="shared" si="15"/>
        <v>0</v>
      </c>
      <c r="G178" s="458">
        <f>IF(B178="","-",SUM($F$18:F178))</f>
        <v>0</v>
      </c>
      <c r="H178" s="458">
        <f t="shared" si="16"/>
        <v>0</v>
      </c>
    </row>
    <row r="179" spans="2:8" x14ac:dyDescent="0.2">
      <c r="B179" s="457">
        <f t="shared" si="17"/>
        <v>162</v>
      </c>
      <c r="C179" s="458">
        <f t="shared" si="13"/>
        <v>0</v>
      </c>
      <c r="D179" s="458">
        <f t="shared" si="14"/>
        <v>0</v>
      </c>
      <c r="E179" s="458">
        <f>IF(B179="","-",SUM($D$18:D179))</f>
        <v>0</v>
      </c>
      <c r="F179" s="458">
        <f t="shared" si="15"/>
        <v>0</v>
      </c>
      <c r="G179" s="458">
        <f>IF(B179="","-",SUM($F$18:F179))</f>
        <v>0</v>
      </c>
      <c r="H179" s="458">
        <f t="shared" si="16"/>
        <v>0</v>
      </c>
    </row>
    <row r="180" spans="2:8" x14ac:dyDescent="0.2">
      <c r="B180" s="457">
        <f t="shared" si="17"/>
        <v>163</v>
      </c>
      <c r="C180" s="458">
        <f t="shared" si="13"/>
        <v>0</v>
      </c>
      <c r="D180" s="458">
        <f t="shared" si="14"/>
        <v>0</v>
      </c>
      <c r="E180" s="458">
        <f>IF(B180="","-",SUM($D$18:D180))</f>
        <v>0</v>
      </c>
      <c r="F180" s="458">
        <f t="shared" si="15"/>
        <v>0</v>
      </c>
      <c r="G180" s="458">
        <f>IF(B180="","-",SUM($F$18:F180))</f>
        <v>0</v>
      </c>
      <c r="H180" s="458">
        <f t="shared" si="16"/>
        <v>0</v>
      </c>
    </row>
    <row r="181" spans="2:8" x14ac:dyDescent="0.2">
      <c r="B181" s="457">
        <f t="shared" si="17"/>
        <v>164</v>
      </c>
      <c r="C181" s="458">
        <f t="shared" si="13"/>
        <v>0</v>
      </c>
      <c r="D181" s="458">
        <f t="shared" si="14"/>
        <v>0</v>
      </c>
      <c r="E181" s="458">
        <f>IF(B181="","-",SUM($D$18:D181))</f>
        <v>0</v>
      </c>
      <c r="F181" s="458">
        <f t="shared" si="15"/>
        <v>0</v>
      </c>
      <c r="G181" s="458">
        <f>IF(B181="","-",SUM($F$18:F181))</f>
        <v>0</v>
      </c>
      <c r="H181" s="458">
        <f t="shared" si="16"/>
        <v>0</v>
      </c>
    </row>
    <row r="182" spans="2:8" x14ac:dyDescent="0.2">
      <c r="B182" s="457">
        <f t="shared" si="17"/>
        <v>165</v>
      </c>
      <c r="C182" s="458">
        <f t="shared" si="13"/>
        <v>0</v>
      </c>
      <c r="D182" s="458">
        <f t="shared" si="14"/>
        <v>0</v>
      </c>
      <c r="E182" s="458">
        <f>IF(B182="","-",SUM($D$18:D182))</f>
        <v>0</v>
      </c>
      <c r="F182" s="458">
        <f t="shared" si="15"/>
        <v>0</v>
      </c>
      <c r="G182" s="458">
        <f>IF(B182="","-",SUM($F$18:F182))</f>
        <v>0</v>
      </c>
      <c r="H182" s="458">
        <f t="shared" si="16"/>
        <v>0</v>
      </c>
    </row>
    <row r="183" spans="2:8" x14ac:dyDescent="0.2">
      <c r="B183" s="457">
        <f t="shared" si="17"/>
        <v>166</v>
      </c>
      <c r="C183" s="458">
        <f t="shared" si="13"/>
        <v>0</v>
      </c>
      <c r="D183" s="458">
        <f t="shared" si="14"/>
        <v>0</v>
      </c>
      <c r="E183" s="458">
        <f>IF(B183="","-",SUM($D$18:D183))</f>
        <v>0</v>
      </c>
      <c r="F183" s="458">
        <f t="shared" si="15"/>
        <v>0</v>
      </c>
      <c r="G183" s="458">
        <f>IF(B183="","-",SUM($F$18:F183))</f>
        <v>0</v>
      </c>
      <c r="H183" s="458">
        <f t="shared" si="16"/>
        <v>0</v>
      </c>
    </row>
    <row r="184" spans="2:8" x14ac:dyDescent="0.2">
      <c r="B184" s="457">
        <f t="shared" si="17"/>
        <v>167</v>
      </c>
      <c r="C184" s="458">
        <f t="shared" si="13"/>
        <v>0</v>
      </c>
      <c r="D184" s="458">
        <f t="shared" si="14"/>
        <v>0</v>
      </c>
      <c r="E184" s="458">
        <f>IF(B184="","-",SUM($D$18:D184))</f>
        <v>0</v>
      </c>
      <c r="F184" s="458">
        <f t="shared" si="15"/>
        <v>0</v>
      </c>
      <c r="G184" s="458">
        <f>IF(B184="","-",SUM($F$18:F184))</f>
        <v>0</v>
      </c>
      <c r="H184" s="458">
        <f t="shared" si="16"/>
        <v>0</v>
      </c>
    </row>
    <row r="185" spans="2:8" x14ac:dyDescent="0.2">
      <c r="B185" s="457">
        <f t="shared" si="17"/>
        <v>168</v>
      </c>
      <c r="C185" s="460">
        <f t="shared" si="13"/>
        <v>0</v>
      </c>
      <c r="D185" s="458">
        <f t="shared" si="14"/>
        <v>0</v>
      </c>
      <c r="E185" s="458">
        <f>IF(B185="","-",SUM($D$18:D185))</f>
        <v>0</v>
      </c>
      <c r="F185" s="458">
        <f t="shared" si="15"/>
        <v>0</v>
      </c>
      <c r="G185" s="458">
        <f>IF(B185="","-",SUM($F$18:F185))</f>
        <v>0</v>
      </c>
      <c r="H185" s="458">
        <f t="shared" si="16"/>
        <v>0</v>
      </c>
    </row>
    <row r="186" spans="2:8" x14ac:dyDescent="0.2">
      <c r="B186" s="457">
        <f t="shared" si="17"/>
        <v>169</v>
      </c>
      <c r="C186" s="458">
        <f t="shared" si="13"/>
        <v>0</v>
      </c>
      <c r="D186" s="458">
        <f t="shared" si="14"/>
        <v>0</v>
      </c>
      <c r="E186" s="458">
        <f>IF(B186="","-",SUM($D$18:D186))</f>
        <v>0</v>
      </c>
      <c r="F186" s="458">
        <f t="shared" si="15"/>
        <v>0</v>
      </c>
      <c r="G186" s="458">
        <f>IF(B186="","-",SUM($F$18:F186))</f>
        <v>0</v>
      </c>
      <c r="H186" s="458">
        <f t="shared" si="16"/>
        <v>0</v>
      </c>
    </row>
    <row r="187" spans="2:8" x14ac:dyDescent="0.2">
      <c r="B187" s="457">
        <f t="shared" si="17"/>
        <v>170</v>
      </c>
      <c r="C187" s="458">
        <f t="shared" si="13"/>
        <v>0</v>
      </c>
      <c r="D187" s="458">
        <f t="shared" si="14"/>
        <v>0</v>
      </c>
      <c r="E187" s="458">
        <f>IF(B187="","-",SUM($D$18:D187))</f>
        <v>0</v>
      </c>
      <c r="F187" s="458">
        <f t="shared" si="15"/>
        <v>0</v>
      </c>
      <c r="G187" s="458">
        <f>IF(B187="","-",SUM($F$18:F187))</f>
        <v>0</v>
      </c>
      <c r="H187" s="458">
        <f t="shared" si="16"/>
        <v>0</v>
      </c>
    </row>
    <row r="188" spans="2:8" x14ac:dyDescent="0.2">
      <c r="B188" s="457">
        <f t="shared" si="17"/>
        <v>171</v>
      </c>
      <c r="C188" s="458">
        <f t="shared" si="13"/>
        <v>0</v>
      </c>
      <c r="D188" s="458">
        <f t="shared" si="14"/>
        <v>0</v>
      </c>
      <c r="E188" s="458">
        <f>IF(B188="","-",SUM($D$18:D188))</f>
        <v>0</v>
      </c>
      <c r="F188" s="458">
        <f t="shared" si="15"/>
        <v>0</v>
      </c>
      <c r="G188" s="458">
        <f>IF(B188="","-",SUM($F$18:F188))</f>
        <v>0</v>
      </c>
      <c r="H188" s="458">
        <f t="shared" si="16"/>
        <v>0</v>
      </c>
    </row>
    <row r="189" spans="2:8" x14ac:dyDescent="0.2">
      <c r="B189" s="457">
        <f t="shared" si="17"/>
        <v>172</v>
      </c>
      <c r="C189" s="458">
        <f t="shared" si="13"/>
        <v>0</v>
      </c>
      <c r="D189" s="458">
        <f t="shared" si="14"/>
        <v>0</v>
      </c>
      <c r="E189" s="458">
        <f>IF(B189="","-",SUM($D$18:D189))</f>
        <v>0</v>
      </c>
      <c r="F189" s="458">
        <f t="shared" si="15"/>
        <v>0</v>
      </c>
      <c r="G189" s="458">
        <f>IF(B189="","-",SUM($F$18:F189))</f>
        <v>0</v>
      </c>
      <c r="H189" s="458">
        <f t="shared" si="16"/>
        <v>0</v>
      </c>
    </row>
    <row r="190" spans="2:8" x14ac:dyDescent="0.2">
      <c r="B190" s="457">
        <f t="shared" si="17"/>
        <v>173</v>
      </c>
      <c r="C190" s="458">
        <f t="shared" si="13"/>
        <v>0</v>
      </c>
      <c r="D190" s="458">
        <f t="shared" si="14"/>
        <v>0</v>
      </c>
      <c r="E190" s="458">
        <f>IF(B190="","-",SUM($D$18:D190))</f>
        <v>0</v>
      </c>
      <c r="F190" s="458">
        <f t="shared" si="15"/>
        <v>0</v>
      </c>
      <c r="G190" s="458">
        <f>IF(B190="","-",SUM($F$18:F190))</f>
        <v>0</v>
      </c>
      <c r="H190" s="458">
        <f t="shared" si="16"/>
        <v>0</v>
      </c>
    </row>
    <row r="191" spans="2:8" x14ac:dyDescent="0.2">
      <c r="B191" s="457">
        <f t="shared" si="17"/>
        <v>174</v>
      </c>
      <c r="C191" s="458">
        <f t="shared" si="13"/>
        <v>0</v>
      </c>
      <c r="D191" s="458">
        <f t="shared" si="14"/>
        <v>0</v>
      </c>
      <c r="E191" s="458">
        <f>IF(B191="","-",SUM($D$18:D191))</f>
        <v>0</v>
      </c>
      <c r="F191" s="458">
        <f t="shared" si="15"/>
        <v>0</v>
      </c>
      <c r="G191" s="458">
        <f>IF(B191="","-",SUM($F$18:F191))</f>
        <v>0</v>
      </c>
      <c r="H191" s="458">
        <f t="shared" si="16"/>
        <v>0</v>
      </c>
    </row>
    <row r="192" spans="2:8" x14ac:dyDescent="0.2">
      <c r="B192" s="457">
        <f t="shared" si="17"/>
        <v>175</v>
      </c>
      <c r="C192" s="458">
        <f t="shared" si="13"/>
        <v>0</v>
      </c>
      <c r="D192" s="458">
        <f t="shared" si="14"/>
        <v>0</v>
      </c>
      <c r="E192" s="458">
        <f>IF(B192="","-",SUM($D$18:D192))</f>
        <v>0</v>
      </c>
      <c r="F192" s="458">
        <f t="shared" si="15"/>
        <v>0</v>
      </c>
      <c r="G192" s="458">
        <f>IF(B192="","-",SUM($F$18:F192))</f>
        <v>0</v>
      </c>
      <c r="H192" s="458">
        <f t="shared" si="16"/>
        <v>0</v>
      </c>
    </row>
    <row r="193" spans="2:8" x14ac:dyDescent="0.2">
      <c r="B193" s="457">
        <f t="shared" si="17"/>
        <v>176</v>
      </c>
      <c r="C193" s="458">
        <f t="shared" si="13"/>
        <v>0</v>
      </c>
      <c r="D193" s="458">
        <f t="shared" si="14"/>
        <v>0</v>
      </c>
      <c r="E193" s="458">
        <f>IF(B193="","-",SUM($D$18:D193))</f>
        <v>0</v>
      </c>
      <c r="F193" s="458">
        <f t="shared" si="15"/>
        <v>0</v>
      </c>
      <c r="G193" s="458">
        <f>IF(B193="","-",SUM($F$18:F193))</f>
        <v>0</v>
      </c>
      <c r="H193" s="458">
        <f t="shared" si="16"/>
        <v>0</v>
      </c>
    </row>
    <row r="194" spans="2:8" x14ac:dyDescent="0.2">
      <c r="B194" s="457">
        <f t="shared" si="17"/>
        <v>177</v>
      </c>
      <c r="C194" s="458">
        <f t="shared" si="13"/>
        <v>0</v>
      </c>
      <c r="D194" s="458">
        <f t="shared" si="14"/>
        <v>0</v>
      </c>
      <c r="E194" s="458">
        <f>IF(B194="","-",SUM($D$18:D194))</f>
        <v>0</v>
      </c>
      <c r="F194" s="458">
        <f t="shared" si="15"/>
        <v>0</v>
      </c>
      <c r="G194" s="458">
        <f>IF(B194="","-",SUM($F$18:F194))</f>
        <v>0</v>
      </c>
      <c r="H194" s="458">
        <f t="shared" si="16"/>
        <v>0</v>
      </c>
    </row>
    <row r="195" spans="2:8" x14ac:dyDescent="0.2">
      <c r="B195" s="457">
        <f t="shared" si="17"/>
        <v>178</v>
      </c>
      <c r="C195" s="458">
        <f t="shared" si="13"/>
        <v>0</v>
      </c>
      <c r="D195" s="458">
        <f t="shared" si="14"/>
        <v>0</v>
      </c>
      <c r="E195" s="458">
        <f>IF(B195="","-",SUM($D$18:D195))</f>
        <v>0</v>
      </c>
      <c r="F195" s="458">
        <f t="shared" si="15"/>
        <v>0</v>
      </c>
      <c r="G195" s="458">
        <f>IF(B195="","-",SUM($F$18:F195))</f>
        <v>0</v>
      </c>
      <c r="H195" s="458">
        <f t="shared" si="16"/>
        <v>0</v>
      </c>
    </row>
    <row r="196" spans="2:8" x14ac:dyDescent="0.2">
      <c r="B196" s="457">
        <f t="shared" si="17"/>
        <v>179</v>
      </c>
      <c r="C196" s="458">
        <f t="shared" si="13"/>
        <v>0</v>
      </c>
      <c r="D196" s="458">
        <f t="shared" si="14"/>
        <v>0</v>
      </c>
      <c r="E196" s="458">
        <f>IF(B196="","-",SUM($D$18:D196))</f>
        <v>0</v>
      </c>
      <c r="F196" s="458">
        <f t="shared" si="15"/>
        <v>0</v>
      </c>
      <c r="G196" s="458">
        <f>IF(B196="","-",SUM($F$18:F196))</f>
        <v>0</v>
      </c>
      <c r="H196" s="458">
        <f t="shared" si="16"/>
        <v>0</v>
      </c>
    </row>
    <row r="197" spans="2:8" x14ac:dyDescent="0.2">
      <c r="B197" s="457">
        <f t="shared" si="17"/>
        <v>180</v>
      </c>
      <c r="C197" s="460">
        <f t="shared" si="13"/>
        <v>0</v>
      </c>
      <c r="D197" s="458">
        <f t="shared" si="14"/>
        <v>0</v>
      </c>
      <c r="E197" s="458">
        <f>IF(B197="","-",SUM($D$18:D197))</f>
        <v>0</v>
      </c>
      <c r="F197" s="458">
        <f t="shared" si="15"/>
        <v>0</v>
      </c>
      <c r="G197" s="458">
        <f>IF(B197="","-",SUM($F$18:F197))</f>
        <v>0</v>
      </c>
      <c r="H197" s="458">
        <f t="shared" si="16"/>
        <v>0</v>
      </c>
    </row>
    <row r="198" spans="2:8" x14ac:dyDescent="0.2">
      <c r="B198" s="457">
        <f t="shared" si="17"/>
        <v>181</v>
      </c>
      <c r="C198" s="458">
        <f t="shared" si="13"/>
        <v>0</v>
      </c>
      <c r="D198" s="458">
        <f t="shared" si="14"/>
        <v>0</v>
      </c>
      <c r="E198" s="458">
        <f>IF(B198="","-",SUM($D$18:D198))</f>
        <v>0</v>
      </c>
      <c r="F198" s="458">
        <f t="shared" si="15"/>
        <v>0</v>
      </c>
      <c r="G198" s="458">
        <f>IF(B198="","-",SUM($F$18:F198))</f>
        <v>0</v>
      </c>
      <c r="H198" s="458">
        <f t="shared" si="16"/>
        <v>0</v>
      </c>
    </row>
    <row r="199" spans="2:8" x14ac:dyDescent="0.2">
      <c r="B199" s="457">
        <f t="shared" si="17"/>
        <v>182</v>
      </c>
      <c r="C199" s="458">
        <f t="shared" si="13"/>
        <v>0</v>
      </c>
      <c r="D199" s="458">
        <f t="shared" si="14"/>
        <v>0</v>
      </c>
      <c r="E199" s="458">
        <f>IF(B199="","-",SUM($D$18:D199))</f>
        <v>0</v>
      </c>
      <c r="F199" s="458">
        <f t="shared" si="15"/>
        <v>0</v>
      </c>
      <c r="G199" s="458">
        <f>IF(B199="","-",SUM($F$18:F199))</f>
        <v>0</v>
      </c>
      <c r="H199" s="458">
        <f t="shared" si="16"/>
        <v>0</v>
      </c>
    </row>
    <row r="200" spans="2:8" x14ac:dyDescent="0.2">
      <c r="B200" s="457">
        <f t="shared" si="17"/>
        <v>183</v>
      </c>
      <c r="C200" s="458">
        <f t="shared" si="13"/>
        <v>0</v>
      </c>
      <c r="D200" s="458">
        <f t="shared" si="14"/>
        <v>0</v>
      </c>
      <c r="E200" s="458">
        <f>IF(B200="","-",SUM($D$18:D200))</f>
        <v>0</v>
      </c>
      <c r="F200" s="458">
        <f t="shared" si="15"/>
        <v>0</v>
      </c>
      <c r="G200" s="458">
        <f>IF(B200="","-",SUM($F$18:F200))</f>
        <v>0</v>
      </c>
      <c r="H200" s="458">
        <f t="shared" si="16"/>
        <v>0</v>
      </c>
    </row>
    <row r="201" spans="2:8" x14ac:dyDescent="0.2">
      <c r="B201" s="457">
        <f t="shared" si="17"/>
        <v>184</v>
      </c>
      <c r="C201" s="458">
        <f t="shared" si="13"/>
        <v>0</v>
      </c>
      <c r="D201" s="458">
        <f t="shared" si="14"/>
        <v>0</v>
      </c>
      <c r="E201" s="458">
        <f>IF(B201="","-",SUM($D$18:D201))</f>
        <v>0</v>
      </c>
      <c r="F201" s="458">
        <f t="shared" si="15"/>
        <v>0</v>
      </c>
      <c r="G201" s="458">
        <f>IF(B201="","-",SUM($F$18:F201))</f>
        <v>0</v>
      </c>
      <c r="H201" s="458">
        <f t="shared" si="16"/>
        <v>0</v>
      </c>
    </row>
    <row r="202" spans="2:8" x14ac:dyDescent="0.2">
      <c r="B202" s="457">
        <f t="shared" si="17"/>
        <v>185</v>
      </c>
      <c r="C202" s="458">
        <f t="shared" si="13"/>
        <v>0</v>
      </c>
      <c r="D202" s="458">
        <f t="shared" si="14"/>
        <v>0</v>
      </c>
      <c r="E202" s="458">
        <f>IF(B202="","-",SUM($D$18:D202))</f>
        <v>0</v>
      </c>
      <c r="F202" s="458">
        <f t="shared" si="15"/>
        <v>0</v>
      </c>
      <c r="G202" s="458">
        <f>IF(B202="","-",SUM($F$18:F202))</f>
        <v>0</v>
      </c>
      <c r="H202" s="458">
        <f t="shared" si="16"/>
        <v>0</v>
      </c>
    </row>
    <row r="203" spans="2:8" x14ac:dyDescent="0.2">
      <c r="B203" s="457">
        <f t="shared" si="17"/>
        <v>186</v>
      </c>
      <c r="C203" s="458">
        <f t="shared" si="13"/>
        <v>0</v>
      </c>
      <c r="D203" s="458">
        <f t="shared" si="14"/>
        <v>0</v>
      </c>
      <c r="E203" s="458">
        <f>IF(B203="","-",SUM($D$18:D203))</f>
        <v>0</v>
      </c>
      <c r="F203" s="458">
        <f t="shared" si="15"/>
        <v>0</v>
      </c>
      <c r="G203" s="458">
        <f>IF(B203="","-",SUM($F$18:F203))</f>
        <v>0</v>
      </c>
      <c r="H203" s="458">
        <f t="shared" si="16"/>
        <v>0</v>
      </c>
    </row>
    <row r="204" spans="2:8" x14ac:dyDescent="0.2">
      <c r="B204" s="457">
        <f t="shared" si="17"/>
        <v>187</v>
      </c>
      <c r="C204" s="458">
        <f t="shared" si="13"/>
        <v>0</v>
      </c>
      <c r="D204" s="458">
        <f t="shared" si="14"/>
        <v>0</v>
      </c>
      <c r="E204" s="458">
        <f>IF(B204="","-",SUM($D$18:D204))</f>
        <v>0</v>
      </c>
      <c r="F204" s="458">
        <f t="shared" si="15"/>
        <v>0</v>
      </c>
      <c r="G204" s="458">
        <f>IF(B204="","-",SUM($F$18:F204))</f>
        <v>0</v>
      </c>
      <c r="H204" s="458">
        <f t="shared" si="16"/>
        <v>0</v>
      </c>
    </row>
    <row r="205" spans="2:8" x14ac:dyDescent="0.2">
      <c r="B205" s="457">
        <f t="shared" si="17"/>
        <v>188</v>
      </c>
      <c r="C205" s="458">
        <f t="shared" si="13"/>
        <v>0</v>
      </c>
      <c r="D205" s="458">
        <f t="shared" si="14"/>
        <v>0</v>
      </c>
      <c r="E205" s="458">
        <f>IF(B205="","-",SUM($D$18:D205))</f>
        <v>0</v>
      </c>
      <c r="F205" s="458">
        <f t="shared" si="15"/>
        <v>0</v>
      </c>
      <c r="G205" s="458">
        <f>IF(B205="","-",SUM($F$18:F205))</f>
        <v>0</v>
      </c>
      <c r="H205" s="458">
        <f t="shared" si="16"/>
        <v>0</v>
      </c>
    </row>
    <row r="206" spans="2:8" x14ac:dyDescent="0.2">
      <c r="B206" s="457">
        <f t="shared" si="17"/>
        <v>189</v>
      </c>
      <c r="C206" s="458">
        <f t="shared" si="13"/>
        <v>0</v>
      </c>
      <c r="D206" s="458">
        <f t="shared" si="14"/>
        <v>0</v>
      </c>
      <c r="E206" s="458">
        <f>IF(B206="","-",SUM($D$18:D206))</f>
        <v>0</v>
      </c>
      <c r="F206" s="458">
        <f t="shared" si="15"/>
        <v>0</v>
      </c>
      <c r="G206" s="458">
        <f>IF(B206="","-",SUM($F$18:F206))</f>
        <v>0</v>
      </c>
      <c r="H206" s="458">
        <f t="shared" si="16"/>
        <v>0</v>
      </c>
    </row>
    <row r="207" spans="2:8" x14ac:dyDescent="0.2">
      <c r="B207" s="457">
        <f t="shared" si="17"/>
        <v>190</v>
      </c>
      <c r="C207" s="458">
        <f t="shared" si="13"/>
        <v>0</v>
      </c>
      <c r="D207" s="458">
        <f t="shared" si="14"/>
        <v>0</v>
      </c>
      <c r="E207" s="458">
        <f>IF(B207="","-",SUM($D$18:D207))</f>
        <v>0</v>
      </c>
      <c r="F207" s="458">
        <f t="shared" si="15"/>
        <v>0</v>
      </c>
      <c r="G207" s="458">
        <f>IF(B207="","-",SUM($F$18:F207))</f>
        <v>0</v>
      </c>
      <c r="H207" s="458">
        <f t="shared" si="16"/>
        <v>0</v>
      </c>
    </row>
    <row r="208" spans="2:8" x14ac:dyDescent="0.2">
      <c r="B208" s="457">
        <f t="shared" si="17"/>
        <v>191</v>
      </c>
      <c r="C208" s="458">
        <f t="shared" si="13"/>
        <v>0</v>
      </c>
      <c r="D208" s="458">
        <f t="shared" si="14"/>
        <v>0</v>
      </c>
      <c r="E208" s="458">
        <f>IF(B208="","-",SUM($D$18:D208))</f>
        <v>0</v>
      </c>
      <c r="F208" s="458">
        <f t="shared" si="15"/>
        <v>0</v>
      </c>
      <c r="G208" s="458">
        <f>IF(B208="","-",SUM($F$18:F208))</f>
        <v>0</v>
      </c>
      <c r="H208" s="458">
        <f t="shared" si="16"/>
        <v>0</v>
      </c>
    </row>
    <row r="209" spans="2:8" x14ac:dyDescent="0.2">
      <c r="B209" s="457">
        <f t="shared" si="17"/>
        <v>192</v>
      </c>
      <c r="C209" s="460">
        <f t="shared" si="13"/>
        <v>0</v>
      </c>
      <c r="D209" s="458">
        <f t="shared" si="14"/>
        <v>0</v>
      </c>
      <c r="E209" s="458">
        <f>IF(B209="","-",SUM($D$18:D209))</f>
        <v>0</v>
      </c>
      <c r="F209" s="458">
        <f t="shared" si="15"/>
        <v>0</v>
      </c>
      <c r="G209" s="458">
        <f>IF(B209="","-",SUM($F$18:F209))</f>
        <v>0</v>
      </c>
      <c r="H209" s="458">
        <f t="shared" si="16"/>
        <v>0</v>
      </c>
    </row>
    <row r="210" spans="2:8" x14ac:dyDescent="0.2">
      <c r="B210" s="457">
        <f t="shared" si="17"/>
        <v>193</v>
      </c>
      <c r="C210" s="458">
        <f t="shared" ref="C210:C257" si="18">IF(B210="","-",IF(B210&lt;=$D$6,D210,  $D$7))</f>
        <v>0</v>
      </c>
      <c r="D210" s="458">
        <f t="shared" ref="D210:D273" si="19">IF(B210="","-",$D$4/12*H209)</f>
        <v>0</v>
      </c>
      <c r="E210" s="458">
        <f>IF(B210="","-",SUM($D$18:D210))</f>
        <v>0</v>
      </c>
      <c r="F210" s="458">
        <f t="shared" ref="F210:F273" si="20">IF(B210="","-",C210-D210)</f>
        <v>0</v>
      </c>
      <c r="G210" s="458">
        <f>IF(B210="","-",SUM($F$18:F210))</f>
        <v>0</v>
      </c>
      <c r="H210" s="458">
        <f t="shared" ref="H210:H273" si="21">IF(B210="","-",H209-F210)</f>
        <v>0</v>
      </c>
    </row>
    <row r="211" spans="2:8" x14ac:dyDescent="0.2">
      <c r="B211" s="457">
        <f t="shared" si="17"/>
        <v>194</v>
      </c>
      <c r="C211" s="458">
        <f t="shared" si="18"/>
        <v>0</v>
      </c>
      <c r="D211" s="458">
        <f t="shared" si="19"/>
        <v>0</v>
      </c>
      <c r="E211" s="458">
        <f>IF(B211="","-",SUM($D$18:D211))</f>
        <v>0</v>
      </c>
      <c r="F211" s="458">
        <f t="shared" si="20"/>
        <v>0</v>
      </c>
      <c r="G211" s="458">
        <f>IF(B211="","-",SUM($F$18:F211))</f>
        <v>0</v>
      </c>
      <c r="H211" s="458">
        <f t="shared" si="21"/>
        <v>0</v>
      </c>
    </row>
    <row r="212" spans="2:8" x14ac:dyDescent="0.2">
      <c r="B212" s="457">
        <f t="shared" si="17"/>
        <v>195</v>
      </c>
      <c r="C212" s="458">
        <f t="shared" si="18"/>
        <v>0</v>
      </c>
      <c r="D212" s="458">
        <f t="shared" si="19"/>
        <v>0</v>
      </c>
      <c r="E212" s="458">
        <f>IF(B212="","-",SUM($D$18:D212))</f>
        <v>0</v>
      </c>
      <c r="F212" s="458">
        <f t="shared" si="20"/>
        <v>0</v>
      </c>
      <c r="G212" s="458">
        <f>IF(B212="","-",SUM($F$18:F212))</f>
        <v>0</v>
      </c>
      <c r="H212" s="458">
        <f t="shared" si="21"/>
        <v>0</v>
      </c>
    </row>
    <row r="213" spans="2:8" x14ac:dyDescent="0.2">
      <c r="B213" s="457">
        <f t="shared" si="17"/>
        <v>196</v>
      </c>
      <c r="C213" s="458">
        <f t="shared" si="18"/>
        <v>0</v>
      </c>
      <c r="D213" s="458">
        <f t="shared" si="19"/>
        <v>0</v>
      </c>
      <c r="E213" s="458">
        <f>IF(B213="","-",SUM($D$18:D213))</f>
        <v>0</v>
      </c>
      <c r="F213" s="458">
        <f t="shared" si="20"/>
        <v>0</v>
      </c>
      <c r="G213" s="458">
        <f>IF(B213="","-",SUM($F$18:F213))</f>
        <v>0</v>
      </c>
      <c r="H213" s="458">
        <f t="shared" si="21"/>
        <v>0</v>
      </c>
    </row>
    <row r="214" spans="2:8" x14ac:dyDescent="0.2">
      <c r="B214" s="457">
        <f t="shared" si="17"/>
        <v>197</v>
      </c>
      <c r="C214" s="458">
        <f t="shared" si="18"/>
        <v>0</v>
      </c>
      <c r="D214" s="458">
        <f t="shared" si="19"/>
        <v>0</v>
      </c>
      <c r="E214" s="458">
        <f>IF(B214="","-",SUM($D$18:D214))</f>
        <v>0</v>
      </c>
      <c r="F214" s="458">
        <f t="shared" si="20"/>
        <v>0</v>
      </c>
      <c r="G214" s="458">
        <f>IF(B214="","-",SUM($F$18:F214))</f>
        <v>0</v>
      </c>
      <c r="H214" s="458">
        <f t="shared" si="21"/>
        <v>0</v>
      </c>
    </row>
    <row r="215" spans="2:8" x14ac:dyDescent="0.2">
      <c r="B215" s="457">
        <f t="shared" si="17"/>
        <v>198</v>
      </c>
      <c r="C215" s="458">
        <f t="shared" si="18"/>
        <v>0</v>
      </c>
      <c r="D215" s="458">
        <f t="shared" si="19"/>
        <v>0</v>
      </c>
      <c r="E215" s="458">
        <f>IF(B215="","-",SUM($D$18:D215))</f>
        <v>0</v>
      </c>
      <c r="F215" s="458">
        <f t="shared" si="20"/>
        <v>0</v>
      </c>
      <c r="G215" s="458">
        <f>IF(B215="","-",SUM($F$18:F215))</f>
        <v>0</v>
      </c>
      <c r="H215" s="458">
        <f t="shared" si="21"/>
        <v>0</v>
      </c>
    </row>
    <row r="216" spans="2:8" x14ac:dyDescent="0.2">
      <c r="B216" s="457">
        <f t="shared" si="17"/>
        <v>199</v>
      </c>
      <c r="C216" s="458">
        <f t="shared" si="18"/>
        <v>0</v>
      </c>
      <c r="D216" s="458">
        <f t="shared" si="19"/>
        <v>0</v>
      </c>
      <c r="E216" s="458">
        <f>IF(B216="","-",SUM($D$18:D216))</f>
        <v>0</v>
      </c>
      <c r="F216" s="458">
        <f t="shared" si="20"/>
        <v>0</v>
      </c>
      <c r="G216" s="458">
        <f>IF(B216="","-",SUM($F$18:F216))</f>
        <v>0</v>
      </c>
      <c r="H216" s="458">
        <f t="shared" si="21"/>
        <v>0</v>
      </c>
    </row>
    <row r="217" spans="2:8" x14ac:dyDescent="0.2">
      <c r="B217" s="457">
        <f t="shared" si="17"/>
        <v>200</v>
      </c>
      <c r="C217" s="458">
        <f t="shared" si="18"/>
        <v>0</v>
      </c>
      <c r="D217" s="458">
        <f t="shared" si="19"/>
        <v>0</v>
      </c>
      <c r="E217" s="458">
        <f>IF(B217="","-",SUM($D$18:D217))</f>
        <v>0</v>
      </c>
      <c r="F217" s="458">
        <f t="shared" si="20"/>
        <v>0</v>
      </c>
      <c r="G217" s="458">
        <f>IF(B217="","-",SUM($F$18:F217))</f>
        <v>0</v>
      </c>
      <c r="H217" s="458">
        <f t="shared" si="21"/>
        <v>0</v>
      </c>
    </row>
    <row r="218" spans="2:8" x14ac:dyDescent="0.2">
      <c r="B218" s="457">
        <f t="shared" si="17"/>
        <v>201</v>
      </c>
      <c r="C218" s="458">
        <f t="shared" si="18"/>
        <v>0</v>
      </c>
      <c r="D218" s="458">
        <f t="shared" si="19"/>
        <v>0</v>
      </c>
      <c r="E218" s="458">
        <f>IF(B218="","-",SUM($D$18:D218))</f>
        <v>0</v>
      </c>
      <c r="F218" s="458">
        <f t="shared" si="20"/>
        <v>0</v>
      </c>
      <c r="G218" s="458">
        <f>IF(B218="","-",SUM($F$18:F218))</f>
        <v>0</v>
      </c>
      <c r="H218" s="458">
        <f t="shared" si="21"/>
        <v>0</v>
      </c>
    </row>
    <row r="219" spans="2:8" x14ac:dyDescent="0.2">
      <c r="B219" s="457">
        <f t="shared" si="17"/>
        <v>202</v>
      </c>
      <c r="C219" s="458">
        <f t="shared" si="18"/>
        <v>0</v>
      </c>
      <c r="D219" s="458">
        <f t="shared" si="19"/>
        <v>0</v>
      </c>
      <c r="E219" s="458">
        <f>IF(B219="","-",SUM($D$18:D219))</f>
        <v>0</v>
      </c>
      <c r="F219" s="458">
        <f t="shared" si="20"/>
        <v>0</v>
      </c>
      <c r="G219" s="458">
        <f>IF(B219="","-",SUM($F$18:F219))</f>
        <v>0</v>
      </c>
      <c r="H219" s="458">
        <f t="shared" si="21"/>
        <v>0</v>
      </c>
    </row>
    <row r="220" spans="2:8" x14ac:dyDescent="0.2">
      <c r="B220" s="457">
        <f t="shared" si="17"/>
        <v>203</v>
      </c>
      <c r="C220" s="458">
        <f t="shared" si="18"/>
        <v>0</v>
      </c>
      <c r="D220" s="458">
        <f t="shared" si="19"/>
        <v>0</v>
      </c>
      <c r="E220" s="458">
        <f>IF(B220="","-",SUM($D$18:D220))</f>
        <v>0</v>
      </c>
      <c r="F220" s="458">
        <f t="shared" si="20"/>
        <v>0</v>
      </c>
      <c r="G220" s="458">
        <f>IF(B220="","-",SUM($F$18:F220))</f>
        <v>0</v>
      </c>
      <c r="H220" s="458">
        <f t="shared" si="21"/>
        <v>0</v>
      </c>
    </row>
    <row r="221" spans="2:8" x14ac:dyDescent="0.2">
      <c r="B221" s="457">
        <f t="shared" si="17"/>
        <v>204</v>
      </c>
      <c r="C221" s="460">
        <f t="shared" si="18"/>
        <v>0</v>
      </c>
      <c r="D221" s="458">
        <f t="shared" si="19"/>
        <v>0</v>
      </c>
      <c r="E221" s="458">
        <f>IF(B221="","-",SUM($D$18:D221))</f>
        <v>0</v>
      </c>
      <c r="F221" s="458">
        <f t="shared" si="20"/>
        <v>0</v>
      </c>
      <c r="G221" s="458">
        <f>IF(B221="","-",SUM($F$18:F221))</f>
        <v>0</v>
      </c>
      <c r="H221" s="458">
        <f t="shared" si="21"/>
        <v>0</v>
      </c>
    </row>
    <row r="222" spans="2:8" x14ac:dyDescent="0.2">
      <c r="B222" s="457">
        <f t="shared" ref="B222:B285" si="22">IF(B221&gt;=$D$5*12,"",B221+1)</f>
        <v>205</v>
      </c>
      <c r="C222" s="458">
        <f t="shared" si="18"/>
        <v>0</v>
      </c>
      <c r="D222" s="458">
        <f t="shared" si="19"/>
        <v>0</v>
      </c>
      <c r="E222" s="458">
        <f>IF(B222="","-",SUM($D$18:D222))</f>
        <v>0</v>
      </c>
      <c r="F222" s="458">
        <f t="shared" si="20"/>
        <v>0</v>
      </c>
      <c r="G222" s="458">
        <f>IF(B222="","-",SUM($F$18:F222))</f>
        <v>0</v>
      </c>
      <c r="H222" s="458">
        <f t="shared" si="21"/>
        <v>0</v>
      </c>
    </row>
    <row r="223" spans="2:8" x14ac:dyDescent="0.2">
      <c r="B223" s="457">
        <f t="shared" si="22"/>
        <v>206</v>
      </c>
      <c r="C223" s="458">
        <f t="shared" si="18"/>
        <v>0</v>
      </c>
      <c r="D223" s="458">
        <f t="shared" si="19"/>
        <v>0</v>
      </c>
      <c r="E223" s="458">
        <f>IF(B223="","-",SUM($D$18:D223))</f>
        <v>0</v>
      </c>
      <c r="F223" s="458">
        <f t="shared" si="20"/>
        <v>0</v>
      </c>
      <c r="G223" s="458">
        <f>IF(B223="","-",SUM($F$18:F223))</f>
        <v>0</v>
      </c>
      <c r="H223" s="458">
        <f t="shared" si="21"/>
        <v>0</v>
      </c>
    </row>
    <row r="224" spans="2:8" x14ac:dyDescent="0.2">
      <c r="B224" s="457">
        <f t="shared" si="22"/>
        <v>207</v>
      </c>
      <c r="C224" s="458">
        <f t="shared" si="18"/>
        <v>0</v>
      </c>
      <c r="D224" s="458">
        <f t="shared" si="19"/>
        <v>0</v>
      </c>
      <c r="E224" s="458">
        <f>IF(B224="","-",SUM($D$18:D224))</f>
        <v>0</v>
      </c>
      <c r="F224" s="458">
        <f t="shared" si="20"/>
        <v>0</v>
      </c>
      <c r="G224" s="458">
        <f>IF(B224="","-",SUM($F$18:F224))</f>
        <v>0</v>
      </c>
      <c r="H224" s="458">
        <f t="shared" si="21"/>
        <v>0</v>
      </c>
    </row>
    <row r="225" spans="2:8" x14ac:dyDescent="0.2">
      <c r="B225" s="457">
        <f t="shared" si="22"/>
        <v>208</v>
      </c>
      <c r="C225" s="458">
        <f t="shared" si="18"/>
        <v>0</v>
      </c>
      <c r="D225" s="458">
        <f t="shared" si="19"/>
        <v>0</v>
      </c>
      <c r="E225" s="458">
        <f>IF(B225="","-",SUM($D$18:D225))</f>
        <v>0</v>
      </c>
      <c r="F225" s="458">
        <f t="shared" si="20"/>
        <v>0</v>
      </c>
      <c r="G225" s="458">
        <f>IF(B225="","-",SUM($F$18:F225))</f>
        <v>0</v>
      </c>
      <c r="H225" s="458">
        <f t="shared" si="21"/>
        <v>0</v>
      </c>
    </row>
    <row r="226" spans="2:8" x14ac:dyDescent="0.2">
      <c r="B226" s="457">
        <f t="shared" si="22"/>
        <v>209</v>
      </c>
      <c r="C226" s="458">
        <f t="shared" si="18"/>
        <v>0</v>
      </c>
      <c r="D226" s="458">
        <f t="shared" si="19"/>
        <v>0</v>
      </c>
      <c r="E226" s="458">
        <f>IF(B226="","-",SUM($D$18:D226))</f>
        <v>0</v>
      </c>
      <c r="F226" s="458">
        <f t="shared" si="20"/>
        <v>0</v>
      </c>
      <c r="G226" s="458">
        <f>IF(B226="","-",SUM($F$18:F226))</f>
        <v>0</v>
      </c>
      <c r="H226" s="458">
        <f t="shared" si="21"/>
        <v>0</v>
      </c>
    </row>
    <row r="227" spans="2:8" x14ac:dyDescent="0.2">
      <c r="B227" s="457">
        <f t="shared" si="22"/>
        <v>210</v>
      </c>
      <c r="C227" s="458">
        <f t="shared" si="18"/>
        <v>0</v>
      </c>
      <c r="D227" s="458">
        <f t="shared" si="19"/>
        <v>0</v>
      </c>
      <c r="E227" s="458">
        <f>IF(B227="","-",SUM($D$18:D227))</f>
        <v>0</v>
      </c>
      <c r="F227" s="458">
        <f t="shared" si="20"/>
        <v>0</v>
      </c>
      <c r="G227" s="458">
        <f>IF(B227="","-",SUM($F$18:F227))</f>
        <v>0</v>
      </c>
      <c r="H227" s="458">
        <f t="shared" si="21"/>
        <v>0</v>
      </c>
    </row>
    <row r="228" spans="2:8" x14ac:dyDescent="0.2">
      <c r="B228" s="457">
        <f t="shared" si="22"/>
        <v>211</v>
      </c>
      <c r="C228" s="458">
        <f t="shared" si="18"/>
        <v>0</v>
      </c>
      <c r="D228" s="458">
        <f t="shared" si="19"/>
        <v>0</v>
      </c>
      <c r="E228" s="458">
        <f>IF(B228="","-",SUM($D$18:D228))</f>
        <v>0</v>
      </c>
      <c r="F228" s="458">
        <f t="shared" si="20"/>
        <v>0</v>
      </c>
      <c r="G228" s="458">
        <f>IF(B228="","-",SUM($F$18:F228))</f>
        <v>0</v>
      </c>
      <c r="H228" s="458">
        <f t="shared" si="21"/>
        <v>0</v>
      </c>
    </row>
    <row r="229" spans="2:8" x14ac:dyDescent="0.2">
      <c r="B229" s="457">
        <f t="shared" si="22"/>
        <v>212</v>
      </c>
      <c r="C229" s="458">
        <f t="shared" si="18"/>
        <v>0</v>
      </c>
      <c r="D229" s="458">
        <f t="shared" si="19"/>
        <v>0</v>
      </c>
      <c r="E229" s="458">
        <f>IF(B229="","-",SUM($D$18:D229))</f>
        <v>0</v>
      </c>
      <c r="F229" s="458">
        <f t="shared" si="20"/>
        <v>0</v>
      </c>
      <c r="G229" s="458">
        <f>IF(B229="","-",SUM($F$18:F229))</f>
        <v>0</v>
      </c>
      <c r="H229" s="458">
        <f t="shared" si="21"/>
        <v>0</v>
      </c>
    </row>
    <row r="230" spans="2:8" x14ac:dyDescent="0.2">
      <c r="B230" s="457">
        <f t="shared" si="22"/>
        <v>213</v>
      </c>
      <c r="C230" s="458">
        <f t="shared" si="18"/>
        <v>0</v>
      </c>
      <c r="D230" s="458">
        <f t="shared" si="19"/>
        <v>0</v>
      </c>
      <c r="E230" s="458">
        <f>IF(B230="","-",SUM($D$18:D230))</f>
        <v>0</v>
      </c>
      <c r="F230" s="458">
        <f t="shared" si="20"/>
        <v>0</v>
      </c>
      <c r="G230" s="458">
        <f>IF(B230="","-",SUM($F$18:F230))</f>
        <v>0</v>
      </c>
      <c r="H230" s="458">
        <f t="shared" si="21"/>
        <v>0</v>
      </c>
    </row>
    <row r="231" spans="2:8" x14ac:dyDescent="0.2">
      <c r="B231" s="457">
        <f t="shared" si="22"/>
        <v>214</v>
      </c>
      <c r="C231" s="458">
        <f t="shared" si="18"/>
        <v>0</v>
      </c>
      <c r="D231" s="458">
        <f t="shared" si="19"/>
        <v>0</v>
      </c>
      <c r="E231" s="458">
        <f>IF(B231="","-",SUM($D$18:D231))</f>
        <v>0</v>
      </c>
      <c r="F231" s="458">
        <f t="shared" si="20"/>
        <v>0</v>
      </c>
      <c r="G231" s="458">
        <f>IF(B231="","-",SUM($F$18:F231))</f>
        <v>0</v>
      </c>
      <c r="H231" s="458">
        <f t="shared" si="21"/>
        <v>0</v>
      </c>
    </row>
    <row r="232" spans="2:8" x14ac:dyDescent="0.2">
      <c r="B232" s="457">
        <f t="shared" si="22"/>
        <v>215</v>
      </c>
      <c r="C232" s="458">
        <f t="shared" si="18"/>
        <v>0</v>
      </c>
      <c r="D232" s="458">
        <f t="shared" si="19"/>
        <v>0</v>
      </c>
      <c r="E232" s="458">
        <f>IF(B232="","-",SUM($D$18:D232))</f>
        <v>0</v>
      </c>
      <c r="F232" s="458">
        <f t="shared" si="20"/>
        <v>0</v>
      </c>
      <c r="G232" s="458">
        <f>IF(B232="","-",SUM($F$18:F232))</f>
        <v>0</v>
      </c>
      <c r="H232" s="458">
        <f t="shared" si="21"/>
        <v>0</v>
      </c>
    </row>
    <row r="233" spans="2:8" x14ac:dyDescent="0.2">
      <c r="B233" s="457">
        <f t="shared" si="22"/>
        <v>216</v>
      </c>
      <c r="C233" s="460">
        <f t="shared" si="18"/>
        <v>0</v>
      </c>
      <c r="D233" s="458">
        <f t="shared" si="19"/>
        <v>0</v>
      </c>
      <c r="E233" s="458">
        <f>IF(B233="","-",SUM($D$18:D233))</f>
        <v>0</v>
      </c>
      <c r="F233" s="458">
        <f t="shared" si="20"/>
        <v>0</v>
      </c>
      <c r="G233" s="458">
        <f>IF(B233="","-",SUM($F$18:F233))</f>
        <v>0</v>
      </c>
      <c r="H233" s="458">
        <f t="shared" si="21"/>
        <v>0</v>
      </c>
    </row>
    <row r="234" spans="2:8" x14ac:dyDescent="0.2">
      <c r="B234" s="457">
        <f t="shared" si="22"/>
        <v>217</v>
      </c>
      <c r="C234" s="458">
        <f t="shared" si="18"/>
        <v>0</v>
      </c>
      <c r="D234" s="458">
        <f t="shared" si="19"/>
        <v>0</v>
      </c>
      <c r="E234" s="458">
        <f>IF(B234="","-",SUM($D$18:D234))</f>
        <v>0</v>
      </c>
      <c r="F234" s="458">
        <f t="shared" si="20"/>
        <v>0</v>
      </c>
      <c r="G234" s="458">
        <f>IF(B234="","-",SUM($F$18:F234))</f>
        <v>0</v>
      </c>
      <c r="H234" s="458">
        <f t="shared" si="21"/>
        <v>0</v>
      </c>
    </row>
    <row r="235" spans="2:8" x14ac:dyDescent="0.2">
      <c r="B235" s="457">
        <f t="shared" si="22"/>
        <v>218</v>
      </c>
      <c r="C235" s="458">
        <f t="shared" si="18"/>
        <v>0</v>
      </c>
      <c r="D235" s="458">
        <f t="shared" si="19"/>
        <v>0</v>
      </c>
      <c r="E235" s="458">
        <f>IF(B235="","-",SUM($D$18:D235))</f>
        <v>0</v>
      </c>
      <c r="F235" s="458">
        <f t="shared" si="20"/>
        <v>0</v>
      </c>
      <c r="G235" s="458">
        <f>IF(B235="","-",SUM($F$18:F235))</f>
        <v>0</v>
      </c>
      <c r="H235" s="458">
        <f t="shared" si="21"/>
        <v>0</v>
      </c>
    </row>
    <row r="236" spans="2:8" x14ac:dyDescent="0.2">
      <c r="B236" s="457">
        <f t="shared" si="22"/>
        <v>219</v>
      </c>
      <c r="C236" s="458">
        <f t="shared" si="18"/>
        <v>0</v>
      </c>
      <c r="D236" s="458">
        <f t="shared" si="19"/>
        <v>0</v>
      </c>
      <c r="E236" s="458">
        <f>IF(B236="","-",SUM($D$18:D236))</f>
        <v>0</v>
      </c>
      <c r="F236" s="458">
        <f t="shared" si="20"/>
        <v>0</v>
      </c>
      <c r="G236" s="458">
        <f>IF(B236="","-",SUM($F$18:F236))</f>
        <v>0</v>
      </c>
      <c r="H236" s="458">
        <f t="shared" si="21"/>
        <v>0</v>
      </c>
    </row>
    <row r="237" spans="2:8" x14ac:dyDescent="0.2">
      <c r="B237" s="457">
        <f t="shared" si="22"/>
        <v>220</v>
      </c>
      <c r="C237" s="458">
        <f t="shared" si="18"/>
        <v>0</v>
      </c>
      <c r="D237" s="458">
        <f t="shared" si="19"/>
        <v>0</v>
      </c>
      <c r="E237" s="458">
        <f>IF(B237="","-",SUM($D$18:D237))</f>
        <v>0</v>
      </c>
      <c r="F237" s="458">
        <f t="shared" si="20"/>
        <v>0</v>
      </c>
      <c r="G237" s="458">
        <f>IF(B237="","-",SUM($F$18:F237))</f>
        <v>0</v>
      </c>
      <c r="H237" s="458">
        <f t="shared" si="21"/>
        <v>0</v>
      </c>
    </row>
    <row r="238" spans="2:8" x14ac:dyDescent="0.2">
      <c r="B238" s="457">
        <f t="shared" si="22"/>
        <v>221</v>
      </c>
      <c r="C238" s="458">
        <f t="shared" si="18"/>
        <v>0</v>
      </c>
      <c r="D238" s="458">
        <f t="shared" si="19"/>
        <v>0</v>
      </c>
      <c r="E238" s="458">
        <f>IF(B238="","-",SUM($D$18:D238))</f>
        <v>0</v>
      </c>
      <c r="F238" s="458">
        <f t="shared" si="20"/>
        <v>0</v>
      </c>
      <c r="G238" s="458">
        <f>IF(B238="","-",SUM($F$18:F238))</f>
        <v>0</v>
      </c>
      <c r="H238" s="458">
        <f t="shared" si="21"/>
        <v>0</v>
      </c>
    </row>
    <row r="239" spans="2:8" x14ac:dyDescent="0.2">
      <c r="B239" s="457">
        <f t="shared" si="22"/>
        <v>222</v>
      </c>
      <c r="C239" s="458">
        <f t="shared" si="18"/>
        <v>0</v>
      </c>
      <c r="D239" s="458">
        <f t="shared" si="19"/>
        <v>0</v>
      </c>
      <c r="E239" s="458">
        <f>IF(B239="","-",SUM($D$18:D239))</f>
        <v>0</v>
      </c>
      <c r="F239" s="458">
        <f t="shared" si="20"/>
        <v>0</v>
      </c>
      <c r="G239" s="458">
        <f>IF(B239="","-",SUM($F$18:F239))</f>
        <v>0</v>
      </c>
      <c r="H239" s="458">
        <f t="shared" si="21"/>
        <v>0</v>
      </c>
    </row>
    <row r="240" spans="2:8" x14ac:dyDescent="0.2">
      <c r="B240" s="457">
        <f t="shared" si="22"/>
        <v>223</v>
      </c>
      <c r="C240" s="458">
        <f t="shared" si="18"/>
        <v>0</v>
      </c>
      <c r="D240" s="458">
        <f t="shared" si="19"/>
        <v>0</v>
      </c>
      <c r="E240" s="458">
        <f>IF(B240="","-",SUM($D$18:D240))</f>
        <v>0</v>
      </c>
      <c r="F240" s="458">
        <f t="shared" si="20"/>
        <v>0</v>
      </c>
      <c r="G240" s="458">
        <f>IF(B240="","-",SUM($F$18:F240))</f>
        <v>0</v>
      </c>
      <c r="H240" s="458">
        <f t="shared" si="21"/>
        <v>0</v>
      </c>
    </row>
    <row r="241" spans="2:8" x14ac:dyDescent="0.2">
      <c r="B241" s="457">
        <f t="shared" si="22"/>
        <v>224</v>
      </c>
      <c r="C241" s="458">
        <f t="shared" si="18"/>
        <v>0</v>
      </c>
      <c r="D241" s="458">
        <f t="shared" si="19"/>
        <v>0</v>
      </c>
      <c r="E241" s="458">
        <f>IF(B241="","-",SUM($D$18:D241))</f>
        <v>0</v>
      </c>
      <c r="F241" s="458">
        <f t="shared" si="20"/>
        <v>0</v>
      </c>
      <c r="G241" s="458">
        <f>IF(B241="","-",SUM($F$18:F241))</f>
        <v>0</v>
      </c>
      <c r="H241" s="458">
        <f t="shared" si="21"/>
        <v>0</v>
      </c>
    </row>
    <row r="242" spans="2:8" x14ac:dyDescent="0.2">
      <c r="B242" s="457">
        <f t="shared" si="22"/>
        <v>225</v>
      </c>
      <c r="C242" s="458">
        <f t="shared" si="18"/>
        <v>0</v>
      </c>
      <c r="D242" s="458">
        <f t="shared" si="19"/>
        <v>0</v>
      </c>
      <c r="E242" s="458">
        <f>IF(B242="","-",SUM($D$18:D242))</f>
        <v>0</v>
      </c>
      <c r="F242" s="458">
        <f t="shared" si="20"/>
        <v>0</v>
      </c>
      <c r="G242" s="458">
        <f>IF(B242="","-",SUM($F$18:F242))</f>
        <v>0</v>
      </c>
      <c r="H242" s="458">
        <f t="shared" si="21"/>
        <v>0</v>
      </c>
    </row>
    <row r="243" spans="2:8" x14ac:dyDescent="0.2">
      <c r="B243" s="457">
        <f t="shared" si="22"/>
        <v>226</v>
      </c>
      <c r="C243" s="458">
        <f t="shared" si="18"/>
        <v>0</v>
      </c>
      <c r="D243" s="458">
        <f t="shared" si="19"/>
        <v>0</v>
      </c>
      <c r="E243" s="458">
        <f>IF(B243="","-",SUM($D$18:D243))</f>
        <v>0</v>
      </c>
      <c r="F243" s="458">
        <f t="shared" si="20"/>
        <v>0</v>
      </c>
      <c r="G243" s="458">
        <f>IF(B243="","-",SUM($F$18:F243))</f>
        <v>0</v>
      </c>
      <c r="H243" s="458">
        <f t="shared" si="21"/>
        <v>0</v>
      </c>
    </row>
    <row r="244" spans="2:8" x14ac:dyDescent="0.2">
      <c r="B244" s="457">
        <f t="shared" si="22"/>
        <v>227</v>
      </c>
      <c r="C244" s="458">
        <f t="shared" si="18"/>
        <v>0</v>
      </c>
      <c r="D244" s="458">
        <f t="shared" si="19"/>
        <v>0</v>
      </c>
      <c r="E244" s="458">
        <f>IF(B244="","-",SUM($D$18:D244))</f>
        <v>0</v>
      </c>
      <c r="F244" s="458">
        <f t="shared" si="20"/>
        <v>0</v>
      </c>
      <c r="G244" s="458">
        <f>IF(B244="","-",SUM($F$18:F244))</f>
        <v>0</v>
      </c>
      <c r="H244" s="458">
        <f t="shared" si="21"/>
        <v>0</v>
      </c>
    </row>
    <row r="245" spans="2:8" x14ac:dyDescent="0.2">
      <c r="B245" s="457">
        <f t="shared" si="22"/>
        <v>228</v>
      </c>
      <c r="C245" s="460">
        <f t="shared" si="18"/>
        <v>0</v>
      </c>
      <c r="D245" s="458">
        <f t="shared" si="19"/>
        <v>0</v>
      </c>
      <c r="E245" s="458">
        <f>IF(B245="","-",SUM($D$18:D245))</f>
        <v>0</v>
      </c>
      <c r="F245" s="458">
        <f t="shared" si="20"/>
        <v>0</v>
      </c>
      <c r="G245" s="458">
        <f>IF(B245="","-",SUM($F$18:F245))</f>
        <v>0</v>
      </c>
      <c r="H245" s="458">
        <f t="shared" si="21"/>
        <v>0</v>
      </c>
    </row>
    <row r="246" spans="2:8" x14ac:dyDescent="0.2">
      <c r="B246" s="457">
        <f t="shared" si="22"/>
        <v>229</v>
      </c>
      <c r="C246" s="458">
        <f t="shared" si="18"/>
        <v>0</v>
      </c>
      <c r="D246" s="458">
        <f t="shared" si="19"/>
        <v>0</v>
      </c>
      <c r="E246" s="458">
        <f>IF(B246="","-",SUM($D$18:D246))</f>
        <v>0</v>
      </c>
      <c r="F246" s="458">
        <f t="shared" si="20"/>
        <v>0</v>
      </c>
      <c r="G246" s="458">
        <f>IF(B246="","-",SUM($F$18:F246))</f>
        <v>0</v>
      </c>
      <c r="H246" s="458">
        <f t="shared" si="21"/>
        <v>0</v>
      </c>
    </row>
    <row r="247" spans="2:8" x14ac:dyDescent="0.2">
      <c r="B247" s="457">
        <f t="shared" si="22"/>
        <v>230</v>
      </c>
      <c r="C247" s="458">
        <f t="shared" si="18"/>
        <v>0</v>
      </c>
      <c r="D247" s="458">
        <f t="shared" si="19"/>
        <v>0</v>
      </c>
      <c r="E247" s="458">
        <f>IF(B247="","-",SUM($D$18:D247))</f>
        <v>0</v>
      </c>
      <c r="F247" s="458">
        <f t="shared" si="20"/>
        <v>0</v>
      </c>
      <c r="G247" s="458">
        <f>IF(B247="","-",SUM($F$18:F247))</f>
        <v>0</v>
      </c>
      <c r="H247" s="458">
        <f t="shared" si="21"/>
        <v>0</v>
      </c>
    </row>
    <row r="248" spans="2:8" x14ac:dyDescent="0.2">
      <c r="B248" s="457">
        <f t="shared" si="22"/>
        <v>231</v>
      </c>
      <c r="C248" s="458">
        <f t="shared" si="18"/>
        <v>0</v>
      </c>
      <c r="D248" s="458">
        <f t="shared" si="19"/>
        <v>0</v>
      </c>
      <c r="E248" s="458">
        <f>IF(B248="","-",SUM($D$18:D248))</f>
        <v>0</v>
      </c>
      <c r="F248" s="458">
        <f t="shared" si="20"/>
        <v>0</v>
      </c>
      <c r="G248" s="458">
        <f>IF(B248="","-",SUM($F$18:F248))</f>
        <v>0</v>
      </c>
      <c r="H248" s="458">
        <f t="shared" si="21"/>
        <v>0</v>
      </c>
    </row>
    <row r="249" spans="2:8" x14ac:dyDescent="0.2">
      <c r="B249" s="457">
        <f t="shared" si="22"/>
        <v>232</v>
      </c>
      <c r="C249" s="458">
        <f t="shared" si="18"/>
        <v>0</v>
      </c>
      <c r="D249" s="458">
        <f t="shared" si="19"/>
        <v>0</v>
      </c>
      <c r="E249" s="458">
        <f>IF(B249="","-",SUM($D$18:D249))</f>
        <v>0</v>
      </c>
      <c r="F249" s="458">
        <f t="shared" si="20"/>
        <v>0</v>
      </c>
      <c r="G249" s="458">
        <f>IF(B249="","-",SUM($F$18:F249))</f>
        <v>0</v>
      </c>
      <c r="H249" s="458">
        <f t="shared" si="21"/>
        <v>0</v>
      </c>
    </row>
    <row r="250" spans="2:8" x14ac:dyDescent="0.2">
      <c r="B250" s="457">
        <f t="shared" si="22"/>
        <v>233</v>
      </c>
      <c r="C250" s="458">
        <f t="shared" si="18"/>
        <v>0</v>
      </c>
      <c r="D250" s="458">
        <f t="shared" si="19"/>
        <v>0</v>
      </c>
      <c r="E250" s="458">
        <f>IF(B250="","-",SUM($D$18:D250))</f>
        <v>0</v>
      </c>
      <c r="F250" s="458">
        <f t="shared" si="20"/>
        <v>0</v>
      </c>
      <c r="G250" s="458">
        <f>IF(B250="","-",SUM($F$18:F250))</f>
        <v>0</v>
      </c>
      <c r="H250" s="458">
        <f t="shared" si="21"/>
        <v>0</v>
      </c>
    </row>
    <row r="251" spans="2:8" x14ac:dyDescent="0.2">
      <c r="B251" s="457">
        <f t="shared" si="22"/>
        <v>234</v>
      </c>
      <c r="C251" s="458">
        <f t="shared" si="18"/>
        <v>0</v>
      </c>
      <c r="D251" s="458">
        <f t="shared" si="19"/>
        <v>0</v>
      </c>
      <c r="E251" s="458">
        <f>IF(B251="","-",SUM($D$18:D251))</f>
        <v>0</v>
      </c>
      <c r="F251" s="458">
        <f t="shared" si="20"/>
        <v>0</v>
      </c>
      <c r="G251" s="458">
        <f>IF(B251="","-",SUM($F$18:F251))</f>
        <v>0</v>
      </c>
      <c r="H251" s="458">
        <f t="shared" si="21"/>
        <v>0</v>
      </c>
    </row>
    <row r="252" spans="2:8" x14ac:dyDescent="0.2">
      <c r="B252" s="457">
        <f t="shared" si="22"/>
        <v>235</v>
      </c>
      <c r="C252" s="458">
        <f t="shared" si="18"/>
        <v>0</v>
      </c>
      <c r="D252" s="458">
        <f t="shared" si="19"/>
        <v>0</v>
      </c>
      <c r="E252" s="458">
        <f>IF(B252="","-",SUM($D$18:D252))</f>
        <v>0</v>
      </c>
      <c r="F252" s="458">
        <f t="shared" si="20"/>
        <v>0</v>
      </c>
      <c r="G252" s="458">
        <f>IF(B252="","-",SUM($F$18:F252))</f>
        <v>0</v>
      </c>
      <c r="H252" s="458">
        <f t="shared" si="21"/>
        <v>0</v>
      </c>
    </row>
    <row r="253" spans="2:8" x14ac:dyDescent="0.2">
      <c r="B253" s="457">
        <f t="shared" si="22"/>
        <v>236</v>
      </c>
      <c r="C253" s="458">
        <f t="shared" si="18"/>
        <v>0</v>
      </c>
      <c r="D253" s="458">
        <f t="shared" si="19"/>
        <v>0</v>
      </c>
      <c r="E253" s="458">
        <f>IF(B253="","-",SUM($D$18:D253))</f>
        <v>0</v>
      </c>
      <c r="F253" s="458">
        <f t="shared" si="20"/>
        <v>0</v>
      </c>
      <c r="G253" s="458">
        <f>IF(B253="","-",SUM($F$18:F253))</f>
        <v>0</v>
      </c>
      <c r="H253" s="458">
        <f t="shared" si="21"/>
        <v>0</v>
      </c>
    </row>
    <row r="254" spans="2:8" x14ac:dyDescent="0.2">
      <c r="B254" s="457">
        <f t="shared" si="22"/>
        <v>237</v>
      </c>
      <c r="C254" s="458">
        <f t="shared" si="18"/>
        <v>0</v>
      </c>
      <c r="D254" s="458">
        <f t="shared" si="19"/>
        <v>0</v>
      </c>
      <c r="E254" s="458">
        <f>IF(B254="","-",SUM($D$18:D254))</f>
        <v>0</v>
      </c>
      <c r="F254" s="458">
        <f t="shared" si="20"/>
        <v>0</v>
      </c>
      <c r="G254" s="458">
        <f>IF(B254="","-",SUM($F$18:F254))</f>
        <v>0</v>
      </c>
      <c r="H254" s="458">
        <f t="shared" si="21"/>
        <v>0</v>
      </c>
    </row>
    <row r="255" spans="2:8" x14ac:dyDescent="0.2">
      <c r="B255" s="457">
        <f t="shared" si="22"/>
        <v>238</v>
      </c>
      <c r="C255" s="458">
        <f t="shared" si="18"/>
        <v>0</v>
      </c>
      <c r="D255" s="458">
        <f t="shared" si="19"/>
        <v>0</v>
      </c>
      <c r="E255" s="458">
        <f>IF(B255="","-",SUM($D$18:D255))</f>
        <v>0</v>
      </c>
      <c r="F255" s="458">
        <f t="shared" si="20"/>
        <v>0</v>
      </c>
      <c r="G255" s="458">
        <f>IF(B255="","-",SUM($F$18:F255))</f>
        <v>0</v>
      </c>
      <c r="H255" s="458">
        <f t="shared" si="21"/>
        <v>0</v>
      </c>
    </row>
    <row r="256" spans="2:8" x14ac:dyDescent="0.2">
      <c r="B256" s="457">
        <f t="shared" si="22"/>
        <v>239</v>
      </c>
      <c r="C256" s="458">
        <f t="shared" si="18"/>
        <v>0</v>
      </c>
      <c r="D256" s="458">
        <f t="shared" si="19"/>
        <v>0</v>
      </c>
      <c r="E256" s="458">
        <f>IF(B256="","-",SUM($D$18:D256))</f>
        <v>0</v>
      </c>
      <c r="F256" s="458">
        <f t="shared" si="20"/>
        <v>0</v>
      </c>
      <c r="G256" s="458">
        <f>IF(B256="","-",SUM($F$18:F256))</f>
        <v>0</v>
      </c>
      <c r="H256" s="458">
        <f t="shared" si="21"/>
        <v>0</v>
      </c>
    </row>
    <row r="257" spans="2:8" x14ac:dyDescent="0.2">
      <c r="B257" s="457">
        <f t="shared" si="22"/>
        <v>240</v>
      </c>
      <c r="C257" s="460">
        <f t="shared" si="18"/>
        <v>0</v>
      </c>
      <c r="D257" s="458">
        <f t="shared" si="19"/>
        <v>0</v>
      </c>
      <c r="E257" s="458">
        <f>IF(B257="","-",SUM($D$18:D257))</f>
        <v>0</v>
      </c>
      <c r="F257" s="458">
        <f t="shared" si="20"/>
        <v>0</v>
      </c>
      <c r="G257" s="458">
        <f>IF(B257="","-",SUM($F$18:F257))</f>
        <v>0</v>
      </c>
      <c r="H257" s="458">
        <f t="shared" si="21"/>
        <v>0</v>
      </c>
    </row>
    <row r="258" spans="2:8" x14ac:dyDescent="0.2">
      <c r="B258" s="457">
        <f t="shared" si="22"/>
        <v>241</v>
      </c>
      <c r="C258" s="458">
        <f t="shared" ref="C258:C321" si="23">IF(B258="","-",$D$7)</f>
        <v>0</v>
      </c>
      <c r="D258" s="458">
        <f t="shared" si="19"/>
        <v>0</v>
      </c>
      <c r="E258" s="458">
        <f>IF(B258="","-",SUM($D$18:D258))</f>
        <v>0</v>
      </c>
      <c r="F258" s="458">
        <f t="shared" si="20"/>
        <v>0</v>
      </c>
      <c r="G258" s="458">
        <f>IF(B258="","-",SUM($F$18:F258))</f>
        <v>0</v>
      </c>
      <c r="H258" s="458">
        <f t="shared" si="21"/>
        <v>0</v>
      </c>
    </row>
    <row r="259" spans="2:8" x14ac:dyDescent="0.2">
      <c r="B259" s="457">
        <f t="shared" si="22"/>
        <v>242</v>
      </c>
      <c r="C259" s="458">
        <f t="shared" si="23"/>
        <v>0</v>
      </c>
      <c r="D259" s="458">
        <f t="shared" si="19"/>
        <v>0</v>
      </c>
      <c r="E259" s="458">
        <f>IF(B259="","-",SUM($D$18:D259))</f>
        <v>0</v>
      </c>
      <c r="F259" s="458">
        <f t="shared" si="20"/>
        <v>0</v>
      </c>
      <c r="G259" s="458">
        <f>IF(B259="","-",SUM($F$18:F259))</f>
        <v>0</v>
      </c>
      <c r="H259" s="458">
        <f t="shared" si="21"/>
        <v>0</v>
      </c>
    </row>
    <row r="260" spans="2:8" x14ac:dyDescent="0.2">
      <c r="B260" s="457">
        <f t="shared" si="22"/>
        <v>243</v>
      </c>
      <c r="C260" s="458">
        <f t="shared" si="23"/>
        <v>0</v>
      </c>
      <c r="D260" s="458">
        <f t="shared" si="19"/>
        <v>0</v>
      </c>
      <c r="E260" s="458">
        <f>IF(B260="","-",SUM($D$18:D260))</f>
        <v>0</v>
      </c>
      <c r="F260" s="458">
        <f t="shared" si="20"/>
        <v>0</v>
      </c>
      <c r="G260" s="458">
        <f>IF(B260="","-",SUM($F$18:F260))</f>
        <v>0</v>
      </c>
      <c r="H260" s="458">
        <f t="shared" si="21"/>
        <v>0</v>
      </c>
    </row>
    <row r="261" spans="2:8" x14ac:dyDescent="0.2">
      <c r="B261" s="457">
        <f t="shared" si="22"/>
        <v>244</v>
      </c>
      <c r="C261" s="458">
        <f t="shared" si="23"/>
        <v>0</v>
      </c>
      <c r="D261" s="458">
        <f t="shared" si="19"/>
        <v>0</v>
      </c>
      <c r="E261" s="458">
        <f>IF(B261="","-",SUM($D$18:D261))</f>
        <v>0</v>
      </c>
      <c r="F261" s="458">
        <f t="shared" si="20"/>
        <v>0</v>
      </c>
      <c r="G261" s="458">
        <f>IF(B261="","-",SUM($F$18:F261))</f>
        <v>0</v>
      </c>
      <c r="H261" s="458">
        <f t="shared" si="21"/>
        <v>0</v>
      </c>
    </row>
    <row r="262" spans="2:8" x14ac:dyDescent="0.2">
      <c r="B262" s="457">
        <f t="shared" si="22"/>
        <v>245</v>
      </c>
      <c r="C262" s="458">
        <f t="shared" si="23"/>
        <v>0</v>
      </c>
      <c r="D262" s="458">
        <f t="shared" si="19"/>
        <v>0</v>
      </c>
      <c r="E262" s="458">
        <f>IF(B262="","-",SUM($D$18:D262))</f>
        <v>0</v>
      </c>
      <c r="F262" s="458">
        <f t="shared" si="20"/>
        <v>0</v>
      </c>
      <c r="G262" s="458">
        <f>IF(B262="","-",SUM($F$18:F262))</f>
        <v>0</v>
      </c>
      <c r="H262" s="458">
        <f t="shared" si="21"/>
        <v>0</v>
      </c>
    </row>
    <row r="263" spans="2:8" x14ac:dyDescent="0.2">
      <c r="B263" s="457">
        <f t="shared" si="22"/>
        <v>246</v>
      </c>
      <c r="C263" s="458">
        <f t="shared" si="23"/>
        <v>0</v>
      </c>
      <c r="D263" s="458">
        <f t="shared" si="19"/>
        <v>0</v>
      </c>
      <c r="E263" s="458">
        <f>IF(B263="","-",SUM($D$18:D263))</f>
        <v>0</v>
      </c>
      <c r="F263" s="458">
        <f t="shared" si="20"/>
        <v>0</v>
      </c>
      <c r="G263" s="458">
        <f>IF(B263="","-",SUM($F$18:F263))</f>
        <v>0</v>
      </c>
      <c r="H263" s="458">
        <f t="shared" si="21"/>
        <v>0</v>
      </c>
    </row>
    <row r="264" spans="2:8" x14ac:dyDescent="0.2">
      <c r="B264" s="457">
        <f t="shared" si="22"/>
        <v>247</v>
      </c>
      <c r="C264" s="458">
        <f t="shared" si="23"/>
        <v>0</v>
      </c>
      <c r="D264" s="458">
        <f t="shared" si="19"/>
        <v>0</v>
      </c>
      <c r="E264" s="458">
        <f>IF(B264="","-",SUM($D$18:D264))</f>
        <v>0</v>
      </c>
      <c r="F264" s="458">
        <f t="shared" si="20"/>
        <v>0</v>
      </c>
      <c r="G264" s="458">
        <f>IF(B264="","-",SUM($F$18:F264))</f>
        <v>0</v>
      </c>
      <c r="H264" s="458">
        <f t="shared" si="21"/>
        <v>0</v>
      </c>
    </row>
    <row r="265" spans="2:8" x14ac:dyDescent="0.2">
      <c r="B265" s="457">
        <f t="shared" si="22"/>
        <v>248</v>
      </c>
      <c r="C265" s="458">
        <f t="shared" si="23"/>
        <v>0</v>
      </c>
      <c r="D265" s="458">
        <f t="shared" si="19"/>
        <v>0</v>
      </c>
      <c r="E265" s="458">
        <f>IF(B265="","-",SUM($D$18:D265))</f>
        <v>0</v>
      </c>
      <c r="F265" s="458">
        <f t="shared" si="20"/>
        <v>0</v>
      </c>
      <c r="G265" s="458">
        <f>IF(B265="","-",SUM($F$18:F265))</f>
        <v>0</v>
      </c>
      <c r="H265" s="458">
        <f t="shared" si="21"/>
        <v>0</v>
      </c>
    </row>
    <row r="266" spans="2:8" x14ac:dyDescent="0.2">
      <c r="B266" s="457">
        <f t="shared" si="22"/>
        <v>249</v>
      </c>
      <c r="C266" s="458">
        <f t="shared" si="23"/>
        <v>0</v>
      </c>
      <c r="D266" s="458">
        <f t="shared" si="19"/>
        <v>0</v>
      </c>
      <c r="E266" s="458">
        <f>IF(B266="","-",SUM($D$18:D266))</f>
        <v>0</v>
      </c>
      <c r="F266" s="458">
        <f t="shared" si="20"/>
        <v>0</v>
      </c>
      <c r="G266" s="458">
        <f>IF(B266="","-",SUM($F$18:F266))</f>
        <v>0</v>
      </c>
      <c r="H266" s="458">
        <f t="shared" si="21"/>
        <v>0</v>
      </c>
    </row>
    <row r="267" spans="2:8" x14ac:dyDescent="0.2">
      <c r="B267" s="457">
        <f t="shared" si="22"/>
        <v>250</v>
      </c>
      <c r="C267" s="458">
        <f t="shared" si="23"/>
        <v>0</v>
      </c>
      <c r="D267" s="458">
        <f t="shared" si="19"/>
        <v>0</v>
      </c>
      <c r="E267" s="458">
        <f>IF(B267="","-",SUM($D$18:D267))</f>
        <v>0</v>
      </c>
      <c r="F267" s="458">
        <f t="shared" si="20"/>
        <v>0</v>
      </c>
      <c r="G267" s="458">
        <f>IF(B267="","-",SUM($F$18:F267))</f>
        <v>0</v>
      </c>
      <c r="H267" s="458">
        <f t="shared" si="21"/>
        <v>0</v>
      </c>
    </row>
    <row r="268" spans="2:8" x14ac:dyDescent="0.2">
      <c r="B268" s="457">
        <f t="shared" si="22"/>
        <v>251</v>
      </c>
      <c r="C268" s="458">
        <f t="shared" si="23"/>
        <v>0</v>
      </c>
      <c r="D268" s="458">
        <f t="shared" si="19"/>
        <v>0</v>
      </c>
      <c r="E268" s="458">
        <f>IF(B268="","-",SUM($D$18:D268))</f>
        <v>0</v>
      </c>
      <c r="F268" s="458">
        <f t="shared" si="20"/>
        <v>0</v>
      </c>
      <c r="G268" s="458">
        <f>IF(B268="","-",SUM($F$18:F268))</f>
        <v>0</v>
      </c>
      <c r="H268" s="458">
        <f t="shared" si="21"/>
        <v>0</v>
      </c>
    </row>
    <row r="269" spans="2:8" x14ac:dyDescent="0.2">
      <c r="B269" s="457">
        <f t="shared" si="22"/>
        <v>252</v>
      </c>
      <c r="C269" s="458">
        <f t="shared" si="23"/>
        <v>0</v>
      </c>
      <c r="D269" s="458">
        <f t="shared" si="19"/>
        <v>0</v>
      </c>
      <c r="E269" s="458">
        <f>IF(B269="","-",SUM($D$18:D269))</f>
        <v>0</v>
      </c>
      <c r="F269" s="458">
        <f t="shared" si="20"/>
        <v>0</v>
      </c>
      <c r="G269" s="458">
        <f>IF(B269="","-",SUM($F$18:F269))</f>
        <v>0</v>
      </c>
      <c r="H269" s="458">
        <f t="shared" si="21"/>
        <v>0</v>
      </c>
    </row>
    <row r="270" spans="2:8" x14ac:dyDescent="0.2">
      <c r="B270" s="457">
        <f t="shared" si="22"/>
        <v>253</v>
      </c>
      <c r="C270" s="458">
        <f t="shared" si="23"/>
        <v>0</v>
      </c>
      <c r="D270" s="458">
        <f t="shared" si="19"/>
        <v>0</v>
      </c>
      <c r="E270" s="458">
        <f>IF(B270="","-",SUM($D$18:D270))</f>
        <v>0</v>
      </c>
      <c r="F270" s="458">
        <f t="shared" si="20"/>
        <v>0</v>
      </c>
      <c r="G270" s="458">
        <f>IF(B270="","-",SUM($F$18:F270))</f>
        <v>0</v>
      </c>
      <c r="H270" s="458">
        <f t="shared" si="21"/>
        <v>0</v>
      </c>
    </row>
    <row r="271" spans="2:8" x14ac:dyDescent="0.2">
      <c r="B271" s="457">
        <f t="shared" si="22"/>
        <v>254</v>
      </c>
      <c r="C271" s="458">
        <f t="shared" si="23"/>
        <v>0</v>
      </c>
      <c r="D271" s="458">
        <f t="shared" si="19"/>
        <v>0</v>
      </c>
      <c r="E271" s="458">
        <f>IF(B271="","-",SUM($D$18:D271))</f>
        <v>0</v>
      </c>
      <c r="F271" s="458">
        <f t="shared" si="20"/>
        <v>0</v>
      </c>
      <c r="G271" s="458">
        <f>IF(B271="","-",SUM($F$18:F271))</f>
        <v>0</v>
      </c>
      <c r="H271" s="458">
        <f t="shared" si="21"/>
        <v>0</v>
      </c>
    </row>
    <row r="272" spans="2:8" x14ac:dyDescent="0.2">
      <c r="B272" s="457">
        <f t="shared" si="22"/>
        <v>255</v>
      </c>
      <c r="C272" s="458">
        <f t="shared" si="23"/>
        <v>0</v>
      </c>
      <c r="D272" s="458">
        <f t="shared" si="19"/>
        <v>0</v>
      </c>
      <c r="E272" s="458">
        <f>IF(B272="","-",SUM($D$18:D272))</f>
        <v>0</v>
      </c>
      <c r="F272" s="458">
        <f t="shared" si="20"/>
        <v>0</v>
      </c>
      <c r="G272" s="458">
        <f>IF(B272="","-",SUM($F$18:F272))</f>
        <v>0</v>
      </c>
      <c r="H272" s="458">
        <f t="shared" si="21"/>
        <v>0</v>
      </c>
    </row>
    <row r="273" spans="2:8" x14ac:dyDescent="0.2">
      <c r="B273" s="457">
        <f t="shared" si="22"/>
        <v>256</v>
      </c>
      <c r="C273" s="458">
        <f t="shared" si="23"/>
        <v>0</v>
      </c>
      <c r="D273" s="458">
        <f t="shared" si="19"/>
        <v>0</v>
      </c>
      <c r="E273" s="458">
        <f>IF(B273="","-",SUM($D$18:D273))</f>
        <v>0</v>
      </c>
      <c r="F273" s="458">
        <f t="shared" si="20"/>
        <v>0</v>
      </c>
      <c r="G273" s="458">
        <f>IF(B273="","-",SUM($F$18:F273))</f>
        <v>0</v>
      </c>
      <c r="H273" s="458">
        <f t="shared" si="21"/>
        <v>0</v>
      </c>
    </row>
    <row r="274" spans="2:8" x14ac:dyDescent="0.2">
      <c r="B274" s="457">
        <f t="shared" si="22"/>
        <v>257</v>
      </c>
      <c r="C274" s="458">
        <f t="shared" si="23"/>
        <v>0</v>
      </c>
      <c r="D274" s="458">
        <f t="shared" ref="D274:D337" si="24">IF(B274="","-",$D$4/12*H273)</f>
        <v>0</v>
      </c>
      <c r="E274" s="458">
        <f>IF(B274="","-",SUM($D$18:D274))</f>
        <v>0</v>
      </c>
      <c r="F274" s="458">
        <f t="shared" ref="F274:F337" si="25">IF(B274="","-",C274-D274)</f>
        <v>0</v>
      </c>
      <c r="G274" s="458">
        <f>IF(B274="","-",SUM($F$18:F274))</f>
        <v>0</v>
      </c>
      <c r="H274" s="458">
        <f t="shared" ref="H274:H337" si="26">IF(B274="","-",H273-F274)</f>
        <v>0</v>
      </c>
    </row>
    <row r="275" spans="2:8" x14ac:dyDescent="0.2">
      <c r="B275" s="457">
        <f t="shared" si="22"/>
        <v>258</v>
      </c>
      <c r="C275" s="458">
        <f t="shared" si="23"/>
        <v>0</v>
      </c>
      <c r="D275" s="458">
        <f t="shared" si="24"/>
        <v>0</v>
      </c>
      <c r="E275" s="458">
        <f>IF(B275="","-",SUM($D$18:D275))</f>
        <v>0</v>
      </c>
      <c r="F275" s="458">
        <f t="shared" si="25"/>
        <v>0</v>
      </c>
      <c r="G275" s="458">
        <f>IF(B275="","-",SUM($F$18:F275))</f>
        <v>0</v>
      </c>
      <c r="H275" s="458">
        <f t="shared" si="26"/>
        <v>0</v>
      </c>
    </row>
    <row r="276" spans="2:8" x14ac:dyDescent="0.2">
      <c r="B276" s="457">
        <f t="shared" si="22"/>
        <v>259</v>
      </c>
      <c r="C276" s="458">
        <f t="shared" si="23"/>
        <v>0</v>
      </c>
      <c r="D276" s="458">
        <f t="shared" si="24"/>
        <v>0</v>
      </c>
      <c r="E276" s="458">
        <f>IF(B276="","-",SUM($D$18:D276))</f>
        <v>0</v>
      </c>
      <c r="F276" s="458">
        <f t="shared" si="25"/>
        <v>0</v>
      </c>
      <c r="G276" s="458">
        <f>IF(B276="","-",SUM($F$18:F276))</f>
        <v>0</v>
      </c>
      <c r="H276" s="458">
        <f t="shared" si="26"/>
        <v>0</v>
      </c>
    </row>
    <row r="277" spans="2:8" x14ac:dyDescent="0.2">
      <c r="B277" s="457">
        <f t="shared" si="22"/>
        <v>260</v>
      </c>
      <c r="C277" s="458">
        <f t="shared" si="23"/>
        <v>0</v>
      </c>
      <c r="D277" s="458">
        <f t="shared" si="24"/>
        <v>0</v>
      </c>
      <c r="E277" s="458">
        <f>IF(B277="","-",SUM($D$18:D277))</f>
        <v>0</v>
      </c>
      <c r="F277" s="458">
        <f t="shared" si="25"/>
        <v>0</v>
      </c>
      <c r="G277" s="458">
        <f>IF(B277="","-",SUM($F$18:F277))</f>
        <v>0</v>
      </c>
      <c r="H277" s="458">
        <f t="shared" si="26"/>
        <v>0</v>
      </c>
    </row>
    <row r="278" spans="2:8" x14ac:dyDescent="0.2">
      <c r="B278" s="457">
        <f t="shared" si="22"/>
        <v>261</v>
      </c>
      <c r="C278" s="458">
        <f t="shared" si="23"/>
        <v>0</v>
      </c>
      <c r="D278" s="458">
        <f t="shared" si="24"/>
        <v>0</v>
      </c>
      <c r="E278" s="458">
        <f>IF(B278="","-",SUM($D$18:D278))</f>
        <v>0</v>
      </c>
      <c r="F278" s="458">
        <f t="shared" si="25"/>
        <v>0</v>
      </c>
      <c r="G278" s="458">
        <f>IF(B278="","-",SUM($F$18:F278))</f>
        <v>0</v>
      </c>
      <c r="H278" s="458">
        <f t="shared" si="26"/>
        <v>0</v>
      </c>
    </row>
    <row r="279" spans="2:8" x14ac:dyDescent="0.2">
      <c r="B279" s="457">
        <f t="shared" si="22"/>
        <v>262</v>
      </c>
      <c r="C279" s="458">
        <f t="shared" si="23"/>
        <v>0</v>
      </c>
      <c r="D279" s="458">
        <f t="shared" si="24"/>
        <v>0</v>
      </c>
      <c r="E279" s="458">
        <f>IF(B279="","-",SUM($D$18:D279))</f>
        <v>0</v>
      </c>
      <c r="F279" s="458">
        <f t="shared" si="25"/>
        <v>0</v>
      </c>
      <c r="G279" s="458">
        <f>IF(B279="","-",SUM($F$18:F279))</f>
        <v>0</v>
      </c>
      <c r="H279" s="458">
        <f t="shared" si="26"/>
        <v>0</v>
      </c>
    </row>
    <row r="280" spans="2:8" x14ac:dyDescent="0.2">
      <c r="B280" s="457">
        <f t="shared" si="22"/>
        <v>263</v>
      </c>
      <c r="C280" s="458">
        <f t="shared" si="23"/>
        <v>0</v>
      </c>
      <c r="D280" s="458">
        <f t="shared" si="24"/>
        <v>0</v>
      </c>
      <c r="E280" s="458">
        <f>IF(B280="","-",SUM($D$18:D280))</f>
        <v>0</v>
      </c>
      <c r="F280" s="458">
        <f t="shared" si="25"/>
        <v>0</v>
      </c>
      <c r="G280" s="458">
        <f>IF(B280="","-",SUM($F$18:F280))</f>
        <v>0</v>
      </c>
      <c r="H280" s="458">
        <f t="shared" si="26"/>
        <v>0</v>
      </c>
    </row>
    <row r="281" spans="2:8" x14ac:dyDescent="0.2">
      <c r="B281" s="457">
        <f t="shared" si="22"/>
        <v>264</v>
      </c>
      <c r="C281" s="458">
        <f t="shared" si="23"/>
        <v>0</v>
      </c>
      <c r="D281" s="458">
        <f t="shared" si="24"/>
        <v>0</v>
      </c>
      <c r="E281" s="458">
        <f>IF(B281="","-",SUM($D$18:D281))</f>
        <v>0</v>
      </c>
      <c r="F281" s="458">
        <f t="shared" si="25"/>
        <v>0</v>
      </c>
      <c r="G281" s="458">
        <f>IF(B281="","-",SUM($F$18:F281))</f>
        <v>0</v>
      </c>
      <c r="H281" s="458">
        <f t="shared" si="26"/>
        <v>0</v>
      </c>
    </row>
    <row r="282" spans="2:8" x14ac:dyDescent="0.2">
      <c r="B282" s="457">
        <f t="shared" si="22"/>
        <v>265</v>
      </c>
      <c r="C282" s="458">
        <f t="shared" si="23"/>
        <v>0</v>
      </c>
      <c r="D282" s="458">
        <f t="shared" si="24"/>
        <v>0</v>
      </c>
      <c r="E282" s="458">
        <f>IF(B282="","-",SUM($D$18:D282))</f>
        <v>0</v>
      </c>
      <c r="F282" s="458">
        <f t="shared" si="25"/>
        <v>0</v>
      </c>
      <c r="G282" s="458">
        <f>IF(B282="","-",SUM($F$18:F282))</f>
        <v>0</v>
      </c>
      <c r="H282" s="458">
        <f t="shared" si="26"/>
        <v>0</v>
      </c>
    </row>
    <row r="283" spans="2:8" x14ac:dyDescent="0.2">
      <c r="B283" s="457">
        <f t="shared" si="22"/>
        <v>266</v>
      </c>
      <c r="C283" s="458">
        <f t="shared" si="23"/>
        <v>0</v>
      </c>
      <c r="D283" s="458">
        <f t="shared" si="24"/>
        <v>0</v>
      </c>
      <c r="E283" s="458">
        <f>IF(B283="","-",SUM($D$18:D283))</f>
        <v>0</v>
      </c>
      <c r="F283" s="458">
        <f t="shared" si="25"/>
        <v>0</v>
      </c>
      <c r="G283" s="458">
        <f>IF(B283="","-",SUM($F$18:F283))</f>
        <v>0</v>
      </c>
      <c r="H283" s="458">
        <f t="shared" si="26"/>
        <v>0</v>
      </c>
    </row>
    <row r="284" spans="2:8" x14ac:dyDescent="0.2">
      <c r="B284" s="457">
        <f t="shared" si="22"/>
        <v>267</v>
      </c>
      <c r="C284" s="458">
        <f t="shared" si="23"/>
        <v>0</v>
      </c>
      <c r="D284" s="458">
        <f t="shared" si="24"/>
        <v>0</v>
      </c>
      <c r="E284" s="458">
        <f>IF(B284="","-",SUM($D$18:D284))</f>
        <v>0</v>
      </c>
      <c r="F284" s="458">
        <f t="shared" si="25"/>
        <v>0</v>
      </c>
      <c r="G284" s="458">
        <f>IF(B284="","-",SUM($F$18:F284))</f>
        <v>0</v>
      </c>
      <c r="H284" s="458">
        <f t="shared" si="26"/>
        <v>0</v>
      </c>
    </row>
    <row r="285" spans="2:8" x14ac:dyDescent="0.2">
      <c r="B285" s="457">
        <f t="shared" si="22"/>
        <v>268</v>
      </c>
      <c r="C285" s="458">
        <f t="shared" si="23"/>
        <v>0</v>
      </c>
      <c r="D285" s="458">
        <f t="shared" si="24"/>
        <v>0</v>
      </c>
      <c r="E285" s="458">
        <f>IF(B285="","-",SUM($D$18:D285))</f>
        <v>0</v>
      </c>
      <c r="F285" s="458">
        <f t="shared" si="25"/>
        <v>0</v>
      </c>
      <c r="G285" s="458">
        <f>IF(B285="","-",SUM($F$18:F285))</f>
        <v>0</v>
      </c>
      <c r="H285" s="458">
        <f t="shared" si="26"/>
        <v>0</v>
      </c>
    </row>
    <row r="286" spans="2:8" x14ac:dyDescent="0.2">
      <c r="B286" s="457">
        <f t="shared" ref="B286:B349" si="27">IF(B285&gt;=$D$5*12,"",B285+1)</f>
        <v>269</v>
      </c>
      <c r="C286" s="458">
        <f t="shared" si="23"/>
        <v>0</v>
      </c>
      <c r="D286" s="458">
        <f t="shared" si="24"/>
        <v>0</v>
      </c>
      <c r="E286" s="458">
        <f>IF(B286="","-",SUM($D$18:D286))</f>
        <v>0</v>
      </c>
      <c r="F286" s="458">
        <f t="shared" si="25"/>
        <v>0</v>
      </c>
      <c r="G286" s="458">
        <f>IF(B286="","-",SUM($F$18:F286))</f>
        <v>0</v>
      </c>
      <c r="H286" s="458">
        <f t="shared" si="26"/>
        <v>0</v>
      </c>
    </row>
    <row r="287" spans="2:8" x14ac:dyDescent="0.2">
      <c r="B287" s="457">
        <f t="shared" si="27"/>
        <v>270</v>
      </c>
      <c r="C287" s="458">
        <f t="shared" si="23"/>
        <v>0</v>
      </c>
      <c r="D287" s="458">
        <f t="shared" si="24"/>
        <v>0</v>
      </c>
      <c r="E287" s="458">
        <f>IF(B287="","-",SUM($D$18:D287))</f>
        <v>0</v>
      </c>
      <c r="F287" s="458">
        <f t="shared" si="25"/>
        <v>0</v>
      </c>
      <c r="G287" s="458">
        <f>IF(B287="","-",SUM($F$18:F287))</f>
        <v>0</v>
      </c>
      <c r="H287" s="458">
        <f t="shared" si="26"/>
        <v>0</v>
      </c>
    </row>
    <row r="288" spans="2:8" x14ac:dyDescent="0.2">
      <c r="B288" s="457">
        <f t="shared" si="27"/>
        <v>271</v>
      </c>
      <c r="C288" s="458">
        <f t="shared" si="23"/>
        <v>0</v>
      </c>
      <c r="D288" s="458">
        <f t="shared" si="24"/>
        <v>0</v>
      </c>
      <c r="E288" s="458">
        <f>IF(B288="","-",SUM($D$18:D288))</f>
        <v>0</v>
      </c>
      <c r="F288" s="458">
        <f t="shared" si="25"/>
        <v>0</v>
      </c>
      <c r="G288" s="458">
        <f>IF(B288="","-",SUM($F$18:F288))</f>
        <v>0</v>
      </c>
      <c r="H288" s="458">
        <f t="shared" si="26"/>
        <v>0</v>
      </c>
    </row>
    <row r="289" spans="2:8" x14ac:dyDescent="0.2">
      <c r="B289" s="457">
        <f t="shared" si="27"/>
        <v>272</v>
      </c>
      <c r="C289" s="458">
        <f t="shared" si="23"/>
        <v>0</v>
      </c>
      <c r="D289" s="458">
        <f t="shared" si="24"/>
        <v>0</v>
      </c>
      <c r="E289" s="458">
        <f>IF(B289="","-",SUM($D$18:D289))</f>
        <v>0</v>
      </c>
      <c r="F289" s="458">
        <f t="shared" si="25"/>
        <v>0</v>
      </c>
      <c r="G289" s="458">
        <f>IF(B289="","-",SUM($F$18:F289))</f>
        <v>0</v>
      </c>
      <c r="H289" s="458">
        <f t="shared" si="26"/>
        <v>0</v>
      </c>
    </row>
    <row r="290" spans="2:8" x14ac:dyDescent="0.2">
      <c r="B290" s="457">
        <f t="shared" si="27"/>
        <v>273</v>
      </c>
      <c r="C290" s="458">
        <f t="shared" si="23"/>
        <v>0</v>
      </c>
      <c r="D290" s="458">
        <f t="shared" si="24"/>
        <v>0</v>
      </c>
      <c r="E290" s="458">
        <f>IF(B290="","-",SUM($D$18:D290))</f>
        <v>0</v>
      </c>
      <c r="F290" s="458">
        <f t="shared" si="25"/>
        <v>0</v>
      </c>
      <c r="G290" s="458">
        <f>IF(B290="","-",SUM($F$18:F290))</f>
        <v>0</v>
      </c>
      <c r="H290" s="458">
        <f t="shared" si="26"/>
        <v>0</v>
      </c>
    </row>
    <row r="291" spans="2:8" x14ac:dyDescent="0.2">
      <c r="B291" s="457">
        <f t="shared" si="27"/>
        <v>274</v>
      </c>
      <c r="C291" s="458">
        <f t="shared" si="23"/>
        <v>0</v>
      </c>
      <c r="D291" s="458">
        <f t="shared" si="24"/>
        <v>0</v>
      </c>
      <c r="E291" s="458">
        <f>IF(B291="","-",SUM($D$18:D291))</f>
        <v>0</v>
      </c>
      <c r="F291" s="458">
        <f t="shared" si="25"/>
        <v>0</v>
      </c>
      <c r="G291" s="458">
        <f>IF(B291="","-",SUM($F$18:F291))</f>
        <v>0</v>
      </c>
      <c r="H291" s="458">
        <f t="shared" si="26"/>
        <v>0</v>
      </c>
    </row>
    <row r="292" spans="2:8" x14ac:dyDescent="0.2">
      <c r="B292" s="457">
        <f t="shared" si="27"/>
        <v>275</v>
      </c>
      <c r="C292" s="458">
        <f t="shared" si="23"/>
        <v>0</v>
      </c>
      <c r="D292" s="458">
        <f t="shared" si="24"/>
        <v>0</v>
      </c>
      <c r="E292" s="458">
        <f>IF(B292="","-",SUM($D$18:D292))</f>
        <v>0</v>
      </c>
      <c r="F292" s="458">
        <f t="shared" si="25"/>
        <v>0</v>
      </c>
      <c r="G292" s="458">
        <f>IF(B292="","-",SUM($F$18:F292))</f>
        <v>0</v>
      </c>
      <c r="H292" s="458">
        <f t="shared" si="26"/>
        <v>0</v>
      </c>
    </row>
    <row r="293" spans="2:8" x14ac:dyDescent="0.2">
      <c r="B293" s="457">
        <f t="shared" si="27"/>
        <v>276</v>
      </c>
      <c r="C293" s="458">
        <f t="shared" si="23"/>
        <v>0</v>
      </c>
      <c r="D293" s="458">
        <f t="shared" si="24"/>
        <v>0</v>
      </c>
      <c r="E293" s="458">
        <f>IF(B293="","-",SUM($D$18:D293))</f>
        <v>0</v>
      </c>
      <c r="F293" s="458">
        <f t="shared" si="25"/>
        <v>0</v>
      </c>
      <c r="G293" s="458">
        <f>IF(B293="","-",SUM($F$18:F293))</f>
        <v>0</v>
      </c>
      <c r="H293" s="458">
        <f t="shared" si="26"/>
        <v>0</v>
      </c>
    </row>
    <row r="294" spans="2:8" x14ac:dyDescent="0.2">
      <c r="B294" s="457">
        <f t="shared" si="27"/>
        <v>277</v>
      </c>
      <c r="C294" s="458">
        <f t="shared" si="23"/>
        <v>0</v>
      </c>
      <c r="D294" s="458">
        <f t="shared" si="24"/>
        <v>0</v>
      </c>
      <c r="E294" s="458">
        <f>IF(B294="","-",SUM($D$18:D294))</f>
        <v>0</v>
      </c>
      <c r="F294" s="458">
        <f t="shared" si="25"/>
        <v>0</v>
      </c>
      <c r="G294" s="458">
        <f>IF(B294="","-",SUM($F$18:F294))</f>
        <v>0</v>
      </c>
      <c r="H294" s="458">
        <f t="shared" si="26"/>
        <v>0</v>
      </c>
    </row>
    <row r="295" spans="2:8" x14ac:dyDescent="0.2">
      <c r="B295" s="457">
        <f t="shared" si="27"/>
        <v>278</v>
      </c>
      <c r="C295" s="458">
        <f t="shared" si="23"/>
        <v>0</v>
      </c>
      <c r="D295" s="458">
        <f t="shared" si="24"/>
        <v>0</v>
      </c>
      <c r="E295" s="458">
        <f>IF(B295="","-",SUM($D$18:D295))</f>
        <v>0</v>
      </c>
      <c r="F295" s="458">
        <f t="shared" si="25"/>
        <v>0</v>
      </c>
      <c r="G295" s="458">
        <f>IF(B295="","-",SUM($F$18:F295))</f>
        <v>0</v>
      </c>
      <c r="H295" s="458">
        <f t="shared" si="26"/>
        <v>0</v>
      </c>
    </row>
    <row r="296" spans="2:8" x14ac:dyDescent="0.2">
      <c r="B296" s="457">
        <f t="shared" si="27"/>
        <v>279</v>
      </c>
      <c r="C296" s="458">
        <f t="shared" si="23"/>
        <v>0</v>
      </c>
      <c r="D296" s="458">
        <f t="shared" si="24"/>
        <v>0</v>
      </c>
      <c r="E296" s="458">
        <f>IF(B296="","-",SUM($D$18:D296))</f>
        <v>0</v>
      </c>
      <c r="F296" s="458">
        <f t="shared" si="25"/>
        <v>0</v>
      </c>
      <c r="G296" s="458">
        <f>IF(B296="","-",SUM($F$18:F296))</f>
        <v>0</v>
      </c>
      <c r="H296" s="458">
        <f t="shared" si="26"/>
        <v>0</v>
      </c>
    </row>
    <row r="297" spans="2:8" x14ac:dyDescent="0.2">
      <c r="B297" s="457">
        <f t="shared" si="27"/>
        <v>280</v>
      </c>
      <c r="C297" s="458">
        <f t="shared" si="23"/>
        <v>0</v>
      </c>
      <c r="D297" s="458">
        <f t="shared" si="24"/>
        <v>0</v>
      </c>
      <c r="E297" s="458">
        <f>IF(B297="","-",SUM($D$18:D297))</f>
        <v>0</v>
      </c>
      <c r="F297" s="458">
        <f t="shared" si="25"/>
        <v>0</v>
      </c>
      <c r="G297" s="458">
        <f>IF(B297="","-",SUM($F$18:F297))</f>
        <v>0</v>
      </c>
      <c r="H297" s="458">
        <f t="shared" si="26"/>
        <v>0</v>
      </c>
    </row>
    <row r="298" spans="2:8" x14ac:dyDescent="0.2">
      <c r="B298" s="457">
        <f t="shared" si="27"/>
        <v>281</v>
      </c>
      <c r="C298" s="458">
        <f t="shared" si="23"/>
        <v>0</v>
      </c>
      <c r="D298" s="458">
        <f t="shared" si="24"/>
        <v>0</v>
      </c>
      <c r="E298" s="458">
        <f>IF(B298="","-",SUM($D$18:D298))</f>
        <v>0</v>
      </c>
      <c r="F298" s="458">
        <f t="shared" si="25"/>
        <v>0</v>
      </c>
      <c r="G298" s="458">
        <f>IF(B298="","-",SUM($F$18:F298))</f>
        <v>0</v>
      </c>
      <c r="H298" s="458">
        <f t="shared" si="26"/>
        <v>0</v>
      </c>
    </row>
    <row r="299" spans="2:8" x14ac:dyDescent="0.2">
      <c r="B299" s="457">
        <f t="shared" si="27"/>
        <v>282</v>
      </c>
      <c r="C299" s="458">
        <f t="shared" si="23"/>
        <v>0</v>
      </c>
      <c r="D299" s="458">
        <f t="shared" si="24"/>
        <v>0</v>
      </c>
      <c r="E299" s="458">
        <f>IF(B299="","-",SUM($D$18:D299))</f>
        <v>0</v>
      </c>
      <c r="F299" s="458">
        <f t="shared" si="25"/>
        <v>0</v>
      </c>
      <c r="G299" s="458">
        <f>IF(B299="","-",SUM($F$18:F299))</f>
        <v>0</v>
      </c>
      <c r="H299" s="458">
        <f t="shared" si="26"/>
        <v>0</v>
      </c>
    </row>
    <row r="300" spans="2:8" x14ac:dyDescent="0.2">
      <c r="B300" s="457">
        <f t="shared" si="27"/>
        <v>283</v>
      </c>
      <c r="C300" s="458">
        <f t="shared" si="23"/>
        <v>0</v>
      </c>
      <c r="D300" s="458">
        <f t="shared" si="24"/>
        <v>0</v>
      </c>
      <c r="E300" s="458">
        <f>IF(B300="","-",SUM($D$18:D300))</f>
        <v>0</v>
      </c>
      <c r="F300" s="458">
        <f t="shared" si="25"/>
        <v>0</v>
      </c>
      <c r="G300" s="458">
        <f>IF(B300="","-",SUM($F$18:F300))</f>
        <v>0</v>
      </c>
      <c r="H300" s="458">
        <f t="shared" si="26"/>
        <v>0</v>
      </c>
    </row>
    <row r="301" spans="2:8" x14ac:dyDescent="0.2">
      <c r="B301" s="457">
        <f t="shared" si="27"/>
        <v>284</v>
      </c>
      <c r="C301" s="458">
        <f t="shared" si="23"/>
        <v>0</v>
      </c>
      <c r="D301" s="458">
        <f t="shared" si="24"/>
        <v>0</v>
      </c>
      <c r="E301" s="458">
        <f>IF(B301="","-",SUM($D$18:D301))</f>
        <v>0</v>
      </c>
      <c r="F301" s="458">
        <f t="shared" si="25"/>
        <v>0</v>
      </c>
      <c r="G301" s="458">
        <f>IF(B301="","-",SUM($F$18:F301))</f>
        <v>0</v>
      </c>
      <c r="H301" s="458">
        <f t="shared" si="26"/>
        <v>0</v>
      </c>
    </row>
    <row r="302" spans="2:8" x14ac:dyDescent="0.2">
      <c r="B302" s="457">
        <f t="shared" si="27"/>
        <v>285</v>
      </c>
      <c r="C302" s="458">
        <f t="shared" si="23"/>
        <v>0</v>
      </c>
      <c r="D302" s="458">
        <f t="shared" si="24"/>
        <v>0</v>
      </c>
      <c r="E302" s="458">
        <f>IF(B302="","-",SUM($D$18:D302))</f>
        <v>0</v>
      </c>
      <c r="F302" s="458">
        <f t="shared" si="25"/>
        <v>0</v>
      </c>
      <c r="G302" s="458">
        <f>IF(B302="","-",SUM($F$18:F302))</f>
        <v>0</v>
      </c>
      <c r="H302" s="458">
        <f t="shared" si="26"/>
        <v>0</v>
      </c>
    </row>
    <row r="303" spans="2:8" x14ac:dyDescent="0.2">
      <c r="B303" s="457">
        <f t="shared" si="27"/>
        <v>286</v>
      </c>
      <c r="C303" s="458">
        <f t="shared" si="23"/>
        <v>0</v>
      </c>
      <c r="D303" s="458">
        <f t="shared" si="24"/>
        <v>0</v>
      </c>
      <c r="E303" s="458">
        <f>IF(B303="","-",SUM($D$18:D303))</f>
        <v>0</v>
      </c>
      <c r="F303" s="458">
        <f t="shared" si="25"/>
        <v>0</v>
      </c>
      <c r="G303" s="458">
        <f>IF(B303="","-",SUM($F$18:F303))</f>
        <v>0</v>
      </c>
      <c r="H303" s="458">
        <f t="shared" si="26"/>
        <v>0</v>
      </c>
    </row>
    <row r="304" spans="2:8" x14ac:dyDescent="0.2">
      <c r="B304" s="457">
        <f t="shared" si="27"/>
        <v>287</v>
      </c>
      <c r="C304" s="458">
        <f t="shared" si="23"/>
        <v>0</v>
      </c>
      <c r="D304" s="458">
        <f t="shared" si="24"/>
        <v>0</v>
      </c>
      <c r="E304" s="458">
        <f>IF(B304="","-",SUM($D$18:D304))</f>
        <v>0</v>
      </c>
      <c r="F304" s="458">
        <f t="shared" si="25"/>
        <v>0</v>
      </c>
      <c r="G304" s="458">
        <f>IF(B304="","-",SUM($F$18:F304))</f>
        <v>0</v>
      </c>
      <c r="H304" s="458">
        <f t="shared" si="26"/>
        <v>0</v>
      </c>
    </row>
    <row r="305" spans="2:8" x14ac:dyDescent="0.2">
      <c r="B305" s="457">
        <f t="shared" si="27"/>
        <v>288</v>
      </c>
      <c r="C305" s="458">
        <f t="shared" si="23"/>
        <v>0</v>
      </c>
      <c r="D305" s="458">
        <f t="shared" si="24"/>
        <v>0</v>
      </c>
      <c r="E305" s="458">
        <f>IF(B305="","-",SUM($D$18:D305))</f>
        <v>0</v>
      </c>
      <c r="F305" s="458">
        <f t="shared" si="25"/>
        <v>0</v>
      </c>
      <c r="G305" s="458">
        <f>IF(B305="","-",SUM($F$18:F305))</f>
        <v>0</v>
      </c>
      <c r="H305" s="458">
        <f t="shared" si="26"/>
        <v>0</v>
      </c>
    </row>
    <row r="306" spans="2:8" x14ac:dyDescent="0.2">
      <c r="B306" s="457">
        <f t="shared" si="27"/>
        <v>289</v>
      </c>
      <c r="C306" s="458">
        <f t="shared" si="23"/>
        <v>0</v>
      </c>
      <c r="D306" s="458">
        <f t="shared" si="24"/>
        <v>0</v>
      </c>
      <c r="E306" s="458">
        <f>IF(B306="","-",SUM($D$18:D306))</f>
        <v>0</v>
      </c>
      <c r="F306" s="458">
        <f t="shared" si="25"/>
        <v>0</v>
      </c>
      <c r="G306" s="458">
        <f>IF(B306="","-",SUM($F$18:F306))</f>
        <v>0</v>
      </c>
      <c r="H306" s="458">
        <f t="shared" si="26"/>
        <v>0</v>
      </c>
    </row>
    <row r="307" spans="2:8" x14ac:dyDescent="0.2">
      <c r="B307" s="457">
        <f t="shared" si="27"/>
        <v>290</v>
      </c>
      <c r="C307" s="458">
        <f t="shared" si="23"/>
        <v>0</v>
      </c>
      <c r="D307" s="458">
        <f t="shared" si="24"/>
        <v>0</v>
      </c>
      <c r="E307" s="458">
        <f>IF(B307="","-",SUM($D$18:D307))</f>
        <v>0</v>
      </c>
      <c r="F307" s="458">
        <f t="shared" si="25"/>
        <v>0</v>
      </c>
      <c r="G307" s="458">
        <f>IF(B307="","-",SUM($F$18:F307))</f>
        <v>0</v>
      </c>
      <c r="H307" s="458">
        <f t="shared" si="26"/>
        <v>0</v>
      </c>
    </row>
    <row r="308" spans="2:8" x14ac:dyDescent="0.2">
      <c r="B308" s="457">
        <f t="shared" si="27"/>
        <v>291</v>
      </c>
      <c r="C308" s="458">
        <f t="shared" si="23"/>
        <v>0</v>
      </c>
      <c r="D308" s="458">
        <f t="shared" si="24"/>
        <v>0</v>
      </c>
      <c r="E308" s="458">
        <f>IF(B308="","-",SUM($D$18:D308))</f>
        <v>0</v>
      </c>
      <c r="F308" s="458">
        <f t="shared" si="25"/>
        <v>0</v>
      </c>
      <c r="G308" s="458">
        <f>IF(B308="","-",SUM($F$18:F308))</f>
        <v>0</v>
      </c>
      <c r="H308" s="458">
        <f t="shared" si="26"/>
        <v>0</v>
      </c>
    </row>
    <row r="309" spans="2:8" x14ac:dyDescent="0.2">
      <c r="B309" s="457">
        <f t="shared" si="27"/>
        <v>292</v>
      </c>
      <c r="C309" s="458">
        <f t="shared" si="23"/>
        <v>0</v>
      </c>
      <c r="D309" s="458">
        <f t="shared" si="24"/>
        <v>0</v>
      </c>
      <c r="E309" s="458">
        <f>IF(B309="","-",SUM($D$18:D309))</f>
        <v>0</v>
      </c>
      <c r="F309" s="458">
        <f t="shared" si="25"/>
        <v>0</v>
      </c>
      <c r="G309" s="458">
        <f>IF(B309="","-",SUM($F$18:F309))</f>
        <v>0</v>
      </c>
      <c r="H309" s="458">
        <f t="shared" si="26"/>
        <v>0</v>
      </c>
    </row>
    <row r="310" spans="2:8" x14ac:dyDescent="0.2">
      <c r="B310" s="457">
        <f t="shared" si="27"/>
        <v>293</v>
      </c>
      <c r="C310" s="458">
        <f t="shared" si="23"/>
        <v>0</v>
      </c>
      <c r="D310" s="458">
        <f t="shared" si="24"/>
        <v>0</v>
      </c>
      <c r="E310" s="458">
        <f>IF(B310="","-",SUM($D$18:D310))</f>
        <v>0</v>
      </c>
      <c r="F310" s="458">
        <f t="shared" si="25"/>
        <v>0</v>
      </c>
      <c r="G310" s="458">
        <f>IF(B310="","-",SUM($F$18:F310))</f>
        <v>0</v>
      </c>
      <c r="H310" s="458">
        <f t="shared" si="26"/>
        <v>0</v>
      </c>
    </row>
    <row r="311" spans="2:8" x14ac:dyDescent="0.2">
      <c r="B311" s="457">
        <f t="shared" si="27"/>
        <v>294</v>
      </c>
      <c r="C311" s="458">
        <f t="shared" si="23"/>
        <v>0</v>
      </c>
      <c r="D311" s="458">
        <f t="shared" si="24"/>
        <v>0</v>
      </c>
      <c r="E311" s="458">
        <f>IF(B311="","-",SUM($D$18:D311))</f>
        <v>0</v>
      </c>
      <c r="F311" s="458">
        <f t="shared" si="25"/>
        <v>0</v>
      </c>
      <c r="G311" s="458">
        <f>IF(B311="","-",SUM($F$18:F311))</f>
        <v>0</v>
      </c>
      <c r="H311" s="458">
        <f t="shared" si="26"/>
        <v>0</v>
      </c>
    </row>
    <row r="312" spans="2:8" x14ac:dyDescent="0.2">
      <c r="B312" s="457">
        <f t="shared" si="27"/>
        <v>295</v>
      </c>
      <c r="C312" s="458">
        <f t="shared" si="23"/>
        <v>0</v>
      </c>
      <c r="D312" s="458">
        <f t="shared" si="24"/>
        <v>0</v>
      </c>
      <c r="E312" s="458">
        <f>IF(B312="","-",SUM($D$18:D312))</f>
        <v>0</v>
      </c>
      <c r="F312" s="458">
        <f t="shared" si="25"/>
        <v>0</v>
      </c>
      <c r="G312" s="458">
        <f>IF(B312="","-",SUM($F$18:F312))</f>
        <v>0</v>
      </c>
      <c r="H312" s="458">
        <f t="shared" si="26"/>
        <v>0</v>
      </c>
    </row>
    <row r="313" spans="2:8" x14ac:dyDescent="0.2">
      <c r="B313" s="457">
        <f t="shared" si="27"/>
        <v>296</v>
      </c>
      <c r="C313" s="458">
        <f t="shared" si="23"/>
        <v>0</v>
      </c>
      <c r="D313" s="458">
        <f t="shared" si="24"/>
        <v>0</v>
      </c>
      <c r="E313" s="458">
        <f>IF(B313="","-",SUM($D$18:D313))</f>
        <v>0</v>
      </c>
      <c r="F313" s="458">
        <f t="shared" si="25"/>
        <v>0</v>
      </c>
      <c r="G313" s="458">
        <f>IF(B313="","-",SUM($F$18:F313))</f>
        <v>0</v>
      </c>
      <c r="H313" s="458">
        <f t="shared" si="26"/>
        <v>0</v>
      </c>
    </row>
    <row r="314" spans="2:8" x14ac:dyDescent="0.2">
      <c r="B314" s="457">
        <f t="shared" si="27"/>
        <v>297</v>
      </c>
      <c r="C314" s="458">
        <f t="shared" si="23"/>
        <v>0</v>
      </c>
      <c r="D314" s="458">
        <f t="shared" si="24"/>
        <v>0</v>
      </c>
      <c r="E314" s="458">
        <f>IF(B314="","-",SUM($D$18:D314))</f>
        <v>0</v>
      </c>
      <c r="F314" s="458">
        <f t="shared" si="25"/>
        <v>0</v>
      </c>
      <c r="G314" s="458">
        <f>IF(B314="","-",SUM($F$18:F314))</f>
        <v>0</v>
      </c>
      <c r="H314" s="458">
        <f t="shared" si="26"/>
        <v>0</v>
      </c>
    </row>
    <row r="315" spans="2:8" x14ac:dyDescent="0.2">
      <c r="B315" s="457">
        <f t="shared" si="27"/>
        <v>298</v>
      </c>
      <c r="C315" s="458">
        <f t="shared" si="23"/>
        <v>0</v>
      </c>
      <c r="D315" s="458">
        <f t="shared" si="24"/>
        <v>0</v>
      </c>
      <c r="E315" s="458">
        <f>IF(B315="","-",SUM($D$18:D315))</f>
        <v>0</v>
      </c>
      <c r="F315" s="458">
        <f t="shared" si="25"/>
        <v>0</v>
      </c>
      <c r="G315" s="458">
        <f>IF(B315="","-",SUM($F$18:F315))</f>
        <v>0</v>
      </c>
      <c r="H315" s="458">
        <f t="shared" si="26"/>
        <v>0</v>
      </c>
    </row>
    <row r="316" spans="2:8" x14ac:dyDescent="0.2">
      <c r="B316" s="457">
        <f t="shared" si="27"/>
        <v>299</v>
      </c>
      <c r="C316" s="458">
        <f t="shared" si="23"/>
        <v>0</v>
      </c>
      <c r="D316" s="458">
        <f t="shared" si="24"/>
        <v>0</v>
      </c>
      <c r="E316" s="458">
        <f>IF(B316="","-",SUM($D$18:D316))</f>
        <v>0</v>
      </c>
      <c r="F316" s="458">
        <f t="shared" si="25"/>
        <v>0</v>
      </c>
      <c r="G316" s="458">
        <f>IF(B316="","-",SUM($F$18:F316))</f>
        <v>0</v>
      </c>
      <c r="H316" s="458">
        <f t="shared" si="26"/>
        <v>0</v>
      </c>
    </row>
    <row r="317" spans="2:8" x14ac:dyDescent="0.2">
      <c r="B317" s="457">
        <f t="shared" si="27"/>
        <v>300</v>
      </c>
      <c r="C317" s="458">
        <f t="shared" si="23"/>
        <v>0</v>
      </c>
      <c r="D317" s="458">
        <f t="shared" si="24"/>
        <v>0</v>
      </c>
      <c r="E317" s="458">
        <f>IF(B317="","-",SUM($D$18:D317))</f>
        <v>0</v>
      </c>
      <c r="F317" s="458">
        <f t="shared" si="25"/>
        <v>0</v>
      </c>
      <c r="G317" s="458">
        <f>IF(B317="","-",SUM($F$18:F317))</f>
        <v>0</v>
      </c>
      <c r="H317" s="458">
        <f t="shared" si="26"/>
        <v>0</v>
      </c>
    </row>
    <row r="318" spans="2:8" x14ac:dyDescent="0.2">
      <c r="B318" s="457" t="str">
        <f t="shared" si="27"/>
        <v/>
      </c>
      <c r="C318" s="458" t="str">
        <f t="shared" si="23"/>
        <v>-</v>
      </c>
      <c r="D318" s="458" t="str">
        <f t="shared" si="24"/>
        <v>-</v>
      </c>
      <c r="E318" s="458" t="str">
        <f>IF(B318="","-",SUM($D$18:D318))</f>
        <v>-</v>
      </c>
      <c r="F318" s="458" t="str">
        <f t="shared" si="25"/>
        <v>-</v>
      </c>
      <c r="G318" s="458" t="str">
        <f>IF(B318="","-",SUM($F$18:F318))</f>
        <v>-</v>
      </c>
      <c r="H318" s="458" t="str">
        <f t="shared" si="26"/>
        <v>-</v>
      </c>
    </row>
    <row r="319" spans="2:8" x14ac:dyDescent="0.2">
      <c r="B319" s="457" t="str">
        <f t="shared" si="27"/>
        <v/>
      </c>
      <c r="C319" s="458" t="str">
        <f t="shared" si="23"/>
        <v>-</v>
      </c>
      <c r="D319" s="458" t="str">
        <f t="shared" si="24"/>
        <v>-</v>
      </c>
      <c r="E319" s="458" t="str">
        <f>IF(B319="","-",SUM($D$18:D319))</f>
        <v>-</v>
      </c>
      <c r="F319" s="458" t="str">
        <f t="shared" si="25"/>
        <v>-</v>
      </c>
      <c r="G319" s="458" t="str">
        <f>IF(B319="","-",SUM($F$18:F319))</f>
        <v>-</v>
      </c>
      <c r="H319" s="458" t="str">
        <f t="shared" si="26"/>
        <v>-</v>
      </c>
    </row>
    <row r="320" spans="2:8" x14ac:dyDescent="0.2">
      <c r="B320" s="457" t="str">
        <f t="shared" si="27"/>
        <v/>
      </c>
      <c r="C320" s="458" t="str">
        <f t="shared" si="23"/>
        <v>-</v>
      </c>
      <c r="D320" s="458" t="str">
        <f t="shared" si="24"/>
        <v>-</v>
      </c>
      <c r="E320" s="458" t="str">
        <f>IF(B320="","-",SUM($D$18:D320))</f>
        <v>-</v>
      </c>
      <c r="F320" s="458" t="str">
        <f t="shared" si="25"/>
        <v>-</v>
      </c>
      <c r="G320" s="458" t="str">
        <f>IF(B320="","-",SUM($F$18:F320))</f>
        <v>-</v>
      </c>
      <c r="H320" s="458" t="str">
        <f t="shared" si="26"/>
        <v>-</v>
      </c>
    </row>
    <row r="321" spans="2:8" x14ac:dyDescent="0.2">
      <c r="B321" s="457" t="str">
        <f t="shared" si="27"/>
        <v/>
      </c>
      <c r="C321" s="458" t="str">
        <f t="shared" si="23"/>
        <v>-</v>
      </c>
      <c r="D321" s="458" t="str">
        <f t="shared" si="24"/>
        <v>-</v>
      </c>
      <c r="E321" s="458" t="str">
        <f>IF(B321="","-",SUM($D$18:D321))</f>
        <v>-</v>
      </c>
      <c r="F321" s="458" t="str">
        <f t="shared" si="25"/>
        <v>-</v>
      </c>
      <c r="G321" s="458" t="str">
        <f>IF(B321="","-",SUM($F$18:F321))</f>
        <v>-</v>
      </c>
      <c r="H321" s="458" t="str">
        <f t="shared" si="26"/>
        <v>-</v>
      </c>
    </row>
    <row r="322" spans="2:8" x14ac:dyDescent="0.2">
      <c r="B322" s="457" t="str">
        <f t="shared" si="27"/>
        <v/>
      </c>
      <c r="C322" s="458" t="str">
        <f t="shared" ref="C322:C378" si="28">IF(B322="","-",$D$7)</f>
        <v>-</v>
      </c>
      <c r="D322" s="458" t="str">
        <f t="shared" si="24"/>
        <v>-</v>
      </c>
      <c r="E322" s="458" t="str">
        <f>IF(B322="","-",SUM($D$18:D322))</f>
        <v>-</v>
      </c>
      <c r="F322" s="458" t="str">
        <f t="shared" si="25"/>
        <v>-</v>
      </c>
      <c r="G322" s="458" t="str">
        <f>IF(B322="","-",SUM($F$18:F322))</f>
        <v>-</v>
      </c>
      <c r="H322" s="458" t="str">
        <f t="shared" si="26"/>
        <v>-</v>
      </c>
    </row>
    <row r="323" spans="2:8" x14ac:dyDescent="0.2">
      <c r="B323" s="457" t="str">
        <f t="shared" si="27"/>
        <v/>
      </c>
      <c r="C323" s="458" t="str">
        <f t="shared" si="28"/>
        <v>-</v>
      </c>
      <c r="D323" s="458" t="str">
        <f t="shared" si="24"/>
        <v>-</v>
      </c>
      <c r="E323" s="458" t="str">
        <f>IF(B323="","-",SUM($D$18:D323))</f>
        <v>-</v>
      </c>
      <c r="F323" s="458" t="str">
        <f t="shared" si="25"/>
        <v>-</v>
      </c>
      <c r="G323" s="458" t="str">
        <f>IF(B323="","-",SUM($F$18:F323))</f>
        <v>-</v>
      </c>
      <c r="H323" s="458" t="str">
        <f t="shared" si="26"/>
        <v>-</v>
      </c>
    </row>
    <row r="324" spans="2:8" x14ac:dyDescent="0.2">
      <c r="B324" s="457" t="str">
        <f t="shared" si="27"/>
        <v/>
      </c>
      <c r="C324" s="458" t="str">
        <f t="shared" si="28"/>
        <v>-</v>
      </c>
      <c r="D324" s="458" t="str">
        <f t="shared" si="24"/>
        <v>-</v>
      </c>
      <c r="E324" s="458" t="str">
        <f>IF(B324="","-",SUM($D$18:D324))</f>
        <v>-</v>
      </c>
      <c r="F324" s="458" t="str">
        <f t="shared" si="25"/>
        <v>-</v>
      </c>
      <c r="G324" s="458" t="str">
        <f>IF(B324="","-",SUM($F$18:F324))</f>
        <v>-</v>
      </c>
      <c r="H324" s="458" t="str">
        <f t="shared" si="26"/>
        <v>-</v>
      </c>
    </row>
    <row r="325" spans="2:8" x14ac:dyDescent="0.2">
      <c r="B325" s="457" t="str">
        <f t="shared" si="27"/>
        <v/>
      </c>
      <c r="C325" s="458" t="str">
        <f t="shared" si="28"/>
        <v>-</v>
      </c>
      <c r="D325" s="458" t="str">
        <f t="shared" si="24"/>
        <v>-</v>
      </c>
      <c r="E325" s="458" t="str">
        <f>IF(B325="","-",SUM($D$18:D325))</f>
        <v>-</v>
      </c>
      <c r="F325" s="458" t="str">
        <f t="shared" si="25"/>
        <v>-</v>
      </c>
      <c r="G325" s="458" t="str">
        <f>IF(B325="","-",SUM($F$18:F325))</f>
        <v>-</v>
      </c>
      <c r="H325" s="458" t="str">
        <f t="shared" si="26"/>
        <v>-</v>
      </c>
    </row>
    <row r="326" spans="2:8" x14ac:dyDescent="0.2">
      <c r="B326" s="457" t="str">
        <f t="shared" si="27"/>
        <v/>
      </c>
      <c r="C326" s="458" t="str">
        <f t="shared" si="28"/>
        <v>-</v>
      </c>
      <c r="D326" s="458" t="str">
        <f t="shared" si="24"/>
        <v>-</v>
      </c>
      <c r="E326" s="458" t="str">
        <f>IF(B326="","-",SUM($D$18:D326))</f>
        <v>-</v>
      </c>
      <c r="F326" s="458" t="str">
        <f t="shared" si="25"/>
        <v>-</v>
      </c>
      <c r="G326" s="458" t="str">
        <f>IF(B326="","-",SUM($F$18:F326))</f>
        <v>-</v>
      </c>
      <c r="H326" s="458" t="str">
        <f t="shared" si="26"/>
        <v>-</v>
      </c>
    </row>
    <row r="327" spans="2:8" x14ac:dyDescent="0.2">
      <c r="B327" s="457" t="str">
        <f t="shared" si="27"/>
        <v/>
      </c>
      <c r="C327" s="458" t="str">
        <f t="shared" si="28"/>
        <v>-</v>
      </c>
      <c r="D327" s="458" t="str">
        <f t="shared" si="24"/>
        <v>-</v>
      </c>
      <c r="E327" s="458" t="str">
        <f>IF(B327="","-",SUM($D$18:D327))</f>
        <v>-</v>
      </c>
      <c r="F327" s="458" t="str">
        <f t="shared" si="25"/>
        <v>-</v>
      </c>
      <c r="G327" s="458" t="str">
        <f>IF(B327="","-",SUM($F$18:F327))</f>
        <v>-</v>
      </c>
      <c r="H327" s="458" t="str">
        <f t="shared" si="26"/>
        <v>-</v>
      </c>
    </row>
    <row r="328" spans="2:8" x14ac:dyDescent="0.2">
      <c r="B328" s="457" t="str">
        <f t="shared" si="27"/>
        <v/>
      </c>
      <c r="C328" s="458" t="str">
        <f t="shared" si="28"/>
        <v>-</v>
      </c>
      <c r="D328" s="458" t="str">
        <f t="shared" si="24"/>
        <v>-</v>
      </c>
      <c r="E328" s="458" t="str">
        <f>IF(B328="","-",SUM($D$18:D328))</f>
        <v>-</v>
      </c>
      <c r="F328" s="458" t="str">
        <f t="shared" si="25"/>
        <v>-</v>
      </c>
      <c r="G328" s="458" t="str">
        <f>IF(B328="","-",SUM($F$18:F328))</f>
        <v>-</v>
      </c>
      <c r="H328" s="458" t="str">
        <f t="shared" si="26"/>
        <v>-</v>
      </c>
    </row>
    <row r="329" spans="2:8" x14ac:dyDescent="0.2">
      <c r="B329" s="457" t="str">
        <f t="shared" si="27"/>
        <v/>
      </c>
      <c r="C329" s="458" t="str">
        <f t="shared" si="28"/>
        <v>-</v>
      </c>
      <c r="D329" s="458" t="str">
        <f t="shared" si="24"/>
        <v>-</v>
      </c>
      <c r="E329" s="458" t="str">
        <f>IF(B329="","-",SUM($D$18:D329))</f>
        <v>-</v>
      </c>
      <c r="F329" s="458" t="str">
        <f t="shared" si="25"/>
        <v>-</v>
      </c>
      <c r="G329" s="458" t="str">
        <f>IF(B329="","-",SUM($F$18:F329))</f>
        <v>-</v>
      </c>
      <c r="H329" s="458" t="str">
        <f t="shared" si="26"/>
        <v>-</v>
      </c>
    </row>
    <row r="330" spans="2:8" x14ac:dyDescent="0.2">
      <c r="B330" s="457" t="str">
        <f t="shared" si="27"/>
        <v/>
      </c>
      <c r="C330" s="458" t="str">
        <f t="shared" si="28"/>
        <v>-</v>
      </c>
      <c r="D330" s="458" t="str">
        <f t="shared" si="24"/>
        <v>-</v>
      </c>
      <c r="E330" s="458" t="str">
        <f>IF(B330="","-",SUM($D$18:D330))</f>
        <v>-</v>
      </c>
      <c r="F330" s="458" t="str">
        <f t="shared" si="25"/>
        <v>-</v>
      </c>
      <c r="G330" s="458" t="str">
        <f>IF(B330="","-",SUM($F$18:F330))</f>
        <v>-</v>
      </c>
      <c r="H330" s="458" t="str">
        <f t="shared" si="26"/>
        <v>-</v>
      </c>
    </row>
    <row r="331" spans="2:8" x14ac:dyDescent="0.2">
      <c r="B331" s="457" t="str">
        <f t="shared" si="27"/>
        <v/>
      </c>
      <c r="C331" s="458" t="str">
        <f t="shared" si="28"/>
        <v>-</v>
      </c>
      <c r="D331" s="458" t="str">
        <f t="shared" si="24"/>
        <v>-</v>
      </c>
      <c r="E331" s="458" t="str">
        <f>IF(B331="","-",SUM($D$18:D331))</f>
        <v>-</v>
      </c>
      <c r="F331" s="458" t="str">
        <f t="shared" si="25"/>
        <v>-</v>
      </c>
      <c r="G331" s="458" t="str">
        <f>IF(B331="","-",SUM($F$18:F331))</f>
        <v>-</v>
      </c>
      <c r="H331" s="458" t="str">
        <f t="shared" si="26"/>
        <v>-</v>
      </c>
    </row>
    <row r="332" spans="2:8" x14ac:dyDescent="0.2">
      <c r="B332" s="457" t="str">
        <f t="shared" si="27"/>
        <v/>
      </c>
      <c r="C332" s="458" t="str">
        <f t="shared" si="28"/>
        <v>-</v>
      </c>
      <c r="D332" s="458" t="str">
        <f t="shared" si="24"/>
        <v>-</v>
      </c>
      <c r="E332" s="458" t="str">
        <f>IF(B332="","-",SUM($D$18:D332))</f>
        <v>-</v>
      </c>
      <c r="F332" s="458" t="str">
        <f t="shared" si="25"/>
        <v>-</v>
      </c>
      <c r="G332" s="458" t="str">
        <f>IF(B332="","-",SUM($F$18:F332))</f>
        <v>-</v>
      </c>
      <c r="H332" s="458" t="str">
        <f t="shared" si="26"/>
        <v>-</v>
      </c>
    </row>
    <row r="333" spans="2:8" x14ac:dyDescent="0.2">
      <c r="B333" s="457" t="str">
        <f t="shared" si="27"/>
        <v/>
      </c>
      <c r="C333" s="458" t="str">
        <f t="shared" si="28"/>
        <v>-</v>
      </c>
      <c r="D333" s="458" t="str">
        <f t="shared" si="24"/>
        <v>-</v>
      </c>
      <c r="E333" s="458" t="str">
        <f>IF(B333="","-",SUM($D$18:D333))</f>
        <v>-</v>
      </c>
      <c r="F333" s="458" t="str">
        <f t="shared" si="25"/>
        <v>-</v>
      </c>
      <c r="G333" s="458" t="str">
        <f>IF(B333="","-",SUM($F$18:F333))</f>
        <v>-</v>
      </c>
      <c r="H333" s="458" t="str">
        <f t="shared" si="26"/>
        <v>-</v>
      </c>
    </row>
    <row r="334" spans="2:8" x14ac:dyDescent="0.2">
      <c r="B334" s="457" t="str">
        <f t="shared" si="27"/>
        <v/>
      </c>
      <c r="C334" s="458" t="str">
        <f t="shared" si="28"/>
        <v>-</v>
      </c>
      <c r="D334" s="458" t="str">
        <f t="shared" si="24"/>
        <v>-</v>
      </c>
      <c r="E334" s="458" t="str">
        <f>IF(B334="","-",SUM($D$18:D334))</f>
        <v>-</v>
      </c>
      <c r="F334" s="458" t="str">
        <f t="shared" si="25"/>
        <v>-</v>
      </c>
      <c r="G334" s="458" t="str">
        <f>IF(B334="","-",SUM($F$18:F334))</f>
        <v>-</v>
      </c>
      <c r="H334" s="458" t="str">
        <f t="shared" si="26"/>
        <v>-</v>
      </c>
    </row>
    <row r="335" spans="2:8" x14ac:dyDescent="0.2">
      <c r="B335" s="457" t="str">
        <f t="shared" si="27"/>
        <v/>
      </c>
      <c r="C335" s="458" t="str">
        <f t="shared" si="28"/>
        <v>-</v>
      </c>
      <c r="D335" s="458" t="str">
        <f t="shared" si="24"/>
        <v>-</v>
      </c>
      <c r="E335" s="458" t="str">
        <f>IF(B335="","-",SUM($D$18:D335))</f>
        <v>-</v>
      </c>
      <c r="F335" s="458" t="str">
        <f t="shared" si="25"/>
        <v>-</v>
      </c>
      <c r="G335" s="458" t="str">
        <f>IF(B335="","-",SUM($F$18:F335))</f>
        <v>-</v>
      </c>
      <c r="H335" s="458" t="str">
        <f t="shared" si="26"/>
        <v>-</v>
      </c>
    </row>
    <row r="336" spans="2:8" x14ac:dyDescent="0.2">
      <c r="B336" s="457" t="str">
        <f t="shared" si="27"/>
        <v/>
      </c>
      <c r="C336" s="458" t="str">
        <f t="shared" si="28"/>
        <v>-</v>
      </c>
      <c r="D336" s="458" t="str">
        <f t="shared" si="24"/>
        <v>-</v>
      </c>
      <c r="E336" s="458" t="str">
        <f>IF(B336="","-",SUM($D$18:D336))</f>
        <v>-</v>
      </c>
      <c r="F336" s="458" t="str">
        <f t="shared" si="25"/>
        <v>-</v>
      </c>
      <c r="G336" s="458" t="str">
        <f>IF(B336="","-",SUM($F$18:F336))</f>
        <v>-</v>
      </c>
      <c r="H336" s="458" t="str">
        <f t="shared" si="26"/>
        <v>-</v>
      </c>
    </row>
    <row r="337" spans="2:8" x14ac:dyDescent="0.2">
      <c r="B337" s="457" t="str">
        <f t="shared" si="27"/>
        <v/>
      </c>
      <c r="C337" s="458" t="str">
        <f t="shared" si="28"/>
        <v>-</v>
      </c>
      <c r="D337" s="458" t="str">
        <f t="shared" si="24"/>
        <v>-</v>
      </c>
      <c r="E337" s="458" t="str">
        <f>IF(B337="","-",SUM($D$18:D337))</f>
        <v>-</v>
      </c>
      <c r="F337" s="458" t="str">
        <f t="shared" si="25"/>
        <v>-</v>
      </c>
      <c r="G337" s="458" t="str">
        <f>IF(B337="","-",SUM($F$18:F337))</f>
        <v>-</v>
      </c>
      <c r="H337" s="458" t="str">
        <f t="shared" si="26"/>
        <v>-</v>
      </c>
    </row>
    <row r="338" spans="2:8" x14ac:dyDescent="0.2">
      <c r="B338" s="457" t="str">
        <f t="shared" si="27"/>
        <v/>
      </c>
      <c r="C338" s="458" t="str">
        <f t="shared" si="28"/>
        <v>-</v>
      </c>
      <c r="D338" s="458" t="str">
        <f t="shared" ref="D338:D378" si="29">IF(B338="","-",$D$4/12*H337)</f>
        <v>-</v>
      </c>
      <c r="E338" s="458" t="str">
        <f>IF(B338="","-",SUM($D$18:D338))</f>
        <v>-</v>
      </c>
      <c r="F338" s="458" t="str">
        <f t="shared" ref="F338:F378" si="30">IF(B338="","-",C338-D338)</f>
        <v>-</v>
      </c>
      <c r="G338" s="458" t="str">
        <f>IF(B338="","-",SUM($F$18:F338))</f>
        <v>-</v>
      </c>
      <c r="H338" s="458" t="str">
        <f t="shared" ref="H338:H378" si="31">IF(B338="","-",H337-F338)</f>
        <v>-</v>
      </c>
    </row>
    <row r="339" spans="2:8" x14ac:dyDescent="0.2">
      <c r="B339" s="457" t="str">
        <f t="shared" si="27"/>
        <v/>
      </c>
      <c r="C339" s="458" t="str">
        <f t="shared" si="28"/>
        <v>-</v>
      </c>
      <c r="D339" s="458" t="str">
        <f t="shared" si="29"/>
        <v>-</v>
      </c>
      <c r="E339" s="458" t="str">
        <f>IF(B339="","-",SUM($D$18:D339))</f>
        <v>-</v>
      </c>
      <c r="F339" s="458" t="str">
        <f t="shared" si="30"/>
        <v>-</v>
      </c>
      <c r="G339" s="458" t="str">
        <f>IF(B339="","-",SUM($F$18:F339))</f>
        <v>-</v>
      </c>
      <c r="H339" s="458" t="str">
        <f t="shared" si="31"/>
        <v>-</v>
      </c>
    </row>
    <row r="340" spans="2:8" x14ac:dyDescent="0.2">
      <c r="B340" s="457" t="str">
        <f t="shared" si="27"/>
        <v/>
      </c>
      <c r="C340" s="458" t="str">
        <f t="shared" si="28"/>
        <v>-</v>
      </c>
      <c r="D340" s="458" t="str">
        <f t="shared" si="29"/>
        <v>-</v>
      </c>
      <c r="E340" s="458" t="str">
        <f>IF(B340="","-",SUM($D$18:D340))</f>
        <v>-</v>
      </c>
      <c r="F340" s="458" t="str">
        <f t="shared" si="30"/>
        <v>-</v>
      </c>
      <c r="G340" s="458" t="str">
        <f>IF(B340="","-",SUM($F$18:F340))</f>
        <v>-</v>
      </c>
      <c r="H340" s="458" t="str">
        <f t="shared" si="31"/>
        <v>-</v>
      </c>
    </row>
    <row r="341" spans="2:8" x14ac:dyDescent="0.2">
      <c r="B341" s="457" t="str">
        <f t="shared" si="27"/>
        <v/>
      </c>
      <c r="C341" s="458" t="str">
        <f t="shared" si="28"/>
        <v>-</v>
      </c>
      <c r="D341" s="458" t="str">
        <f t="shared" si="29"/>
        <v>-</v>
      </c>
      <c r="E341" s="458" t="str">
        <f>IF(B341="","-",SUM($D$18:D341))</f>
        <v>-</v>
      </c>
      <c r="F341" s="458" t="str">
        <f t="shared" si="30"/>
        <v>-</v>
      </c>
      <c r="G341" s="458" t="str">
        <f>IF(B341="","-",SUM($F$18:F341))</f>
        <v>-</v>
      </c>
      <c r="H341" s="458" t="str">
        <f t="shared" si="31"/>
        <v>-</v>
      </c>
    </row>
    <row r="342" spans="2:8" x14ac:dyDescent="0.2">
      <c r="B342" s="457" t="str">
        <f t="shared" si="27"/>
        <v/>
      </c>
      <c r="C342" s="458" t="str">
        <f t="shared" si="28"/>
        <v>-</v>
      </c>
      <c r="D342" s="458" t="str">
        <f t="shared" si="29"/>
        <v>-</v>
      </c>
      <c r="E342" s="458" t="str">
        <f>IF(B342="","-",SUM($D$18:D342))</f>
        <v>-</v>
      </c>
      <c r="F342" s="458" t="str">
        <f t="shared" si="30"/>
        <v>-</v>
      </c>
      <c r="G342" s="458" t="str">
        <f>IF(B342="","-",SUM($F$18:F342))</f>
        <v>-</v>
      </c>
      <c r="H342" s="458" t="str">
        <f t="shared" si="31"/>
        <v>-</v>
      </c>
    </row>
    <row r="343" spans="2:8" x14ac:dyDescent="0.2">
      <c r="B343" s="457" t="str">
        <f t="shared" si="27"/>
        <v/>
      </c>
      <c r="C343" s="458" t="str">
        <f t="shared" si="28"/>
        <v>-</v>
      </c>
      <c r="D343" s="458" t="str">
        <f t="shared" si="29"/>
        <v>-</v>
      </c>
      <c r="E343" s="458" t="str">
        <f>IF(B343="","-",SUM($D$18:D343))</f>
        <v>-</v>
      </c>
      <c r="F343" s="458" t="str">
        <f t="shared" si="30"/>
        <v>-</v>
      </c>
      <c r="G343" s="458" t="str">
        <f>IF(B343="","-",SUM($F$18:F343))</f>
        <v>-</v>
      </c>
      <c r="H343" s="458" t="str">
        <f t="shared" si="31"/>
        <v>-</v>
      </c>
    </row>
    <row r="344" spans="2:8" x14ac:dyDescent="0.2">
      <c r="B344" s="457" t="str">
        <f t="shared" si="27"/>
        <v/>
      </c>
      <c r="C344" s="458" t="str">
        <f t="shared" si="28"/>
        <v>-</v>
      </c>
      <c r="D344" s="458" t="str">
        <f t="shared" si="29"/>
        <v>-</v>
      </c>
      <c r="E344" s="458" t="str">
        <f>IF(B344="","-",SUM($D$18:D344))</f>
        <v>-</v>
      </c>
      <c r="F344" s="458" t="str">
        <f t="shared" si="30"/>
        <v>-</v>
      </c>
      <c r="G344" s="458" t="str">
        <f>IF(B344="","-",SUM($F$18:F344))</f>
        <v>-</v>
      </c>
      <c r="H344" s="458" t="str">
        <f t="shared" si="31"/>
        <v>-</v>
      </c>
    </row>
    <row r="345" spans="2:8" x14ac:dyDescent="0.2">
      <c r="B345" s="457" t="str">
        <f t="shared" si="27"/>
        <v/>
      </c>
      <c r="C345" s="458" t="str">
        <f t="shared" si="28"/>
        <v>-</v>
      </c>
      <c r="D345" s="458" t="str">
        <f t="shared" si="29"/>
        <v>-</v>
      </c>
      <c r="E345" s="458" t="str">
        <f>IF(B345="","-",SUM($D$18:D345))</f>
        <v>-</v>
      </c>
      <c r="F345" s="458" t="str">
        <f t="shared" si="30"/>
        <v>-</v>
      </c>
      <c r="G345" s="458" t="str">
        <f>IF(B345="","-",SUM($F$18:F345))</f>
        <v>-</v>
      </c>
      <c r="H345" s="458" t="str">
        <f t="shared" si="31"/>
        <v>-</v>
      </c>
    </row>
    <row r="346" spans="2:8" x14ac:dyDescent="0.2">
      <c r="B346" s="457" t="str">
        <f t="shared" si="27"/>
        <v/>
      </c>
      <c r="C346" s="458" t="str">
        <f t="shared" si="28"/>
        <v>-</v>
      </c>
      <c r="D346" s="458" t="str">
        <f t="shared" si="29"/>
        <v>-</v>
      </c>
      <c r="E346" s="458" t="str">
        <f>IF(B346="","-",SUM($D$18:D346))</f>
        <v>-</v>
      </c>
      <c r="F346" s="458" t="str">
        <f t="shared" si="30"/>
        <v>-</v>
      </c>
      <c r="G346" s="458" t="str">
        <f>IF(B346="","-",SUM($F$18:F346))</f>
        <v>-</v>
      </c>
      <c r="H346" s="458" t="str">
        <f t="shared" si="31"/>
        <v>-</v>
      </c>
    </row>
    <row r="347" spans="2:8" x14ac:dyDescent="0.2">
      <c r="B347" s="457" t="str">
        <f t="shared" si="27"/>
        <v/>
      </c>
      <c r="C347" s="458" t="str">
        <f t="shared" si="28"/>
        <v>-</v>
      </c>
      <c r="D347" s="458" t="str">
        <f t="shared" si="29"/>
        <v>-</v>
      </c>
      <c r="E347" s="458" t="str">
        <f>IF(B347="","-",SUM($D$18:D347))</f>
        <v>-</v>
      </c>
      <c r="F347" s="458" t="str">
        <f t="shared" si="30"/>
        <v>-</v>
      </c>
      <c r="G347" s="458" t="str">
        <f>IF(B347="","-",SUM($F$18:F347))</f>
        <v>-</v>
      </c>
      <c r="H347" s="458" t="str">
        <f t="shared" si="31"/>
        <v>-</v>
      </c>
    </row>
    <row r="348" spans="2:8" x14ac:dyDescent="0.2">
      <c r="B348" s="457" t="str">
        <f t="shared" si="27"/>
        <v/>
      </c>
      <c r="C348" s="458" t="str">
        <f t="shared" si="28"/>
        <v>-</v>
      </c>
      <c r="D348" s="458" t="str">
        <f t="shared" si="29"/>
        <v>-</v>
      </c>
      <c r="E348" s="458" t="str">
        <f>IF(B348="","-",SUM($D$18:D348))</f>
        <v>-</v>
      </c>
      <c r="F348" s="458" t="str">
        <f t="shared" si="30"/>
        <v>-</v>
      </c>
      <c r="G348" s="458" t="str">
        <f>IF(B348="","-",SUM($F$18:F348))</f>
        <v>-</v>
      </c>
      <c r="H348" s="458" t="str">
        <f t="shared" si="31"/>
        <v>-</v>
      </c>
    </row>
    <row r="349" spans="2:8" x14ac:dyDescent="0.2">
      <c r="B349" s="457" t="str">
        <f t="shared" si="27"/>
        <v/>
      </c>
      <c r="C349" s="458" t="str">
        <f t="shared" si="28"/>
        <v>-</v>
      </c>
      <c r="D349" s="458" t="str">
        <f t="shared" si="29"/>
        <v>-</v>
      </c>
      <c r="E349" s="458" t="str">
        <f>IF(B349="","-",SUM($D$18:D349))</f>
        <v>-</v>
      </c>
      <c r="F349" s="458" t="str">
        <f t="shared" si="30"/>
        <v>-</v>
      </c>
      <c r="G349" s="458" t="str">
        <f>IF(B349="","-",SUM($F$18:F349))</f>
        <v>-</v>
      </c>
      <c r="H349" s="458" t="str">
        <f t="shared" si="31"/>
        <v>-</v>
      </c>
    </row>
    <row r="350" spans="2:8" x14ac:dyDescent="0.2">
      <c r="B350" s="457" t="str">
        <f t="shared" ref="B350:B377" si="32">IF(B349&gt;=$D$5*12,"",B349+1)</f>
        <v/>
      </c>
      <c r="C350" s="458" t="str">
        <f t="shared" si="28"/>
        <v>-</v>
      </c>
      <c r="D350" s="458" t="str">
        <f t="shared" si="29"/>
        <v>-</v>
      </c>
      <c r="E350" s="458" t="str">
        <f>IF(B350="","-",SUM($D$18:D350))</f>
        <v>-</v>
      </c>
      <c r="F350" s="458" t="str">
        <f t="shared" si="30"/>
        <v>-</v>
      </c>
      <c r="G350" s="458" t="str">
        <f>IF(B350="","-",SUM($F$18:F350))</f>
        <v>-</v>
      </c>
      <c r="H350" s="458" t="str">
        <f t="shared" si="31"/>
        <v>-</v>
      </c>
    </row>
    <row r="351" spans="2:8" x14ac:dyDescent="0.2">
      <c r="B351" s="457" t="str">
        <f t="shared" si="32"/>
        <v/>
      </c>
      <c r="C351" s="458" t="str">
        <f t="shared" si="28"/>
        <v>-</v>
      </c>
      <c r="D351" s="458" t="str">
        <f t="shared" si="29"/>
        <v>-</v>
      </c>
      <c r="E351" s="458" t="str">
        <f>IF(B351="","-",SUM($D$18:D351))</f>
        <v>-</v>
      </c>
      <c r="F351" s="458" t="str">
        <f t="shared" si="30"/>
        <v>-</v>
      </c>
      <c r="G351" s="458" t="str">
        <f>IF(B351="","-",SUM($F$18:F351))</f>
        <v>-</v>
      </c>
      <c r="H351" s="458" t="str">
        <f t="shared" si="31"/>
        <v>-</v>
      </c>
    </row>
    <row r="352" spans="2:8" x14ac:dyDescent="0.2">
      <c r="B352" s="457" t="str">
        <f t="shared" si="32"/>
        <v/>
      </c>
      <c r="C352" s="458" t="str">
        <f t="shared" si="28"/>
        <v>-</v>
      </c>
      <c r="D352" s="458" t="str">
        <f t="shared" si="29"/>
        <v>-</v>
      </c>
      <c r="E352" s="458" t="str">
        <f>IF(B352="","-",SUM($D$18:D352))</f>
        <v>-</v>
      </c>
      <c r="F352" s="458" t="str">
        <f t="shared" si="30"/>
        <v>-</v>
      </c>
      <c r="G352" s="458" t="str">
        <f>IF(B352="","-",SUM($F$18:F352))</f>
        <v>-</v>
      </c>
      <c r="H352" s="458" t="str">
        <f t="shared" si="31"/>
        <v>-</v>
      </c>
    </row>
    <row r="353" spans="2:8" x14ac:dyDescent="0.2">
      <c r="B353" s="457" t="str">
        <f t="shared" si="32"/>
        <v/>
      </c>
      <c r="C353" s="458" t="str">
        <f t="shared" si="28"/>
        <v>-</v>
      </c>
      <c r="D353" s="458" t="str">
        <f t="shared" si="29"/>
        <v>-</v>
      </c>
      <c r="E353" s="458" t="str">
        <f>IF(B353="","-",SUM($D$18:D353))</f>
        <v>-</v>
      </c>
      <c r="F353" s="458" t="str">
        <f t="shared" si="30"/>
        <v>-</v>
      </c>
      <c r="G353" s="458" t="str">
        <f>IF(B353="","-",SUM($F$18:F353))</f>
        <v>-</v>
      </c>
      <c r="H353" s="458" t="str">
        <f t="shared" si="31"/>
        <v>-</v>
      </c>
    </row>
    <row r="354" spans="2:8" x14ac:dyDescent="0.2">
      <c r="B354" s="457" t="str">
        <f t="shared" si="32"/>
        <v/>
      </c>
      <c r="C354" s="458" t="str">
        <f t="shared" si="28"/>
        <v>-</v>
      </c>
      <c r="D354" s="458" t="str">
        <f t="shared" si="29"/>
        <v>-</v>
      </c>
      <c r="E354" s="458" t="str">
        <f>IF(B354="","-",SUM($D$18:D354))</f>
        <v>-</v>
      </c>
      <c r="F354" s="458" t="str">
        <f t="shared" si="30"/>
        <v>-</v>
      </c>
      <c r="G354" s="458" t="str">
        <f>IF(B354="","-",SUM($F$18:F354))</f>
        <v>-</v>
      </c>
      <c r="H354" s="458" t="str">
        <f t="shared" si="31"/>
        <v>-</v>
      </c>
    </row>
    <row r="355" spans="2:8" x14ac:dyDescent="0.2">
      <c r="B355" s="457" t="str">
        <f t="shared" si="32"/>
        <v/>
      </c>
      <c r="C355" s="458" t="str">
        <f t="shared" si="28"/>
        <v>-</v>
      </c>
      <c r="D355" s="458" t="str">
        <f t="shared" si="29"/>
        <v>-</v>
      </c>
      <c r="E355" s="458" t="str">
        <f>IF(B355="","-",SUM($D$18:D355))</f>
        <v>-</v>
      </c>
      <c r="F355" s="458" t="str">
        <f t="shared" si="30"/>
        <v>-</v>
      </c>
      <c r="G355" s="458" t="str">
        <f>IF(B355="","-",SUM($F$18:F355))</f>
        <v>-</v>
      </c>
      <c r="H355" s="458" t="str">
        <f t="shared" si="31"/>
        <v>-</v>
      </c>
    </row>
    <row r="356" spans="2:8" x14ac:dyDescent="0.2">
      <c r="B356" s="457" t="str">
        <f t="shared" si="32"/>
        <v/>
      </c>
      <c r="C356" s="458" t="str">
        <f t="shared" si="28"/>
        <v>-</v>
      </c>
      <c r="D356" s="458" t="str">
        <f t="shared" si="29"/>
        <v>-</v>
      </c>
      <c r="E356" s="458" t="str">
        <f>IF(B356="","-",SUM($D$18:D356))</f>
        <v>-</v>
      </c>
      <c r="F356" s="458" t="str">
        <f t="shared" si="30"/>
        <v>-</v>
      </c>
      <c r="G356" s="458" t="str">
        <f>IF(B356="","-",SUM($F$18:F356))</f>
        <v>-</v>
      </c>
      <c r="H356" s="458" t="str">
        <f t="shared" si="31"/>
        <v>-</v>
      </c>
    </row>
    <row r="357" spans="2:8" x14ac:dyDescent="0.2">
      <c r="B357" s="457" t="str">
        <f t="shared" si="32"/>
        <v/>
      </c>
      <c r="C357" s="458" t="str">
        <f t="shared" si="28"/>
        <v>-</v>
      </c>
      <c r="D357" s="458" t="str">
        <f t="shared" si="29"/>
        <v>-</v>
      </c>
      <c r="E357" s="458" t="str">
        <f>IF(B357="","-",SUM($D$18:D357))</f>
        <v>-</v>
      </c>
      <c r="F357" s="458" t="str">
        <f t="shared" si="30"/>
        <v>-</v>
      </c>
      <c r="G357" s="458" t="str">
        <f>IF(B357="","-",SUM($F$18:F357))</f>
        <v>-</v>
      </c>
      <c r="H357" s="458" t="str">
        <f t="shared" si="31"/>
        <v>-</v>
      </c>
    </row>
    <row r="358" spans="2:8" x14ac:dyDescent="0.2">
      <c r="B358" s="457" t="str">
        <f t="shared" si="32"/>
        <v/>
      </c>
      <c r="C358" s="458" t="str">
        <f t="shared" si="28"/>
        <v>-</v>
      </c>
      <c r="D358" s="458" t="str">
        <f t="shared" si="29"/>
        <v>-</v>
      </c>
      <c r="E358" s="458" t="str">
        <f>IF(B358="","-",SUM($D$18:D358))</f>
        <v>-</v>
      </c>
      <c r="F358" s="458" t="str">
        <f t="shared" si="30"/>
        <v>-</v>
      </c>
      <c r="G358" s="458" t="str">
        <f>IF(B358="","-",SUM($F$18:F358))</f>
        <v>-</v>
      </c>
      <c r="H358" s="458" t="str">
        <f t="shared" si="31"/>
        <v>-</v>
      </c>
    </row>
    <row r="359" spans="2:8" x14ac:dyDescent="0.2">
      <c r="B359" s="457" t="str">
        <f t="shared" si="32"/>
        <v/>
      </c>
      <c r="C359" s="458" t="str">
        <f t="shared" si="28"/>
        <v>-</v>
      </c>
      <c r="D359" s="458" t="str">
        <f t="shared" si="29"/>
        <v>-</v>
      </c>
      <c r="E359" s="458" t="str">
        <f>IF(B359="","-",SUM($D$18:D359))</f>
        <v>-</v>
      </c>
      <c r="F359" s="458" t="str">
        <f t="shared" si="30"/>
        <v>-</v>
      </c>
      <c r="G359" s="458" t="str">
        <f>IF(B359="","-",SUM($F$18:F359))</f>
        <v>-</v>
      </c>
      <c r="H359" s="458" t="str">
        <f t="shared" si="31"/>
        <v>-</v>
      </c>
    </row>
    <row r="360" spans="2:8" x14ac:dyDescent="0.2">
      <c r="B360" s="457" t="str">
        <f t="shared" si="32"/>
        <v/>
      </c>
      <c r="C360" s="458" t="str">
        <f t="shared" si="28"/>
        <v>-</v>
      </c>
      <c r="D360" s="458" t="str">
        <f t="shared" si="29"/>
        <v>-</v>
      </c>
      <c r="E360" s="458" t="str">
        <f>IF(B360="","-",SUM($D$18:D360))</f>
        <v>-</v>
      </c>
      <c r="F360" s="458" t="str">
        <f t="shared" si="30"/>
        <v>-</v>
      </c>
      <c r="G360" s="458" t="str">
        <f>IF(B360="","-",SUM($F$18:F360))</f>
        <v>-</v>
      </c>
      <c r="H360" s="458" t="str">
        <f t="shared" si="31"/>
        <v>-</v>
      </c>
    </row>
    <row r="361" spans="2:8" x14ac:dyDescent="0.2">
      <c r="B361" s="457" t="str">
        <f t="shared" si="32"/>
        <v/>
      </c>
      <c r="C361" s="458" t="str">
        <f t="shared" si="28"/>
        <v>-</v>
      </c>
      <c r="D361" s="458" t="str">
        <f t="shared" si="29"/>
        <v>-</v>
      </c>
      <c r="E361" s="458" t="str">
        <f>IF(B361="","-",SUM($D$18:D361))</f>
        <v>-</v>
      </c>
      <c r="F361" s="458" t="str">
        <f t="shared" si="30"/>
        <v>-</v>
      </c>
      <c r="G361" s="458" t="str">
        <f>IF(B361="","-",SUM($F$18:F361))</f>
        <v>-</v>
      </c>
      <c r="H361" s="458" t="str">
        <f t="shared" si="31"/>
        <v>-</v>
      </c>
    </row>
    <row r="362" spans="2:8" x14ac:dyDescent="0.2">
      <c r="B362" s="457" t="str">
        <f t="shared" si="32"/>
        <v/>
      </c>
      <c r="C362" s="458" t="str">
        <f t="shared" si="28"/>
        <v>-</v>
      </c>
      <c r="D362" s="458" t="str">
        <f t="shared" si="29"/>
        <v>-</v>
      </c>
      <c r="E362" s="458" t="str">
        <f>IF(B362="","-",SUM($D$18:D362))</f>
        <v>-</v>
      </c>
      <c r="F362" s="458" t="str">
        <f t="shared" si="30"/>
        <v>-</v>
      </c>
      <c r="G362" s="458" t="str">
        <f>IF(B362="","-",SUM($F$18:F362))</f>
        <v>-</v>
      </c>
      <c r="H362" s="458" t="str">
        <f t="shared" si="31"/>
        <v>-</v>
      </c>
    </row>
    <row r="363" spans="2:8" x14ac:dyDescent="0.2">
      <c r="B363" s="457" t="str">
        <f t="shared" si="32"/>
        <v/>
      </c>
      <c r="C363" s="458" t="str">
        <f t="shared" si="28"/>
        <v>-</v>
      </c>
      <c r="D363" s="458" t="str">
        <f t="shared" si="29"/>
        <v>-</v>
      </c>
      <c r="E363" s="458" t="str">
        <f>IF(B363="","-",SUM($D$18:D363))</f>
        <v>-</v>
      </c>
      <c r="F363" s="458" t="str">
        <f t="shared" si="30"/>
        <v>-</v>
      </c>
      <c r="G363" s="458" t="str">
        <f>IF(B363="","-",SUM($F$18:F363))</f>
        <v>-</v>
      </c>
      <c r="H363" s="458" t="str">
        <f t="shared" si="31"/>
        <v>-</v>
      </c>
    </row>
    <row r="364" spans="2:8" x14ac:dyDescent="0.2">
      <c r="B364" s="457" t="str">
        <f t="shared" si="32"/>
        <v/>
      </c>
      <c r="C364" s="458" t="str">
        <f t="shared" si="28"/>
        <v>-</v>
      </c>
      <c r="D364" s="458" t="str">
        <f t="shared" si="29"/>
        <v>-</v>
      </c>
      <c r="E364" s="458" t="str">
        <f>IF(B364="","-",SUM($D$18:D364))</f>
        <v>-</v>
      </c>
      <c r="F364" s="458" t="str">
        <f t="shared" si="30"/>
        <v>-</v>
      </c>
      <c r="G364" s="458" t="str">
        <f>IF(B364="","-",SUM($F$18:F364))</f>
        <v>-</v>
      </c>
      <c r="H364" s="458" t="str">
        <f t="shared" si="31"/>
        <v>-</v>
      </c>
    </row>
    <row r="365" spans="2:8" x14ac:dyDescent="0.2">
      <c r="B365" s="457" t="str">
        <f t="shared" si="32"/>
        <v/>
      </c>
      <c r="C365" s="458" t="str">
        <f t="shared" si="28"/>
        <v>-</v>
      </c>
      <c r="D365" s="458" t="str">
        <f t="shared" si="29"/>
        <v>-</v>
      </c>
      <c r="E365" s="458" t="str">
        <f>IF(B365="","-",SUM($D$18:D365))</f>
        <v>-</v>
      </c>
      <c r="F365" s="458" t="str">
        <f t="shared" si="30"/>
        <v>-</v>
      </c>
      <c r="G365" s="458" t="str">
        <f>IF(B365="","-",SUM($F$18:F365))</f>
        <v>-</v>
      </c>
      <c r="H365" s="458" t="str">
        <f t="shared" si="31"/>
        <v>-</v>
      </c>
    </row>
    <row r="366" spans="2:8" x14ac:dyDescent="0.2">
      <c r="B366" s="457" t="str">
        <f t="shared" si="32"/>
        <v/>
      </c>
      <c r="C366" s="458" t="str">
        <f t="shared" si="28"/>
        <v>-</v>
      </c>
      <c r="D366" s="458" t="str">
        <f t="shared" si="29"/>
        <v>-</v>
      </c>
      <c r="E366" s="458" t="str">
        <f>IF(B366="","-",SUM($D$18:D366))</f>
        <v>-</v>
      </c>
      <c r="F366" s="458" t="str">
        <f t="shared" si="30"/>
        <v>-</v>
      </c>
      <c r="G366" s="458" t="str">
        <f>IF(B366="","-",SUM($F$18:F366))</f>
        <v>-</v>
      </c>
      <c r="H366" s="458" t="str">
        <f t="shared" si="31"/>
        <v>-</v>
      </c>
    </row>
    <row r="367" spans="2:8" x14ac:dyDescent="0.2">
      <c r="B367" s="457" t="str">
        <f t="shared" si="32"/>
        <v/>
      </c>
      <c r="C367" s="458" t="str">
        <f t="shared" si="28"/>
        <v>-</v>
      </c>
      <c r="D367" s="458" t="str">
        <f t="shared" si="29"/>
        <v>-</v>
      </c>
      <c r="E367" s="458" t="str">
        <f>IF(B367="","-",SUM($D$18:D367))</f>
        <v>-</v>
      </c>
      <c r="F367" s="458" t="str">
        <f t="shared" si="30"/>
        <v>-</v>
      </c>
      <c r="G367" s="458" t="str">
        <f>IF(B367="","-",SUM($F$18:F367))</f>
        <v>-</v>
      </c>
      <c r="H367" s="458" t="str">
        <f t="shared" si="31"/>
        <v>-</v>
      </c>
    </row>
    <row r="368" spans="2:8" x14ac:dyDescent="0.2">
      <c r="B368" s="457" t="str">
        <f t="shared" si="32"/>
        <v/>
      </c>
      <c r="C368" s="458" t="str">
        <f t="shared" si="28"/>
        <v>-</v>
      </c>
      <c r="D368" s="458" t="str">
        <f t="shared" si="29"/>
        <v>-</v>
      </c>
      <c r="E368" s="458" t="str">
        <f>IF(B368="","-",SUM($D$18:D368))</f>
        <v>-</v>
      </c>
      <c r="F368" s="458" t="str">
        <f t="shared" si="30"/>
        <v>-</v>
      </c>
      <c r="G368" s="458" t="str">
        <f>IF(B368="","-",SUM($F$18:F368))</f>
        <v>-</v>
      </c>
      <c r="H368" s="458" t="str">
        <f t="shared" si="31"/>
        <v>-</v>
      </c>
    </row>
    <row r="369" spans="2:8" x14ac:dyDescent="0.2">
      <c r="B369" s="457" t="str">
        <f t="shared" si="32"/>
        <v/>
      </c>
      <c r="C369" s="458" t="str">
        <f t="shared" si="28"/>
        <v>-</v>
      </c>
      <c r="D369" s="458" t="str">
        <f t="shared" si="29"/>
        <v>-</v>
      </c>
      <c r="E369" s="458" t="str">
        <f>IF(B369="","-",SUM($D$18:D369))</f>
        <v>-</v>
      </c>
      <c r="F369" s="458" t="str">
        <f t="shared" si="30"/>
        <v>-</v>
      </c>
      <c r="G369" s="458" t="str">
        <f>IF(B369="","-",SUM($F$18:F369))</f>
        <v>-</v>
      </c>
      <c r="H369" s="458" t="str">
        <f t="shared" si="31"/>
        <v>-</v>
      </c>
    </row>
    <row r="370" spans="2:8" x14ac:dyDescent="0.2">
      <c r="B370" s="457" t="str">
        <f t="shared" si="32"/>
        <v/>
      </c>
      <c r="C370" s="458" t="str">
        <f t="shared" si="28"/>
        <v>-</v>
      </c>
      <c r="D370" s="458" t="str">
        <f t="shared" si="29"/>
        <v>-</v>
      </c>
      <c r="E370" s="458" t="str">
        <f>IF(B370="","-",SUM($D$18:D370))</f>
        <v>-</v>
      </c>
      <c r="F370" s="458" t="str">
        <f t="shared" si="30"/>
        <v>-</v>
      </c>
      <c r="G370" s="458" t="str">
        <f>IF(B370="","-",SUM($F$18:F370))</f>
        <v>-</v>
      </c>
      <c r="H370" s="458" t="str">
        <f t="shared" si="31"/>
        <v>-</v>
      </c>
    </row>
    <row r="371" spans="2:8" x14ac:dyDescent="0.2">
      <c r="B371" s="457" t="str">
        <f t="shared" si="32"/>
        <v/>
      </c>
      <c r="C371" s="458" t="str">
        <f t="shared" si="28"/>
        <v>-</v>
      </c>
      <c r="D371" s="458" t="str">
        <f t="shared" si="29"/>
        <v>-</v>
      </c>
      <c r="E371" s="458" t="str">
        <f>IF(B371="","-",SUM($D$18:D371))</f>
        <v>-</v>
      </c>
      <c r="F371" s="458" t="str">
        <f t="shared" si="30"/>
        <v>-</v>
      </c>
      <c r="G371" s="458" t="str">
        <f>IF(B371="","-",SUM($F$18:F371))</f>
        <v>-</v>
      </c>
      <c r="H371" s="458" t="str">
        <f t="shared" si="31"/>
        <v>-</v>
      </c>
    </row>
    <row r="372" spans="2:8" x14ac:dyDescent="0.2">
      <c r="B372" s="457" t="str">
        <f t="shared" si="32"/>
        <v/>
      </c>
      <c r="C372" s="458" t="str">
        <f t="shared" si="28"/>
        <v>-</v>
      </c>
      <c r="D372" s="458" t="str">
        <f t="shared" si="29"/>
        <v>-</v>
      </c>
      <c r="E372" s="458" t="str">
        <f>IF(B372="","-",SUM($D$18:D372))</f>
        <v>-</v>
      </c>
      <c r="F372" s="458" t="str">
        <f t="shared" si="30"/>
        <v>-</v>
      </c>
      <c r="G372" s="458" t="str">
        <f>IF(B372="","-",SUM($F$18:F372))</f>
        <v>-</v>
      </c>
      <c r="H372" s="458" t="str">
        <f t="shared" si="31"/>
        <v>-</v>
      </c>
    </row>
    <row r="373" spans="2:8" x14ac:dyDescent="0.2">
      <c r="B373" s="457" t="str">
        <f t="shared" si="32"/>
        <v/>
      </c>
      <c r="C373" s="458" t="str">
        <f t="shared" si="28"/>
        <v>-</v>
      </c>
      <c r="D373" s="458" t="str">
        <f t="shared" si="29"/>
        <v>-</v>
      </c>
      <c r="E373" s="458" t="str">
        <f>IF(B373="","-",SUM($D$18:D373))</f>
        <v>-</v>
      </c>
      <c r="F373" s="458" t="str">
        <f t="shared" si="30"/>
        <v>-</v>
      </c>
      <c r="G373" s="458" t="str">
        <f>IF(B373="","-",SUM($F$18:F373))</f>
        <v>-</v>
      </c>
      <c r="H373" s="458" t="str">
        <f t="shared" si="31"/>
        <v>-</v>
      </c>
    </row>
    <row r="374" spans="2:8" x14ac:dyDescent="0.2">
      <c r="B374" s="457" t="str">
        <f t="shared" si="32"/>
        <v/>
      </c>
      <c r="C374" s="458" t="str">
        <f t="shared" si="28"/>
        <v>-</v>
      </c>
      <c r="D374" s="458" t="str">
        <f t="shared" si="29"/>
        <v>-</v>
      </c>
      <c r="E374" s="458" t="str">
        <f>IF(B374="","-",SUM($D$18:D374))</f>
        <v>-</v>
      </c>
      <c r="F374" s="458" t="str">
        <f t="shared" si="30"/>
        <v>-</v>
      </c>
      <c r="G374" s="458" t="str">
        <f>IF(B374="","-",SUM($F$18:F374))</f>
        <v>-</v>
      </c>
      <c r="H374" s="458" t="str">
        <f t="shared" si="31"/>
        <v>-</v>
      </c>
    </row>
    <row r="375" spans="2:8" x14ac:dyDescent="0.2">
      <c r="B375" s="457" t="str">
        <f t="shared" si="32"/>
        <v/>
      </c>
      <c r="C375" s="458" t="str">
        <f t="shared" si="28"/>
        <v>-</v>
      </c>
      <c r="D375" s="458" t="str">
        <f t="shared" si="29"/>
        <v>-</v>
      </c>
      <c r="E375" s="458" t="str">
        <f>IF(B375="","-",SUM($D$18:D375))</f>
        <v>-</v>
      </c>
      <c r="F375" s="458" t="str">
        <f t="shared" si="30"/>
        <v>-</v>
      </c>
      <c r="G375" s="458" t="str">
        <f>IF(B375="","-",SUM($F$18:F375))</f>
        <v>-</v>
      </c>
      <c r="H375" s="458" t="str">
        <f t="shared" si="31"/>
        <v>-</v>
      </c>
    </row>
    <row r="376" spans="2:8" x14ac:dyDescent="0.2">
      <c r="B376" s="457" t="str">
        <f t="shared" si="32"/>
        <v/>
      </c>
      <c r="C376" s="458" t="str">
        <f t="shared" si="28"/>
        <v>-</v>
      </c>
      <c r="D376" s="458" t="str">
        <f t="shared" si="29"/>
        <v>-</v>
      </c>
      <c r="E376" s="458" t="str">
        <f>IF(B376="","-",SUM($D$18:D376))</f>
        <v>-</v>
      </c>
      <c r="F376" s="458" t="str">
        <f t="shared" si="30"/>
        <v>-</v>
      </c>
      <c r="G376" s="458" t="str">
        <f>IF(B376="","-",SUM($F$18:F376))</f>
        <v>-</v>
      </c>
      <c r="H376" s="458" t="str">
        <f t="shared" si="31"/>
        <v>-</v>
      </c>
    </row>
    <row r="377" spans="2:8" x14ac:dyDescent="0.2">
      <c r="B377" s="457" t="str">
        <f t="shared" si="32"/>
        <v/>
      </c>
      <c r="C377" s="458" t="str">
        <f t="shared" si="28"/>
        <v>-</v>
      </c>
      <c r="D377" s="458" t="str">
        <f t="shared" si="29"/>
        <v>-</v>
      </c>
      <c r="E377" s="458" t="str">
        <f>IF(B377="","-",SUM($D$18:D377))</f>
        <v>-</v>
      </c>
      <c r="F377" s="458" t="str">
        <f t="shared" si="30"/>
        <v>-</v>
      </c>
      <c r="G377" s="458" t="str">
        <f>IF(B377="","-",SUM($F$18:F377))</f>
        <v>-</v>
      </c>
      <c r="H377" s="458" t="str">
        <f t="shared" si="31"/>
        <v>-</v>
      </c>
    </row>
    <row r="378" spans="2:8" x14ac:dyDescent="0.2">
      <c r="B378" s="457" t="str">
        <f>IF(B377&gt;=$D$5*12,"",B377+1)</f>
        <v/>
      </c>
      <c r="C378" s="458" t="str">
        <f t="shared" si="28"/>
        <v>-</v>
      </c>
      <c r="D378" s="458" t="str">
        <f t="shared" si="29"/>
        <v>-</v>
      </c>
      <c r="E378" s="458" t="str">
        <f>IF(B378="","-",SUM($D$18:D378))</f>
        <v>-</v>
      </c>
      <c r="F378" s="458" t="str">
        <f t="shared" si="30"/>
        <v>-</v>
      </c>
      <c r="G378" s="458" t="str">
        <f>IF(B378="","-",SUM($F$18:F378))</f>
        <v>-</v>
      </c>
      <c r="H378" s="458" t="str">
        <f t="shared" si="31"/>
        <v>-</v>
      </c>
    </row>
    <row r="379" spans="2:8" x14ac:dyDescent="0.2">
      <c r="B379" s="464"/>
      <c r="C379" s="464"/>
      <c r="D379" s="464"/>
      <c r="E379" s="464"/>
      <c r="F379" s="464"/>
      <c r="G379" s="464"/>
      <c r="H379" s="464"/>
    </row>
    <row r="380" spans="2:8" x14ac:dyDescent="0.2">
      <c r="B380" s="10"/>
    </row>
    <row r="381" spans="2:8" x14ac:dyDescent="0.2">
      <c r="B381" s="52" t="str">
        <f ca="1">copyright</f>
        <v>Copyright © 2026 Michael Blank.</v>
      </c>
    </row>
    <row r="382" spans="2:8" x14ac:dyDescent="0.2">
      <c r="B382" s="52" t="s">
        <v>124</v>
      </c>
    </row>
  </sheetData>
  <customSheetViews>
    <customSheetView guid="{A0B83632-25B5-FE44-8A66-2590D6BCDFDC}" showGridLines="0" state="hidden">
      <selection sqref="A1:L1"/>
      <pageMargins left="0.35" right="0.41" top="0.75" bottom="0.75" header="0.5" footer="0.5"/>
      <pageSetup orientation="portrait" r:id="rId1"/>
      <headerFooter alignWithMargins="0"/>
    </customSheetView>
  </customSheetViews>
  <mergeCells count="1">
    <mergeCell ref="A1:L1"/>
  </mergeCells>
  <phoneticPr fontId="6" type="noConversion"/>
  <conditionalFormatting sqref="C13 A13:A14">
    <cfRule type="cellIs" priority="1" stopIfTrue="1" operator="notEqual">
      <formula>0</formula>
    </cfRule>
    <cfRule type="expression" dxfId="0" priority="2" stopIfTrue="1">
      <formula>+Highlighting_Flag</formula>
    </cfRule>
  </conditionalFormatting>
  <dataValidations count="1">
    <dataValidation type="list" allowBlank="1" showInputMessage="1" showErrorMessage="1" sqref="F6" xr:uid="{D1EA33CC-08FB-E540-85A7-9A3D2273D299}">
      <formula1>"Option 1, Option 2"</formula1>
    </dataValidation>
  </dataValidations>
  <pageMargins left="0.35" right="0.41" top="0.75" bottom="0.75" header="0.5" footer="0.5"/>
  <pageSetup orientation="portrait" r:id="rId2"/>
  <headerFooter alignWithMargins="0"/>
  <cellWatches>
    <cellWatch r="F10"/>
  </cellWatches>
  <ignoredErrors>
    <ignoredError sqref="D3:D5" unlocked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02350-46F1-CE44-AA83-D13926ABBB5F}">
  <sheetPr codeName="Sheet17"/>
  <dimension ref="A1:AR48"/>
  <sheetViews>
    <sheetView showGridLines="0" zoomScaleNormal="100" workbookViewId="0"/>
  </sheetViews>
  <sheetFormatPr baseColWidth="10" defaultColWidth="0" defaultRowHeight="16" customHeight="1" x14ac:dyDescent="0.2"/>
  <cols>
    <col min="1" max="1" width="3.42578125" style="751" customWidth="1"/>
    <col min="2" max="2" width="52.85546875" style="15" customWidth="1"/>
    <col min="3" max="3" width="11.85546875" style="2" customWidth="1"/>
    <col min="4" max="4" width="12.42578125" style="702" customWidth="1"/>
    <col min="5" max="5" width="15.7109375" style="38" customWidth="1"/>
    <col min="6" max="6" width="10.28515625" style="2" customWidth="1"/>
    <col min="7" max="7" width="12.28515625" style="15" customWidth="1"/>
    <col min="8" max="8" width="9.28515625" style="2" customWidth="1"/>
    <col min="9" max="9" width="12.28515625" style="15" customWidth="1"/>
    <col min="10" max="10" width="9.28515625" style="2" customWidth="1"/>
    <col min="11" max="43" width="9" style="15" customWidth="1"/>
    <col min="44" max="44" width="0" style="15" hidden="1" customWidth="1"/>
    <col min="45" max="16384" width="7.85546875" style="15" hidden="1"/>
  </cols>
  <sheetData>
    <row r="1" spans="1:42" s="23" customFormat="1" ht="20" x14ac:dyDescent="0.15">
      <c r="B1" s="1179" t="s">
        <v>401</v>
      </c>
      <c r="C1" s="1179"/>
      <c r="D1" s="1179"/>
      <c r="E1" s="1179"/>
      <c r="F1" s="19"/>
      <c r="G1" s="19"/>
      <c r="H1" s="19"/>
      <c r="I1" s="19"/>
      <c r="J1" s="19"/>
      <c r="K1" s="19"/>
      <c r="L1" s="20"/>
      <c r="M1" s="20"/>
      <c r="N1" s="20"/>
      <c r="O1" s="18"/>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row>
    <row r="2" spans="1:42" ht="16" customHeight="1" thickBot="1" x14ac:dyDescent="0.25">
      <c r="A2" s="748"/>
      <c r="C2" s="108"/>
      <c r="D2" s="108"/>
      <c r="E2" s="109"/>
      <c r="F2" s="32"/>
      <c r="G2" s="26"/>
      <c r="H2" s="32"/>
      <c r="I2" s="26"/>
      <c r="J2" s="32"/>
      <c r="K2" s="26"/>
      <c r="L2" s="26"/>
      <c r="M2" s="26"/>
      <c r="N2" s="26"/>
      <c r="O2" s="26"/>
    </row>
    <row r="3" spans="1:42" ht="16" customHeight="1" x14ac:dyDescent="0.2">
      <c r="A3" s="748"/>
      <c r="B3" s="1029" t="s">
        <v>616</v>
      </c>
      <c r="C3" s="1035" t="s">
        <v>591</v>
      </c>
      <c r="D3" s="1035" t="s">
        <v>23</v>
      </c>
      <c r="E3" s="1036" t="s">
        <v>592</v>
      </c>
      <c r="F3"/>
      <c r="G3" s="1224" t="s">
        <v>615</v>
      </c>
      <c r="H3" s="1225"/>
      <c r="I3" s="1226"/>
      <c r="J3" s="28"/>
      <c r="K3" s="26"/>
      <c r="L3" s="26"/>
      <c r="M3" s="26"/>
      <c r="N3" s="26"/>
      <c r="O3" s="26"/>
    </row>
    <row r="4" spans="1:42" ht="16" customHeight="1" x14ac:dyDescent="0.2">
      <c r="A4" s="748"/>
      <c r="B4" s="1023" t="s">
        <v>618</v>
      </c>
      <c r="C4" s="1014">
        <v>0</v>
      </c>
      <c r="D4" s="1015">
        <v>0</v>
      </c>
      <c r="E4" s="1016">
        <f>C4*D4</f>
        <v>0</v>
      </c>
      <c r="F4" s="692"/>
      <c r="G4" s="1227"/>
      <c r="H4" s="1228"/>
      <c r="I4" s="1229"/>
      <c r="J4" s="28"/>
      <c r="K4" s="26"/>
      <c r="L4" s="26"/>
      <c r="M4" s="26"/>
      <c r="N4" s="26"/>
      <c r="O4" s="26"/>
    </row>
    <row r="5" spans="1:42" ht="16" customHeight="1" x14ac:dyDescent="0.2">
      <c r="A5" s="748"/>
      <c r="B5" s="1023" t="s">
        <v>606</v>
      </c>
      <c r="C5" s="1014">
        <v>0</v>
      </c>
      <c r="D5" s="1015">
        <v>0</v>
      </c>
      <c r="E5" s="1016">
        <f t="shared" ref="E5:E16" si="0">C5*D5</f>
        <v>0</v>
      </c>
      <c r="F5" s="120"/>
      <c r="G5" s="1227"/>
      <c r="H5" s="1228"/>
      <c r="I5" s="1229"/>
      <c r="J5" s="28"/>
      <c r="K5" s="26"/>
      <c r="L5" s="26"/>
      <c r="M5" s="26"/>
      <c r="N5" s="26"/>
      <c r="O5" s="26"/>
    </row>
    <row r="6" spans="1:42" ht="16" customHeight="1" x14ac:dyDescent="0.2">
      <c r="A6" s="748"/>
      <c r="B6" s="1023" t="s">
        <v>607</v>
      </c>
      <c r="C6" s="1014">
        <v>0</v>
      </c>
      <c r="D6" s="1015">
        <v>0</v>
      </c>
      <c r="E6" s="1016">
        <f t="shared" si="0"/>
        <v>0</v>
      </c>
      <c r="F6" s="120"/>
      <c r="G6" s="1227"/>
      <c r="H6" s="1228"/>
      <c r="I6" s="1229"/>
      <c r="J6" s="28"/>
      <c r="K6" s="26"/>
      <c r="L6" s="26"/>
      <c r="M6" s="26"/>
      <c r="N6" s="26"/>
      <c r="O6" s="26"/>
    </row>
    <row r="7" spans="1:42" ht="16" customHeight="1" x14ac:dyDescent="0.2">
      <c r="A7" s="748"/>
      <c r="B7" s="1023" t="s">
        <v>593</v>
      </c>
      <c r="C7" s="1014">
        <v>0</v>
      </c>
      <c r="D7" s="1015">
        <v>0</v>
      </c>
      <c r="E7" s="1016">
        <f t="shared" si="0"/>
        <v>0</v>
      </c>
      <c r="F7" s="120"/>
      <c r="G7" s="1227"/>
      <c r="H7" s="1228"/>
      <c r="I7" s="1229"/>
      <c r="J7" s="28"/>
      <c r="K7" s="26"/>
      <c r="L7" s="26"/>
      <c r="M7" s="26"/>
      <c r="N7" s="26"/>
      <c r="O7" s="26"/>
    </row>
    <row r="8" spans="1:42" ht="16" customHeight="1" x14ac:dyDescent="0.2">
      <c r="A8" s="748"/>
      <c r="B8" s="1023" t="s">
        <v>608</v>
      </c>
      <c r="C8" s="1014">
        <v>0</v>
      </c>
      <c r="D8" s="1015">
        <v>0</v>
      </c>
      <c r="E8" s="1016">
        <f t="shared" si="0"/>
        <v>0</v>
      </c>
      <c r="F8" s="115"/>
      <c r="G8" s="1227"/>
      <c r="H8" s="1228"/>
      <c r="I8" s="1229"/>
      <c r="J8" s="28"/>
      <c r="K8" s="26"/>
      <c r="L8" s="26"/>
      <c r="M8" s="26"/>
      <c r="N8" s="26"/>
      <c r="O8" s="26"/>
    </row>
    <row r="9" spans="1:42" ht="16" customHeight="1" x14ac:dyDescent="0.2">
      <c r="A9" s="748"/>
      <c r="B9" s="1023" t="s">
        <v>594</v>
      </c>
      <c r="C9" s="1014">
        <v>0</v>
      </c>
      <c r="D9" s="1015">
        <v>0</v>
      </c>
      <c r="E9" s="1016">
        <f t="shared" si="0"/>
        <v>0</v>
      </c>
      <c r="F9" s="120"/>
      <c r="G9" s="1230"/>
      <c r="H9" s="1231"/>
      <c r="I9" s="1232"/>
      <c r="J9" s="28"/>
      <c r="K9" s="26"/>
      <c r="L9" s="26"/>
      <c r="M9" s="26"/>
      <c r="N9" s="26"/>
      <c r="O9" s="26"/>
    </row>
    <row r="10" spans="1:42" ht="16" customHeight="1" x14ac:dyDescent="0.2">
      <c r="A10" s="748"/>
      <c r="B10" s="1023" t="s">
        <v>595</v>
      </c>
      <c r="C10" s="1014">
        <v>0</v>
      </c>
      <c r="D10" s="1015">
        <v>0</v>
      </c>
      <c r="E10" s="1016">
        <f t="shared" si="0"/>
        <v>0</v>
      </c>
      <c r="F10" s="120"/>
      <c r="G10" s="26"/>
      <c r="H10" s="28"/>
      <c r="I10" s="26"/>
      <c r="J10" s="28"/>
      <c r="K10" s="26"/>
      <c r="L10" s="26"/>
      <c r="M10" s="26"/>
      <c r="N10" s="26"/>
      <c r="O10" s="26"/>
    </row>
    <row r="11" spans="1:42" ht="16" customHeight="1" x14ac:dyDescent="0.2">
      <c r="A11" s="748"/>
      <c r="B11" s="1023" t="s">
        <v>596</v>
      </c>
      <c r="C11" s="1014">
        <v>0</v>
      </c>
      <c r="D11" s="1015">
        <v>0</v>
      </c>
      <c r="E11" s="1016">
        <f t="shared" si="0"/>
        <v>0</v>
      </c>
      <c r="F11" s="120"/>
      <c r="G11" s="27"/>
      <c r="H11" s="13"/>
      <c r="I11" s="27"/>
      <c r="J11" s="13"/>
      <c r="K11" s="26"/>
      <c r="L11" s="26"/>
      <c r="M11" s="26"/>
      <c r="N11" s="26"/>
      <c r="O11" s="26"/>
    </row>
    <row r="12" spans="1:42" ht="16" customHeight="1" x14ac:dyDescent="0.2">
      <c r="A12" s="748"/>
      <c r="B12" s="1023" t="s">
        <v>31</v>
      </c>
      <c r="C12" s="1014">
        <v>0</v>
      </c>
      <c r="D12" s="1015">
        <v>0</v>
      </c>
      <c r="E12" s="1016">
        <f t="shared" si="0"/>
        <v>0</v>
      </c>
      <c r="F12" s="120"/>
      <c r="G12" s="27"/>
      <c r="H12" s="13"/>
      <c r="I12" s="27"/>
      <c r="J12" s="13"/>
      <c r="K12" s="26"/>
      <c r="L12" s="26"/>
      <c r="M12" s="26"/>
      <c r="N12" s="26"/>
      <c r="O12" s="26"/>
    </row>
    <row r="13" spans="1:42" ht="16" customHeight="1" x14ac:dyDescent="0.2">
      <c r="A13" s="748"/>
      <c r="B13" s="1023" t="s">
        <v>31</v>
      </c>
      <c r="C13" s="1014">
        <v>0</v>
      </c>
      <c r="D13" s="1015">
        <v>0</v>
      </c>
      <c r="E13" s="1016">
        <f t="shared" si="0"/>
        <v>0</v>
      </c>
      <c r="F13" s="120"/>
      <c r="G13" s="27"/>
      <c r="H13" s="13"/>
      <c r="I13" s="27"/>
      <c r="J13" s="13"/>
      <c r="K13" s="26"/>
      <c r="L13" s="26"/>
      <c r="M13" s="26"/>
      <c r="N13" s="26"/>
      <c r="O13" s="26"/>
    </row>
    <row r="14" spans="1:42" ht="16" customHeight="1" x14ac:dyDescent="0.2">
      <c r="A14" s="748"/>
      <c r="B14" s="1023" t="s">
        <v>31</v>
      </c>
      <c r="C14" s="1014">
        <v>0</v>
      </c>
      <c r="D14" s="1015">
        <v>0</v>
      </c>
      <c r="E14" s="1016">
        <f t="shared" si="0"/>
        <v>0</v>
      </c>
      <c r="F14" s="120"/>
      <c r="G14" s="27"/>
      <c r="H14" s="13"/>
      <c r="I14" s="27"/>
      <c r="J14" s="13"/>
      <c r="K14" s="26"/>
      <c r="L14" s="26"/>
      <c r="M14" s="26"/>
      <c r="N14" s="26"/>
      <c r="O14" s="26"/>
    </row>
    <row r="15" spans="1:42" ht="16" customHeight="1" x14ac:dyDescent="0.2">
      <c r="A15" s="748"/>
      <c r="B15" s="1023" t="s">
        <v>31</v>
      </c>
      <c r="C15" s="1014">
        <v>0</v>
      </c>
      <c r="D15" s="1015">
        <v>0</v>
      </c>
      <c r="E15" s="1016">
        <f t="shared" si="0"/>
        <v>0</v>
      </c>
      <c r="F15" s="120"/>
      <c r="G15" s="27"/>
      <c r="H15" s="13"/>
      <c r="I15" s="27"/>
      <c r="J15" s="13"/>
      <c r="K15" s="26"/>
      <c r="L15" s="26"/>
      <c r="M15" s="26"/>
      <c r="N15" s="26"/>
      <c r="O15" s="26"/>
    </row>
    <row r="16" spans="1:42" ht="16" customHeight="1" x14ac:dyDescent="0.2">
      <c r="A16" s="748"/>
      <c r="B16" s="1023" t="s">
        <v>31</v>
      </c>
      <c r="C16" s="1014">
        <v>0</v>
      </c>
      <c r="D16" s="1015">
        <v>0</v>
      </c>
      <c r="E16" s="1016">
        <f t="shared" si="0"/>
        <v>0</v>
      </c>
      <c r="F16" s="120"/>
      <c r="G16" s="27"/>
      <c r="H16" s="13"/>
      <c r="I16" s="27"/>
      <c r="J16" s="13"/>
      <c r="K16" s="26"/>
      <c r="L16" s="26"/>
      <c r="M16" s="26"/>
      <c r="N16" s="26"/>
      <c r="O16" s="26"/>
    </row>
    <row r="17" spans="1:15" ht="16" customHeight="1" x14ac:dyDescent="0.2">
      <c r="A17" s="748"/>
      <c r="B17" s="1025" t="s">
        <v>597</v>
      </c>
      <c r="C17" s="1026"/>
      <c r="D17" s="1027"/>
      <c r="E17" s="1028">
        <f>SUM(E4:E16)</f>
        <v>0</v>
      </c>
      <c r="F17" s="120"/>
      <c r="G17" s="26"/>
      <c r="H17" s="28"/>
      <c r="I17" s="26"/>
      <c r="J17" s="28"/>
      <c r="K17" s="26"/>
      <c r="L17" s="26"/>
      <c r="M17" s="26"/>
      <c r="N17" s="26"/>
      <c r="O17" s="26"/>
    </row>
    <row r="18" spans="1:15" ht="16" customHeight="1" x14ac:dyDescent="0.2">
      <c r="A18" s="748"/>
      <c r="B18" s="100"/>
      <c r="C18" s="731"/>
      <c r="D18" s="731"/>
      <c r="E18" s="1013"/>
      <c r="F18" s="120"/>
      <c r="G18" s="26"/>
      <c r="H18" s="28"/>
      <c r="I18" s="26"/>
      <c r="J18" s="28"/>
      <c r="K18" s="26"/>
      <c r="L18" s="26"/>
      <c r="M18" s="26"/>
      <c r="N18" s="26"/>
      <c r="O18" s="26"/>
    </row>
    <row r="19" spans="1:15" ht="16" customHeight="1" x14ac:dyDescent="0.2">
      <c r="A19" s="748"/>
      <c r="B19" s="1030" t="s">
        <v>617</v>
      </c>
      <c r="C19" s="1033" t="s">
        <v>591</v>
      </c>
      <c r="D19" s="1033" t="s">
        <v>23</v>
      </c>
      <c r="E19" s="1034" t="s">
        <v>592</v>
      </c>
      <c r="F19" s="120"/>
      <c r="G19" s="26"/>
      <c r="H19" s="28"/>
      <c r="I19" s="26"/>
      <c r="J19" s="28"/>
      <c r="K19" s="26"/>
      <c r="L19" s="26"/>
      <c r="M19" s="26"/>
      <c r="N19" s="26"/>
      <c r="O19" s="26"/>
    </row>
    <row r="20" spans="1:15" ht="16" customHeight="1" x14ac:dyDescent="0.2">
      <c r="A20" s="748"/>
      <c r="B20" s="1023" t="s">
        <v>598</v>
      </c>
      <c r="C20" s="1014">
        <v>0</v>
      </c>
      <c r="D20" s="1015">
        <v>0</v>
      </c>
      <c r="E20" s="1016">
        <f>C20*D20</f>
        <v>0</v>
      </c>
      <c r="F20" s="120"/>
      <c r="G20" s="26"/>
      <c r="H20" s="28"/>
      <c r="I20" s="26"/>
      <c r="J20" s="28"/>
      <c r="K20" s="26"/>
      <c r="L20" s="26"/>
      <c r="M20" s="26"/>
      <c r="N20" s="26"/>
      <c r="O20" s="26"/>
    </row>
    <row r="21" spans="1:15" ht="16" customHeight="1" x14ac:dyDescent="0.2">
      <c r="A21" s="748"/>
      <c r="B21" s="1023" t="s">
        <v>599</v>
      </c>
      <c r="C21" s="1014">
        <v>0</v>
      </c>
      <c r="D21" s="1015">
        <v>0</v>
      </c>
      <c r="E21" s="1016">
        <f t="shared" ref="E21:E29" si="1">C21*D21</f>
        <v>0</v>
      </c>
      <c r="F21" s="120"/>
      <c r="G21" s="26"/>
      <c r="H21" s="28"/>
      <c r="I21" s="26"/>
      <c r="J21" s="28"/>
      <c r="K21" s="26"/>
      <c r="L21" s="26"/>
      <c r="M21" s="26"/>
      <c r="N21" s="26"/>
      <c r="O21" s="26"/>
    </row>
    <row r="22" spans="1:15" ht="16" customHeight="1" x14ac:dyDescent="0.2">
      <c r="A22" s="748"/>
      <c r="B22" s="1023" t="s">
        <v>600</v>
      </c>
      <c r="C22" s="1014">
        <v>0</v>
      </c>
      <c r="D22" s="1015">
        <v>0</v>
      </c>
      <c r="E22" s="1016">
        <f t="shared" si="1"/>
        <v>0</v>
      </c>
      <c r="F22" s="120"/>
      <c r="G22" s="26"/>
      <c r="H22" s="28"/>
      <c r="I22" s="26"/>
      <c r="J22" s="28"/>
      <c r="K22" s="26"/>
      <c r="L22" s="26"/>
      <c r="M22" s="26"/>
      <c r="N22" s="26"/>
      <c r="O22" s="26"/>
    </row>
    <row r="23" spans="1:15" ht="16" customHeight="1" x14ac:dyDescent="0.2">
      <c r="A23" s="748"/>
      <c r="B23" s="1023" t="s">
        <v>601</v>
      </c>
      <c r="C23" s="1014">
        <v>0</v>
      </c>
      <c r="D23" s="1015">
        <v>0</v>
      </c>
      <c r="E23" s="1016">
        <f t="shared" si="1"/>
        <v>0</v>
      </c>
      <c r="F23" s="120"/>
      <c r="G23" s="26"/>
      <c r="H23" s="28"/>
      <c r="I23" s="26"/>
      <c r="J23" s="28"/>
      <c r="K23" s="26"/>
      <c r="L23" s="26"/>
      <c r="M23" s="26"/>
      <c r="N23" s="26"/>
      <c r="O23" s="26"/>
    </row>
    <row r="24" spans="1:15" ht="16" customHeight="1" x14ac:dyDescent="0.2">
      <c r="A24" s="748"/>
      <c r="B24" s="1023" t="s">
        <v>610</v>
      </c>
      <c r="C24" s="1014">
        <v>0</v>
      </c>
      <c r="D24" s="1015">
        <v>0</v>
      </c>
      <c r="E24" s="1016">
        <f t="shared" si="1"/>
        <v>0</v>
      </c>
      <c r="F24" s="120"/>
      <c r="G24" s="26"/>
      <c r="H24" s="28"/>
      <c r="I24" s="26"/>
      <c r="J24" s="28"/>
      <c r="K24" s="26"/>
      <c r="L24" s="26"/>
      <c r="M24" s="26"/>
      <c r="N24" s="26"/>
      <c r="O24" s="26"/>
    </row>
    <row r="25" spans="1:15" s="667" customFormat="1" ht="16" customHeight="1" x14ac:dyDescent="0.2">
      <c r="A25" s="749"/>
      <c r="B25" s="1023" t="s">
        <v>31</v>
      </c>
      <c r="C25" s="1014">
        <v>0</v>
      </c>
      <c r="D25" s="1015">
        <v>0</v>
      </c>
      <c r="E25" s="1016">
        <f t="shared" si="1"/>
        <v>0</v>
      </c>
      <c r="G25" s="663"/>
      <c r="H25" s="666"/>
      <c r="I25" s="663"/>
      <c r="J25" s="666"/>
      <c r="K25" s="663"/>
      <c r="L25" s="663"/>
      <c r="M25" s="663"/>
      <c r="N25" s="663"/>
      <c r="O25" s="663"/>
    </row>
    <row r="26" spans="1:15" s="667" customFormat="1" ht="16" customHeight="1" x14ac:dyDescent="0.2">
      <c r="A26" s="749"/>
      <c r="B26" s="1023" t="s">
        <v>31</v>
      </c>
      <c r="C26" s="1014">
        <v>0</v>
      </c>
      <c r="D26" s="1015">
        <v>0</v>
      </c>
      <c r="E26" s="1016">
        <f t="shared" si="1"/>
        <v>0</v>
      </c>
      <c r="F26" s="665"/>
      <c r="G26" s="663"/>
      <c r="H26" s="666"/>
      <c r="I26" s="663"/>
      <c r="J26" s="666"/>
      <c r="K26" s="663"/>
      <c r="L26" s="663"/>
      <c r="M26" s="663"/>
      <c r="N26" s="663"/>
      <c r="O26" s="663"/>
    </row>
    <row r="27" spans="1:15" s="667" customFormat="1" ht="16" customHeight="1" x14ac:dyDescent="0.2">
      <c r="A27" s="749"/>
      <c r="B27" s="1023" t="s">
        <v>31</v>
      </c>
      <c r="C27" s="1014">
        <v>0</v>
      </c>
      <c r="D27" s="1015">
        <v>0</v>
      </c>
      <c r="E27" s="1016">
        <f t="shared" si="1"/>
        <v>0</v>
      </c>
      <c r="F27" s="665"/>
      <c r="G27" s="663"/>
      <c r="H27" s="666"/>
      <c r="I27" s="663"/>
      <c r="J27" s="666"/>
      <c r="K27" s="663"/>
      <c r="L27" s="663"/>
      <c r="M27" s="663"/>
      <c r="N27" s="663"/>
      <c r="O27" s="663"/>
    </row>
    <row r="28" spans="1:15" s="667" customFormat="1" ht="16" customHeight="1" x14ac:dyDescent="0.2">
      <c r="A28" s="749"/>
      <c r="B28" s="1023" t="s">
        <v>31</v>
      </c>
      <c r="C28" s="1014">
        <v>0</v>
      </c>
      <c r="D28" s="1015">
        <v>0</v>
      </c>
      <c r="E28" s="1016">
        <f t="shared" si="1"/>
        <v>0</v>
      </c>
      <c r="F28" s="665"/>
      <c r="G28" s="663"/>
      <c r="H28" s="666"/>
      <c r="I28" s="663"/>
      <c r="J28" s="666"/>
      <c r="K28" s="663"/>
      <c r="L28" s="663"/>
      <c r="M28" s="663"/>
      <c r="N28" s="663"/>
      <c r="O28" s="663"/>
    </row>
    <row r="29" spans="1:15" s="667" customFormat="1" ht="16" customHeight="1" x14ac:dyDescent="0.2">
      <c r="A29" s="749"/>
      <c r="B29" s="1023" t="s">
        <v>31</v>
      </c>
      <c r="C29" s="1014">
        <v>0</v>
      </c>
      <c r="D29" s="1015">
        <v>0</v>
      </c>
      <c r="E29" s="1016">
        <f t="shared" si="1"/>
        <v>0</v>
      </c>
      <c r="G29" s="663"/>
      <c r="H29" s="666"/>
      <c r="I29" s="663"/>
      <c r="J29" s="666"/>
      <c r="K29" s="663"/>
      <c r="L29" s="663"/>
      <c r="M29" s="663"/>
      <c r="N29" s="663"/>
      <c r="O29" s="663"/>
    </row>
    <row r="30" spans="1:15" ht="16" customHeight="1" x14ac:dyDescent="0.2">
      <c r="A30" s="748"/>
      <c r="B30" s="1025" t="s">
        <v>602</v>
      </c>
      <c r="C30" s="1031"/>
      <c r="D30" s="1032"/>
      <c r="E30" s="1028">
        <f>SUM(E20:E29)</f>
        <v>0</v>
      </c>
      <c r="F30" s="120"/>
      <c r="G30" s="26"/>
      <c r="H30" s="28"/>
      <c r="I30" s="26"/>
      <c r="J30" s="28"/>
      <c r="K30" s="26"/>
      <c r="L30" s="26"/>
      <c r="M30" s="26"/>
      <c r="N30" s="26"/>
      <c r="O30" s="26"/>
    </row>
    <row r="31" spans="1:15" ht="16" customHeight="1" x14ac:dyDescent="0.2">
      <c r="A31" s="748"/>
      <c r="B31" s="1011"/>
      <c r="C31" s="452"/>
      <c r="D31" s="1020"/>
      <c r="E31" s="1024"/>
      <c r="F31" s="120"/>
      <c r="G31" s="26"/>
      <c r="H31" s="28"/>
      <c r="I31" s="26"/>
      <c r="J31" s="28"/>
      <c r="K31" s="26"/>
      <c r="L31" s="26"/>
      <c r="M31" s="26"/>
      <c r="N31" s="26"/>
      <c r="O31" s="26"/>
    </row>
    <row r="32" spans="1:15" ht="16" customHeight="1" x14ac:dyDescent="0.2">
      <c r="A32" s="748"/>
      <c r="B32" s="824" t="s">
        <v>605</v>
      </c>
      <c r="C32" s="825"/>
      <c r="D32" s="825"/>
      <c r="E32" s="826"/>
      <c r="F32" s="120"/>
      <c r="G32" s="26"/>
      <c r="H32" s="28"/>
      <c r="I32" s="26"/>
      <c r="J32" s="28"/>
      <c r="K32" s="26"/>
      <c r="L32" s="26"/>
      <c r="M32" s="26"/>
      <c r="N32" s="26"/>
      <c r="O32" s="26"/>
    </row>
    <row r="33" spans="1:15" ht="16" customHeight="1" x14ac:dyDescent="0.2">
      <c r="A33" s="748"/>
      <c r="B33" s="100" t="s">
        <v>609</v>
      </c>
      <c r="C33" s="731"/>
      <c r="D33" s="1021"/>
      <c r="E33" s="1016">
        <f>E30+E17</f>
        <v>0</v>
      </c>
      <c r="F33" s="120"/>
      <c r="G33" s="26"/>
      <c r="H33" s="28"/>
      <c r="I33" s="26"/>
      <c r="J33" s="28"/>
      <c r="K33" s="26"/>
      <c r="L33" s="26"/>
      <c r="M33" s="26"/>
      <c r="N33" s="26"/>
      <c r="O33" s="26"/>
    </row>
    <row r="34" spans="1:15" ht="16" customHeight="1" x14ac:dyDescent="0.2">
      <c r="A34" s="748"/>
      <c r="B34" s="100" t="s">
        <v>603</v>
      </c>
      <c r="C34" s="731"/>
      <c r="D34" s="1022">
        <v>0.15</v>
      </c>
      <c r="E34" s="1016">
        <f>E33*D34</f>
        <v>0</v>
      </c>
      <c r="F34" s="120"/>
      <c r="G34" s="26"/>
      <c r="H34" s="28"/>
      <c r="I34" s="26"/>
      <c r="J34" s="28"/>
      <c r="K34" s="26"/>
      <c r="L34" s="26"/>
      <c r="M34" s="26"/>
      <c r="N34" s="26"/>
      <c r="O34" s="26"/>
    </row>
    <row r="35" spans="1:15" ht="16" customHeight="1" thickBot="1" x14ac:dyDescent="0.25">
      <c r="A35" s="748"/>
      <c r="B35" s="1012" t="s">
        <v>604</v>
      </c>
      <c r="C35" s="1017"/>
      <c r="D35" s="1018"/>
      <c r="E35" s="1019">
        <f>SUM(E33:E34)</f>
        <v>0</v>
      </c>
      <c r="F35" s="120"/>
      <c r="G35" s="26"/>
      <c r="H35" s="28"/>
      <c r="I35" s="26"/>
      <c r="J35" s="28"/>
      <c r="K35" s="26"/>
      <c r="L35" s="26"/>
      <c r="M35" s="26"/>
      <c r="N35" s="26"/>
      <c r="O35" s="26"/>
    </row>
    <row r="36" spans="1:15" customFormat="1" ht="16" customHeight="1" x14ac:dyDescent="0.2"/>
    <row r="37" spans="1:15" customFormat="1" ht="16" customHeight="1" x14ac:dyDescent="0.2"/>
    <row r="38" spans="1:15" customFormat="1" ht="16" customHeight="1" x14ac:dyDescent="0.2">
      <c r="B38" s="102" t="str">
        <f ca="1">copyright</f>
        <v>Copyright © 2026 Michael Blank.</v>
      </c>
    </row>
    <row r="39" spans="1:15" customFormat="1" ht="16" customHeight="1" x14ac:dyDescent="0.2">
      <c r="B39" s="102" t="s">
        <v>124</v>
      </c>
    </row>
    <row r="40" spans="1:15" customFormat="1" ht="16" customHeight="1" x14ac:dyDescent="0.2"/>
    <row r="41" spans="1:15" customFormat="1" ht="16" customHeight="1" x14ac:dyDescent="0.2"/>
    <row r="42" spans="1:15" ht="16" customHeight="1" x14ac:dyDescent="0.2">
      <c r="A42" s="753"/>
      <c r="B42" s="752"/>
      <c r="C42" s="747"/>
      <c r="D42" s="116"/>
      <c r="E42" s="109"/>
      <c r="F42" s="28"/>
      <c r="G42" s="27"/>
      <c r="H42" s="28"/>
      <c r="I42" s="27"/>
      <c r="J42" s="28"/>
      <c r="K42" s="24"/>
      <c r="L42" s="24"/>
      <c r="M42" s="24"/>
      <c r="N42" s="24"/>
      <c r="O42" s="24"/>
    </row>
    <row r="43" spans="1:15" ht="16" customHeight="1" x14ac:dyDescent="0.2">
      <c r="A43" s="750"/>
      <c r="B43" s="746"/>
      <c r="C43" s="116"/>
      <c r="D43" s="116"/>
      <c r="E43" s="109"/>
      <c r="F43" s="28"/>
      <c r="G43" s="27"/>
      <c r="H43" s="28"/>
      <c r="I43" s="27"/>
      <c r="J43" s="28"/>
      <c r="K43" s="24"/>
      <c r="L43" s="24"/>
      <c r="M43" s="24"/>
      <c r="N43" s="24"/>
      <c r="O43" s="24"/>
    </row>
    <row r="44" spans="1:15" ht="16" customHeight="1" x14ac:dyDescent="0.2">
      <c r="A44" s="750"/>
      <c r="C44" s="108"/>
      <c r="D44" s="108"/>
      <c r="E44" s="122"/>
      <c r="F44" s="4"/>
      <c r="G44" s="24"/>
      <c r="H44" s="4"/>
      <c r="I44" s="24"/>
      <c r="J44" s="4"/>
      <c r="K44" s="24"/>
      <c r="L44" s="24"/>
      <c r="M44" s="24"/>
      <c r="N44" s="24"/>
      <c r="O44" s="24"/>
    </row>
    <row r="45" spans="1:15" ht="16" customHeight="1" x14ac:dyDescent="0.2">
      <c r="A45" s="750"/>
      <c r="C45" s="687"/>
      <c r="D45" s="116"/>
      <c r="E45" s="122"/>
      <c r="F45" s="30"/>
      <c r="G45" s="29"/>
      <c r="H45" s="4"/>
      <c r="I45" s="24"/>
      <c r="J45" s="4"/>
      <c r="K45" s="24"/>
      <c r="L45" s="24"/>
      <c r="M45" s="24"/>
      <c r="N45" s="24"/>
      <c r="O45" s="24"/>
    </row>
    <row r="46" spans="1:15" ht="16" customHeight="1" x14ac:dyDescent="0.2">
      <c r="A46" s="750"/>
      <c r="B46" s="108"/>
      <c r="C46" s="688"/>
      <c r="D46" s="700"/>
      <c r="E46" s="122"/>
      <c r="F46" s="31"/>
      <c r="G46" s="29"/>
      <c r="H46" s="4"/>
      <c r="I46" s="24"/>
      <c r="J46" s="4"/>
      <c r="K46" s="24"/>
      <c r="L46" s="24"/>
      <c r="M46" s="24"/>
      <c r="N46" s="24"/>
      <c r="O46" s="24"/>
    </row>
    <row r="47" spans="1:15" ht="16" customHeight="1" x14ac:dyDescent="0.2">
      <c r="A47" s="750"/>
      <c r="B47" s="24"/>
      <c r="C47" s="689"/>
      <c r="D47" s="701"/>
      <c r="E47" s="39"/>
      <c r="F47" s="31"/>
      <c r="G47" s="29"/>
      <c r="H47" s="4"/>
      <c r="I47" s="24"/>
      <c r="J47" s="4"/>
      <c r="K47" s="24"/>
      <c r="L47" s="24"/>
      <c r="M47" s="24"/>
      <c r="N47" s="24"/>
      <c r="O47" s="24"/>
    </row>
    <row r="48" spans="1:15" ht="16" customHeight="1" x14ac:dyDescent="0.2">
      <c r="A48" s="750"/>
      <c r="B48" s="24"/>
      <c r="C48" s="24"/>
      <c r="D48" s="24"/>
      <c r="E48" s="39"/>
      <c r="F48" s="4"/>
      <c r="G48" s="24"/>
      <c r="H48" s="4"/>
      <c r="I48" s="24"/>
      <c r="J48" s="4"/>
      <c r="K48" s="24"/>
      <c r="L48" s="24"/>
      <c r="M48" s="24"/>
      <c r="N48" s="24"/>
      <c r="O48" s="24"/>
    </row>
  </sheetData>
  <mergeCells count="2">
    <mergeCell ref="B1:E1"/>
    <mergeCell ref="G3:I9"/>
  </mergeCells>
  <pageMargins left="0.75" right="0.75" top="1" bottom="1" header="0.5" footer="0.5"/>
  <pageSetup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247EA-B647-CF44-BD4C-3B11D97717DB}">
  <sheetPr>
    <pageSetUpPr fitToPage="1"/>
  </sheetPr>
  <dimension ref="B1:Y66"/>
  <sheetViews>
    <sheetView showGridLines="0" zoomScaleNormal="100" workbookViewId="0"/>
  </sheetViews>
  <sheetFormatPr baseColWidth="10" defaultRowHeight="18" customHeight="1" x14ac:dyDescent="0.2"/>
  <cols>
    <col min="1" max="1" width="2.85546875" style="980" customWidth="1"/>
    <col min="2" max="2" width="10.7109375" style="1103" customWidth="1"/>
    <col min="3" max="3" width="10.7109375" style="1101" customWidth="1"/>
    <col min="4" max="4" width="10.7109375" style="980" customWidth="1"/>
    <col min="5" max="6" width="10.7109375" style="1094" customWidth="1"/>
    <col min="7" max="11" width="10.7109375" style="980" customWidth="1"/>
    <col min="12" max="12" width="10.7109375" style="1110" customWidth="1"/>
    <col min="13" max="16384" width="10.7109375" style="980"/>
  </cols>
  <sheetData>
    <row r="1" spans="2:20" ht="18" customHeight="1" x14ac:dyDescent="0.2">
      <c r="B1" s="1233" t="s">
        <v>672</v>
      </c>
      <c r="C1" s="1233"/>
      <c r="D1" s="1233"/>
      <c r="E1" s="1233"/>
      <c r="F1" s="1233"/>
      <c r="G1" s="1233"/>
      <c r="H1" s="1233"/>
      <c r="I1" s="1233"/>
      <c r="J1" s="1233"/>
      <c r="K1" s="1233"/>
      <c r="L1" s="1233"/>
    </row>
    <row r="3" spans="2:20" ht="18" customHeight="1" x14ac:dyDescent="0.2">
      <c r="B3" s="1120" t="s">
        <v>644</v>
      </c>
      <c r="C3" s="1119"/>
      <c r="D3" s="1120"/>
      <c r="E3" s="1121"/>
      <c r="F3" s="1109"/>
      <c r="G3" s="1100"/>
      <c r="H3" s="1100"/>
      <c r="I3" s="1100"/>
      <c r="J3" s="1100"/>
      <c r="K3" s="1100"/>
      <c r="L3" s="1131"/>
    </row>
    <row r="4" spans="2:20" ht="18" customHeight="1" x14ac:dyDescent="0.2">
      <c r="B4" s="1103" t="s">
        <v>630</v>
      </c>
      <c r="D4" s="1234" t="s">
        <v>636</v>
      </c>
      <c r="E4" s="1234"/>
      <c r="F4" s="1234"/>
      <c r="H4" s="1103" t="s">
        <v>12</v>
      </c>
      <c r="I4" s="1101"/>
      <c r="K4" s="1094"/>
      <c r="L4" s="1096">
        <f>Summary!D6</f>
        <v>0</v>
      </c>
    </row>
    <row r="5" spans="2:20" ht="18" customHeight="1" x14ac:dyDescent="0.2">
      <c r="B5" s="1103" t="s">
        <v>635</v>
      </c>
      <c r="D5" s="1235" t="s">
        <v>637</v>
      </c>
      <c r="E5" s="1235"/>
      <c r="F5" s="1235"/>
      <c r="H5" s="1103" t="s">
        <v>23</v>
      </c>
      <c r="I5" s="1101"/>
      <c r="K5" s="1094"/>
      <c r="L5" s="1094">
        <f>Summary!D4</f>
        <v>0</v>
      </c>
    </row>
    <row r="6" spans="2:20" ht="18" customHeight="1" x14ac:dyDescent="0.2">
      <c r="B6" s="1103" t="s">
        <v>655</v>
      </c>
      <c r="D6" s="1235">
        <v>0</v>
      </c>
      <c r="E6" s="1235"/>
      <c r="F6" s="1235"/>
      <c r="H6" s="1103" t="s">
        <v>36</v>
      </c>
      <c r="I6" s="1101"/>
      <c r="K6" s="1094"/>
      <c r="L6" s="1096">
        <f>Summary!D7</f>
        <v>0</v>
      </c>
    </row>
    <row r="7" spans="2:20" ht="18" customHeight="1" x14ac:dyDescent="0.2">
      <c r="H7" s="980" t="s">
        <v>633</v>
      </c>
      <c r="L7" s="1094">
        <f>'Exit Strategy'!D5</f>
        <v>5</v>
      </c>
    </row>
    <row r="9" spans="2:20" ht="18" customHeight="1" x14ac:dyDescent="0.2">
      <c r="B9" s="1120" t="s">
        <v>541</v>
      </c>
      <c r="C9" s="1119"/>
      <c r="D9" s="1120"/>
      <c r="E9" s="1121"/>
      <c r="F9" s="1122"/>
      <c r="G9" s="1122"/>
      <c r="H9" s="1122"/>
      <c r="I9" s="1122"/>
      <c r="J9" s="1122"/>
      <c r="K9" s="1122"/>
      <c r="L9" s="1122"/>
    </row>
    <row r="10" spans="2:20" ht="18" customHeight="1" x14ac:dyDescent="0.2">
      <c r="B10" s="1116" t="s">
        <v>647</v>
      </c>
      <c r="C10" s="1114"/>
      <c r="D10" s="1114"/>
      <c r="E10" s="1114"/>
      <c r="F10" s="1118"/>
      <c r="H10" s="1116" t="s">
        <v>646</v>
      </c>
      <c r="I10" s="1116"/>
      <c r="J10" s="1116"/>
      <c r="K10" s="1117" t="s">
        <v>6</v>
      </c>
      <c r="L10" s="1145" t="s">
        <v>668</v>
      </c>
    </row>
    <row r="11" spans="2:20" ht="18" customHeight="1" x14ac:dyDescent="0.2">
      <c r="B11" s="1103" t="s">
        <v>657</v>
      </c>
      <c r="D11" s="1101"/>
      <c r="E11" s="1101"/>
      <c r="F11" s="1105">
        <f>IFERROR(Returns!N18,0)</f>
        <v>0</v>
      </c>
      <c r="H11" s="1143" t="s">
        <v>669</v>
      </c>
      <c r="I11" s="1142"/>
      <c r="J11" s="1142"/>
      <c r="K11" s="1146">
        <f>'P&amp;L'!D35</f>
        <v>0</v>
      </c>
      <c r="L11" s="1096">
        <f ca="1">'Exit Strategy'!H8</f>
        <v>0</v>
      </c>
    </row>
    <row r="12" spans="2:20" ht="18" customHeight="1" x14ac:dyDescent="0.2">
      <c r="B12" s="1103" t="s">
        <v>9</v>
      </c>
      <c r="D12" s="1101"/>
      <c r="E12" s="1101"/>
      <c r="F12" s="1105">
        <f>IFERROR(Returns!N17,0)</f>
        <v>0</v>
      </c>
      <c r="H12" s="1143" t="s">
        <v>15</v>
      </c>
      <c r="I12" s="1142"/>
      <c r="J12" s="1142"/>
      <c r="K12" s="1146">
        <f ca="1">'P&amp;L'!D40</f>
        <v>0</v>
      </c>
      <c r="L12" s="1096">
        <f ca="1">IFERROR(OFFSET('P&amp;L'!D40,0,('Exit Strategy'!$D$5-1)*2),0)</f>
        <v>0</v>
      </c>
    </row>
    <row r="13" spans="2:20" ht="18" customHeight="1" x14ac:dyDescent="0.2">
      <c r="B13" s="1103" t="s">
        <v>620</v>
      </c>
      <c r="D13" s="1101"/>
      <c r="E13" s="1101"/>
      <c r="F13" s="1164">
        <f>IFERROR(Returns!N19,0)</f>
        <v>0</v>
      </c>
      <c r="H13" s="1103" t="s">
        <v>24</v>
      </c>
      <c r="I13" s="1103"/>
      <c r="K13" s="1105">
        <f>Summary!D23</f>
        <v>7.0000000000000007E-2</v>
      </c>
      <c r="L13" s="1105">
        <f>'Exit Strategy'!H9</f>
        <v>7.5000000000000011E-2</v>
      </c>
    </row>
    <row r="14" spans="2:20" ht="18" customHeight="1" x14ac:dyDescent="0.2">
      <c r="B14" s="1103" t="s">
        <v>621</v>
      </c>
      <c r="F14" s="1105">
        <f ca="1">IFERROR(Returns!N16,0)</f>
        <v>0</v>
      </c>
      <c r="H14" s="1103" t="s">
        <v>670</v>
      </c>
      <c r="I14" s="1103"/>
      <c r="K14" s="1123">
        <f ca="1">'P&amp;L'!D62</f>
        <v>0</v>
      </c>
      <c r="L14" s="1123">
        <f ca="1">IFERROR(OFFSET('P&amp;L'!D62,0,('Exit Strategy'!$D$5-1)*2),0)</f>
        <v>0</v>
      </c>
    </row>
    <row r="15" spans="2:20" ht="18" customHeight="1" x14ac:dyDescent="0.2">
      <c r="H15" s="1103" t="s">
        <v>671</v>
      </c>
      <c r="I15" s="1103"/>
      <c r="K15" s="1105">
        <f>'P&amp;L'!E33</f>
        <v>0</v>
      </c>
      <c r="L15" s="1105">
        <f ca="1">IFERROR(OFFSET('P&amp;L'!E33,0,('Exit Strategy'!$D$5-1)*2),0)</f>
        <v>0</v>
      </c>
    </row>
    <row r="16" spans="2:20" ht="18" customHeight="1" x14ac:dyDescent="0.2">
      <c r="B16" s="1116" t="s">
        <v>648</v>
      </c>
      <c r="C16" s="1116"/>
      <c r="D16" s="1116"/>
      <c r="E16" s="1117"/>
      <c r="F16" s="1118"/>
      <c r="H16" s="1103" t="s">
        <v>92</v>
      </c>
      <c r="I16" s="1103"/>
      <c r="K16" s="1123">
        <f>IF('P&amp;L'!D11=0,0,Summary!D6/'P&amp;L'!D11)</f>
        <v>0</v>
      </c>
      <c r="L16" s="1123">
        <f ca="1">IFERROR(IF(OFFSET('P&amp;L'!D11,0,('Exit Strategy'!$D$5-1)*2)=0,0,'Exit Strategy'!H12/OFFSET('P&amp;L'!D11,0,('Exit Strategy'!$D$5-1)*2)),0)</f>
        <v>0</v>
      </c>
      <c r="Q16" s="1101"/>
      <c r="S16" s="1094"/>
      <c r="T16" s="1094"/>
    </row>
    <row r="17" spans="2:21" ht="18" customHeight="1" x14ac:dyDescent="0.2">
      <c r="B17" s="1103" t="s">
        <v>657</v>
      </c>
      <c r="C17" s="1103"/>
      <c r="F17" s="1105">
        <f>IFERROR(Returns!N88,0)</f>
        <v>0</v>
      </c>
      <c r="H17" s="1103" t="s">
        <v>657</v>
      </c>
      <c r="I17" s="1103"/>
      <c r="K17" s="1105">
        <f>IFERROR(IF(Returns!C7="∞",0,Returns!C7),0)</f>
        <v>0</v>
      </c>
      <c r="L17" s="1105">
        <f ca="1">IFERROR(IF(OFFSET(Returns!C7,0,'Exit Strategy'!$D$5-1)="∞",0,OFFSET(Returns!C7,0,'Exit Strategy'!$D$5-1)),0)</f>
        <v>0</v>
      </c>
    </row>
    <row r="18" spans="2:21" ht="18" customHeight="1" x14ac:dyDescent="0.2">
      <c r="B18" s="1103" t="s">
        <v>9</v>
      </c>
      <c r="C18" s="1103"/>
      <c r="F18" s="1105">
        <f>IFERROR(Returns!N87,0)</f>
        <v>0</v>
      </c>
      <c r="H18" s="1103" t="s">
        <v>654</v>
      </c>
      <c r="I18" s="1103"/>
      <c r="K18" s="1105">
        <f>IF('P&amp;L'!D11=0,0,('P&amp;L'!D33+'P&amp;L'!D40)/'P&amp;L'!D11)</f>
        <v>0</v>
      </c>
      <c r="L18" s="1105">
        <f ca="1">IFERROR(IF(OFFSET('P&amp;L'!D11,0,('Exit Strategy'!$D$5-1)*2)=0,0,(OFFSET('P&amp;L'!D33,0,('Exit Strategy'!$D$5-1)*2)+OFFSET('P&amp;L'!D40,0,('Exit Strategy'!$D$5-1)*2))/OFFSET('P&amp;L'!D11,0,('Exit Strategy'!$D$5-1)*2)),0)</f>
        <v>0</v>
      </c>
    </row>
    <row r="19" spans="2:21" ht="18" customHeight="1" x14ac:dyDescent="0.2">
      <c r="B19" s="1103" t="s">
        <v>620</v>
      </c>
      <c r="C19" s="1103"/>
      <c r="F19" s="1164">
        <f>IFERROR(Returns!N89,0)</f>
        <v>0</v>
      </c>
    </row>
    <row r="20" spans="2:21" ht="18" customHeight="1" x14ac:dyDescent="0.2">
      <c r="B20" s="1103" t="s">
        <v>621</v>
      </c>
      <c r="F20" s="1105">
        <f ca="1">IFERROR(Returns!N86,0)</f>
        <v>0</v>
      </c>
    </row>
    <row r="21" spans="2:21" ht="18" customHeight="1" x14ac:dyDescent="0.2">
      <c r="H21" s="1103"/>
      <c r="I21" s="1103"/>
      <c r="J21" s="1135"/>
      <c r="O21"/>
      <c r="P21"/>
      <c r="Q21"/>
      <c r="R21"/>
      <c r="S21"/>
      <c r="T21"/>
      <c r="U21"/>
    </row>
    <row r="22" spans="2:21" ht="18" customHeight="1" x14ac:dyDescent="0.2">
      <c r="B22" s="1120" t="s">
        <v>273</v>
      </c>
      <c r="C22" s="1119"/>
      <c r="D22" s="1120"/>
      <c r="E22" s="1121"/>
      <c r="F22" s="1122"/>
      <c r="G22" s="1122"/>
      <c r="H22" s="1122"/>
      <c r="I22" s="1122"/>
      <c r="J22" s="1122"/>
      <c r="K22" s="1122"/>
      <c r="L22" s="1122"/>
      <c r="O22"/>
      <c r="P22"/>
      <c r="Q22"/>
      <c r="R22"/>
      <c r="S22"/>
      <c r="T22"/>
      <c r="U22"/>
    </row>
    <row r="23" spans="2:21" ht="18" customHeight="1" x14ac:dyDescent="0.2">
      <c r="B23" s="1126" t="s">
        <v>645</v>
      </c>
      <c r="C23" s="1125"/>
      <c r="D23" s="1126"/>
      <c r="E23" s="1127"/>
      <c r="F23" s="1128"/>
      <c r="H23" s="1126" t="s">
        <v>649</v>
      </c>
      <c r="I23" s="1126"/>
      <c r="J23" s="1126"/>
      <c r="K23" s="1127"/>
      <c r="L23" s="1128"/>
      <c r="O23"/>
      <c r="P23"/>
      <c r="Q23"/>
      <c r="R23"/>
      <c r="S23"/>
      <c r="T23"/>
      <c r="U23"/>
    </row>
    <row r="24" spans="2:21" ht="18" customHeight="1" x14ac:dyDescent="0.2">
      <c r="B24" s="1103" t="s">
        <v>16</v>
      </c>
      <c r="F24" s="1096">
        <f>Summary!D9</f>
        <v>0</v>
      </c>
      <c r="H24" s="1103" t="s">
        <v>641</v>
      </c>
      <c r="I24" s="1103"/>
      <c r="K24" s="1094"/>
      <c r="L24" s="1096">
        <f>IF(L27=0,0,Repairs!E17)</f>
        <v>0</v>
      </c>
      <c r="O24"/>
      <c r="P24"/>
      <c r="Q24"/>
      <c r="R24"/>
      <c r="S24"/>
      <c r="T24"/>
      <c r="U24"/>
    </row>
    <row r="25" spans="2:21" ht="18" customHeight="1" x14ac:dyDescent="0.2">
      <c r="B25" s="1103" t="s">
        <v>632</v>
      </c>
      <c r="F25" s="1096">
        <f>Summary!D22</f>
        <v>0</v>
      </c>
      <c r="H25" s="1103" t="s">
        <v>602</v>
      </c>
      <c r="I25" s="1103"/>
      <c r="K25" s="1094"/>
      <c r="L25" s="1096">
        <f>IF(L27=0,0,Repairs!E30)</f>
        <v>0</v>
      </c>
      <c r="O25"/>
      <c r="P25"/>
      <c r="Q25"/>
      <c r="R25"/>
      <c r="S25"/>
      <c r="T25"/>
      <c r="U25"/>
    </row>
    <row r="26" spans="2:21" ht="18" customHeight="1" x14ac:dyDescent="0.2">
      <c r="H26" s="1103" t="s">
        <v>603</v>
      </c>
      <c r="I26" s="1103"/>
      <c r="K26" s="1094"/>
      <c r="L26" s="1096">
        <f>IF(L27=0,0,Repairs!E34)</f>
        <v>0</v>
      </c>
      <c r="O26"/>
      <c r="P26"/>
    </row>
    <row r="27" spans="2:21" ht="18" customHeight="1" x14ac:dyDescent="0.2">
      <c r="B27" s="1116" t="s">
        <v>662</v>
      </c>
      <c r="C27" s="1114"/>
      <c r="D27" s="1129" t="s">
        <v>663</v>
      </c>
      <c r="E27" s="1129" t="s">
        <v>664</v>
      </c>
      <c r="F27" s="1139" t="s">
        <v>507</v>
      </c>
      <c r="H27" s="1104" t="s">
        <v>642</v>
      </c>
      <c r="I27" s="1103"/>
      <c r="K27" s="1141"/>
      <c r="L27" s="1097">
        <f>Summary!D20</f>
        <v>0</v>
      </c>
      <c r="O27"/>
      <c r="P27"/>
    </row>
    <row r="28" spans="2:21" ht="18" customHeight="1" x14ac:dyDescent="0.2">
      <c r="B28" s="1103" t="s">
        <v>114</v>
      </c>
      <c r="D28" s="1096">
        <f>Summary!D10</f>
        <v>0</v>
      </c>
      <c r="E28" s="1096">
        <f>Summary!D14</f>
        <v>0</v>
      </c>
      <c r="F28" s="1096">
        <f>'Exit Strategy'!D15</f>
        <v>0</v>
      </c>
      <c r="H28" s="1104"/>
      <c r="I28" s="1103"/>
      <c r="K28" s="1141"/>
      <c r="L28" s="1097"/>
      <c r="O28"/>
      <c r="P28"/>
    </row>
    <row r="29" spans="2:21" ht="18" customHeight="1" x14ac:dyDescent="0.2">
      <c r="B29" s="1103" t="s">
        <v>631</v>
      </c>
      <c r="D29" s="1105">
        <f>IF(Summary!D6=0,0,Summary!D10/Summary!D6)</f>
        <v>0</v>
      </c>
      <c r="E29" s="1105">
        <f>IF(Summary!D6=0,0,Summary!D14/Summary!D6)</f>
        <v>0</v>
      </c>
      <c r="F29" s="1105">
        <f>'Exit Strategy'!D11</f>
        <v>0.65</v>
      </c>
      <c r="H29" s="1116" t="s">
        <v>151</v>
      </c>
      <c r="I29" s="1116"/>
      <c r="J29" s="1116"/>
      <c r="K29" s="1124"/>
      <c r="L29" s="1115"/>
      <c r="O29"/>
      <c r="P29"/>
      <c r="Q29"/>
      <c r="R29"/>
      <c r="S29"/>
      <c r="T29"/>
      <c r="U29"/>
    </row>
    <row r="30" spans="2:21" ht="18" customHeight="1" x14ac:dyDescent="0.2">
      <c r="B30" s="1103" t="s">
        <v>13</v>
      </c>
      <c r="D30" s="1099">
        <f>Summary!D11</f>
        <v>0.05</v>
      </c>
      <c r="E30" s="1099">
        <f>Summary!D15</f>
        <v>0</v>
      </c>
      <c r="F30" s="1099">
        <f>'Exit Strategy'!D12</f>
        <v>0</v>
      </c>
      <c r="H30" s="1143" t="s">
        <v>666</v>
      </c>
      <c r="I30" s="1143"/>
      <c r="J30" s="1143"/>
      <c r="K30" s="1144"/>
      <c r="L30" s="1106">
        <f>'Exit Strategy'!H7</f>
        <v>5</v>
      </c>
      <c r="O30"/>
      <c r="P30"/>
      <c r="Q30"/>
      <c r="R30"/>
      <c r="S30"/>
      <c r="T30"/>
      <c r="U30"/>
    </row>
    <row r="31" spans="2:21" ht="18" customHeight="1" x14ac:dyDescent="0.2">
      <c r="B31" s="1103" t="s">
        <v>643</v>
      </c>
      <c r="D31" s="1106">
        <f>Summary!D12</f>
        <v>30</v>
      </c>
      <c r="E31" s="1106">
        <f>Summary!D16</f>
        <v>0</v>
      </c>
      <c r="F31" s="1106">
        <f>'Exit Strategy'!D13</f>
        <v>25</v>
      </c>
      <c r="H31" s="1143" t="s">
        <v>667</v>
      </c>
      <c r="I31" s="1143"/>
      <c r="J31" s="1143"/>
      <c r="K31" s="1144"/>
      <c r="L31" s="1096">
        <f ca="1">'Exit Strategy'!H8</f>
        <v>0</v>
      </c>
      <c r="O31"/>
      <c r="P31"/>
      <c r="Q31"/>
      <c r="R31"/>
      <c r="S31"/>
      <c r="T31"/>
      <c r="U31"/>
    </row>
    <row r="32" spans="2:21" ht="18" customHeight="1" x14ac:dyDescent="0.2">
      <c r="B32" s="1103" t="s">
        <v>665</v>
      </c>
      <c r="D32" s="1106">
        <f>Summary!D13</f>
        <v>0</v>
      </c>
      <c r="E32" s="1106">
        <f>Summary!D17</f>
        <v>0</v>
      </c>
      <c r="F32" s="1106">
        <f>'Exit Strategy'!D14</f>
        <v>0</v>
      </c>
      <c r="H32" s="980" t="s">
        <v>628</v>
      </c>
      <c r="L32" s="1099">
        <f>'Exit Strategy'!H9</f>
        <v>7.5000000000000011E-2</v>
      </c>
      <c r="O32"/>
      <c r="P32"/>
      <c r="Q32"/>
      <c r="R32"/>
      <c r="S32"/>
      <c r="T32"/>
      <c r="U32"/>
    </row>
    <row r="33" spans="2:25" ht="18" customHeight="1" x14ac:dyDescent="0.2">
      <c r="H33" s="980" t="s">
        <v>629</v>
      </c>
      <c r="L33" s="1096">
        <f ca="1">'Exit Strategy'!H12</f>
        <v>0</v>
      </c>
      <c r="O33"/>
      <c r="P33"/>
      <c r="Q33"/>
      <c r="R33"/>
      <c r="S33"/>
      <c r="T33"/>
      <c r="U33"/>
    </row>
    <row r="34" spans="2:25" ht="18" customHeight="1" x14ac:dyDescent="0.2">
      <c r="H34" s="1098" t="s">
        <v>634</v>
      </c>
      <c r="I34" s="1098"/>
      <c r="J34" s="1098"/>
      <c r="L34" s="1097">
        <f ca="1">'Exit Strategy'!H20</f>
        <v>0</v>
      </c>
      <c r="O34"/>
    </row>
    <row r="36" spans="2:25" ht="18" customHeight="1" x14ac:dyDescent="0.2">
      <c r="B36" s="1136" t="s">
        <v>651</v>
      </c>
      <c r="C36" s="1130"/>
      <c r="D36" s="1100"/>
      <c r="E36" s="1109"/>
      <c r="F36" s="1109"/>
      <c r="G36" s="1100"/>
      <c r="H36" s="1100"/>
      <c r="I36" s="1100"/>
      <c r="J36" s="1100"/>
      <c r="K36" s="1100"/>
      <c r="L36" s="1131"/>
      <c r="S36"/>
      <c r="T36"/>
      <c r="U36"/>
      <c r="V36"/>
      <c r="W36"/>
      <c r="X36"/>
      <c r="Y36"/>
    </row>
    <row r="37" spans="2:25" ht="18" customHeight="1" x14ac:dyDescent="0.2">
      <c r="B37" s="1126" t="s">
        <v>652</v>
      </c>
      <c r="C37" s="1125"/>
      <c r="D37" s="1126"/>
      <c r="E37" s="1127"/>
      <c r="F37" s="1132" t="s">
        <v>640</v>
      </c>
      <c r="H37" s="1126" t="s">
        <v>653</v>
      </c>
      <c r="I37" s="1126"/>
      <c r="J37" s="1126"/>
      <c r="K37" s="1133"/>
      <c r="L37" s="1134" t="s">
        <v>640</v>
      </c>
      <c r="S37"/>
      <c r="T37"/>
      <c r="U37"/>
      <c r="V37"/>
      <c r="W37"/>
      <c r="X37"/>
      <c r="Y37"/>
    </row>
    <row r="38" spans="2:25" ht="18" customHeight="1" x14ac:dyDescent="0.2">
      <c r="B38" s="1103" t="s">
        <v>12</v>
      </c>
      <c r="E38" s="1096">
        <f>Summary!D6</f>
        <v>0</v>
      </c>
      <c r="F38" s="1107">
        <f t="shared" ref="F38:F43" si="0">IF($E$43=0,0,E38/$E$43)</f>
        <v>0</v>
      </c>
      <c r="H38" s="980" t="s">
        <v>112</v>
      </c>
      <c r="K38" s="1091">
        <f>Summary!D10</f>
        <v>0</v>
      </c>
      <c r="L38" s="1111">
        <f>IF($K$41=0,0,K38/$K$41)</f>
        <v>0</v>
      </c>
      <c r="S38"/>
      <c r="T38"/>
      <c r="U38"/>
      <c r="V38"/>
      <c r="W38"/>
      <c r="X38"/>
      <c r="Y38"/>
    </row>
    <row r="39" spans="2:25" ht="18" customHeight="1" x14ac:dyDescent="0.2">
      <c r="B39" s="1103" t="s">
        <v>82</v>
      </c>
      <c r="E39" s="1096">
        <f>Summary!D18</f>
        <v>0</v>
      </c>
      <c r="F39" s="1107">
        <f t="shared" si="0"/>
        <v>0</v>
      </c>
      <c r="H39" s="980" t="s">
        <v>111</v>
      </c>
      <c r="K39" s="1091">
        <f>Summary!D14</f>
        <v>0</v>
      </c>
      <c r="L39" s="1111">
        <f>IF($K$41=0,0,K39/$K$41)</f>
        <v>0</v>
      </c>
      <c r="S39"/>
      <c r="T39"/>
      <c r="U39"/>
      <c r="V39"/>
      <c r="W39"/>
      <c r="X39"/>
      <c r="Y39"/>
    </row>
    <row r="40" spans="2:25" ht="18" customHeight="1" x14ac:dyDescent="0.2">
      <c r="B40" s="1103" t="s">
        <v>94</v>
      </c>
      <c r="E40" s="1096">
        <f>Summary!D19</f>
        <v>0</v>
      </c>
      <c r="F40" s="1107">
        <f t="shared" si="0"/>
        <v>0</v>
      </c>
      <c r="H40" s="980" t="s">
        <v>60</v>
      </c>
      <c r="K40" s="1091">
        <f>Summary!D22</f>
        <v>0</v>
      </c>
      <c r="L40" s="1111">
        <f>IF($K$41=0,0,K40/$K$41)</f>
        <v>0</v>
      </c>
      <c r="S40"/>
      <c r="T40"/>
      <c r="U40"/>
      <c r="V40"/>
      <c r="W40"/>
      <c r="X40"/>
      <c r="Y40"/>
    </row>
    <row r="41" spans="2:25" ht="18" customHeight="1" x14ac:dyDescent="0.2">
      <c r="B41" s="1103" t="s">
        <v>401</v>
      </c>
      <c r="E41" s="1096">
        <f>Summary!D20</f>
        <v>0</v>
      </c>
      <c r="F41" s="1107">
        <f t="shared" si="0"/>
        <v>0</v>
      </c>
      <c r="H41" s="1098" t="s">
        <v>639</v>
      </c>
      <c r="I41" s="1098"/>
      <c r="J41" s="1098"/>
      <c r="K41" s="1095">
        <f>SUM(K38:K40)</f>
        <v>0</v>
      </c>
      <c r="L41" s="1112">
        <f>IF($K$41=0,0,K41/$K$41)</f>
        <v>0</v>
      </c>
      <c r="S41"/>
      <c r="T41"/>
      <c r="U41"/>
      <c r="V41"/>
      <c r="W41"/>
      <c r="X41"/>
      <c r="Y41"/>
    </row>
    <row r="42" spans="2:25" ht="18" customHeight="1" x14ac:dyDescent="0.2">
      <c r="B42" s="1103" t="s">
        <v>449</v>
      </c>
      <c r="E42" s="1096">
        <f>Summary!D21</f>
        <v>0</v>
      </c>
      <c r="F42" s="1107">
        <f t="shared" si="0"/>
        <v>0</v>
      </c>
      <c r="L42" s="980"/>
      <c r="S42"/>
      <c r="T42"/>
      <c r="U42"/>
      <c r="V42"/>
      <c r="W42"/>
      <c r="X42"/>
      <c r="Y42"/>
    </row>
    <row r="43" spans="2:25" ht="18" customHeight="1" x14ac:dyDescent="0.2">
      <c r="B43" s="1104" t="s">
        <v>638</v>
      </c>
      <c r="E43" s="1097">
        <f>SUM(E38:E42)</f>
        <v>0</v>
      </c>
      <c r="F43" s="1140">
        <f t="shared" si="0"/>
        <v>0</v>
      </c>
      <c r="S43"/>
      <c r="T43"/>
      <c r="U43"/>
      <c r="V43"/>
      <c r="W43"/>
      <c r="X43"/>
      <c r="Y43"/>
    </row>
    <row r="44" spans="2:25" ht="18" customHeight="1" x14ac:dyDescent="0.2">
      <c r="B44" s="1166"/>
      <c r="C44" s="1167"/>
      <c r="D44" s="1168"/>
      <c r="E44" s="1118"/>
      <c r="F44" s="1118"/>
      <c r="G44" s="1168"/>
      <c r="H44" s="1168"/>
      <c r="I44" s="1168"/>
      <c r="J44" s="1168"/>
      <c r="K44" s="1168"/>
      <c r="L44" s="1115"/>
      <c r="S44"/>
      <c r="T44"/>
      <c r="U44"/>
      <c r="V44"/>
      <c r="W44"/>
      <c r="X44"/>
      <c r="Y44"/>
    </row>
    <row r="45" spans="2:25" ht="18" customHeight="1" x14ac:dyDescent="0.2">
      <c r="S45"/>
      <c r="T45"/>
      <c r="U45"/>
      <c r="V45"/>
      <c r="W45"/>
      <c r="X45"/>
      <c r="Y45"/>
    </row>
    <row r="46" spans="2:25" ht="18" customHeight="1" x14ac:dyDescent="0.2">
      <c r="B46" s="1138" t="str">
        <f ca="1">copyright</f>
        <v>Copyright © 2026 Michael Blank.</v>
      </c>
      <c r="S46"/>
      <c r="T46"/>
      <c r="U46"/>
      <c r="V46"/>
      <c r="W46"/>
      <c r="X46"/>
      <c r="Y46"/>
    </row>
    <row r="47" spans="2:25" ht="18" customHeight="1" x14ac:dyDescent="0.2">
      <c r="B47" s="124" t="s">
        <v>124</v>
      </c>
      <c r="S47"/>
      <c r="T47"/>
      <c r="U47"/>
      <c r="V47"/>
      <c r="W47"/>
      <c r="X47"/>
      <c r="Y47"/>
    </row>
    <row r="48" spans="2:25" ht="18" customHeight="1" x14ac:dyDescent="0.2">
      <c r="S48"/>
      <c r="T48"/>
      <c r="U48"/>
      <c r="V48"/>
      <c r="W48"/>
      <c r="X48"/>
      <c r="Y48"/>
    </row>
    <row r="49" spans="2:25" ht="18" customHeight="1" x14ac:dyDescent="0.2">
      <c r="H49" s="1092"/>
      <c r="I49" s="1092"/>
      <c r="J49" s="1092"/>
    </row>
    <row r="50" spans="2:25" ht="18" customHeight="1" x14ac:dyDescent="0.2">
      <c r="B50" s="1137"/>
      <c r="C50" s="1113"/>
      <c r="D50" s="1093"/>
      <c r="E50" s="1108"/>
      <c r="F50" s="1108"/>
      <c r="H50" s="1093"/>
      <c r="I50" s="1093"/>
      <c r="J50" s="1093"/>
      <c r="K50" s="1093"/>
    </row>
    <row r="51" spans="2:25" ht="18" customHeight="1" x14ac:dyDescent="0.2">
      <c r="C51" s="1102"/>
      <c r="D51" s="238"/>
      <c r="E51" s="1108"/>
      <c r="F51" s="1108"/>
      <c r="H51" s="1093"/>
      <c r="I51" s="1093"/>
      <c r="J51" s="1093"/>
      <c r="K51" s="1093"/>
    </row>
    <row r="52" spans="2:25" ht="18" customHeight="1" x14ac:dyDescent="0.2">
      <c r="C52" s="75"/>
      <c r="D52" s="52"/>
    </row>
    <row r="59" spans="2:25" ht="18" customHeight="1" x14ac:dyDescent="0.2">
      <c r="Q59" s="1101"/>
      <c r="S59" s="1094"/>
      <c r="T59" s="1094"/>
      <c r="Y59" s="1110"/>
    </row>
    <row r="60" spans="2:25" ht="18" customHeight="1" x14ac:dyDescent="0.2">
      <c r="Y60" s="1110"/>
    </row>
    <row r="61" spans="2:25" ht="18" customHeight="1" x14ac:dyDescent="0.2">
      <c r="Y61" s="1110"/>
    </row>
    <row r="62" spans="2:25" ht="18" customHeight="1" x14ac:dyDescent="0.2">
      <c r="Y62" s="1110"/>
    </row>
    <row r="63" spans="2:25" ht="18" customHeight="1" x14ac:dyDescent="0.2">
      <c r="Y63" s="1110"/>
    </row>
    <row r="64" spans="2:25" ht="18" customHeight="1" x14ac:dyDescent="0.2">
      <c r="Y64" s="1110"/>
    </row>
    <row r="65" spans="25:25" ht="18" customHeight="1" x14ac:dyDescent="0.2">
      <c r="Y65" s="1110"/>
    </row>
    <row r="66" spans="25:25" ht="18" customHeight="1" x14ac:dyDescent="0.2">
      <c r="Y66" s="1110"/>
    </row>
  </sheetData>
  <mergeCells count="4">
    <mergeCell ref="B1:L1"/>
    <mergeCell ref="D4:F4"/>
    <mergeCell ref="D5:F5"/>
    <mergeCell ref="D6:F6"/>
  </mergeCells>
  <printOptions horizontalCentered="1"/>
  <pageMargins left="0.5" right="0.5" top="0.5" bottom="0.5" header="0.25" footer="0.25"/>
  <pageSetup scale="55"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B1:E17"/>
  <sheetViews>
    <sheetView showGridLines="0" zoomScaleNormal="100" workbookViewId="0">
      <selection activeCell="B16" sqref="B16"/>
    </sheetView>
  </sheetViews>
  <sheetFormatPr baseColWidth="10" defaultColWidth="8.7109375" defaultRowHeight="16" x14ac:dyDescent="0.2"/>
  <cols>
    <col min="1" max="1" width="5.5703125" customWidth="1"/>
    <col min="2" max="2" width="50.140625" customWidth="1"/>
    <col min="3" max="3" width="18.7109375" customWidth="1"/>
    <col min="4" max="4" width="1.5703125" customWidth="1"/>
    <col min="5" max="5" width="47.85546875" customWidth="1"/>
  </cols>
  <sheetData>
    <row r="1" spans="2:5" ht="17" thickBot="1" x14ac:dyDescent="0.25"/>
    <row r="2" spans="2:5" ht="35" customHeight="1" thickBot="1" x14ac:dyDescent="0.25">
      <c r="B2" s="1236" t="s">
        <v>444</v>
      </c>
      <c r="C2" s="1237"/>
    </row>
    <row r="3" spans="2:5" x14ac:dyDescent="0.2">
      <c r="B3" s="480"/>
      <c r="C3" s="481"/>
    </row>
    <row r="4" spans="2:5" ht="19" x14ac:dyDescent="0.2">
      <c r="B4" s="482" t="s">
        <v>359</v>
      </c>
      <c r="C4" s="483">
        <v>0</v>
      </c>
      <c r="E4" s="12" t="s">
        <v>371</v>
      </c>
    </row>
    <row r="5" spans="2:5" ht="19" x14ac:dyDescent="0.2">
      <c r="B5" s="484" t="s">
        <v>360</v>
      </c>
      <c r="C5" s="485">
        <v>0.1</v>
      </c>
      <c r="E5" s="12" t="s">
        <v>370</v>
      </c>
    </row>
    <row r="6" spans="2:5" ht="19" x14ac:dyDescent="0.2">
      <c r="B6" s="484" t="s">
        <v>361</v>
      </c>
      <c r="C6" s="486">
        <f>C4*(1-C5)</f>
        <v>0</v>
      </c>
      <c r="E6" s="11"/>
    </row>
    <row r="7" spans="2:5" ht="18" x14ac:dyDescent="0.2">
      <c r="B7" s="482"/>
      <c r="C7" s="487"/>
    </row>
    <row r="8" spans="2:5" ht="19" x14ac:dyDescent="0.2">
      <c r="B8" s="484" t="s">
        <v>362</v>
      </c>
      <c r="C8" s="488">
        <v>0.5</v>
      </c>
      <c r="E8" s="12" t="s">
        <v>369</v>
      </c>
    </row>
    <row r="9" spans="2:5" ht="18" x14ac:dyDescent="0.2">
      <c r="B9" s="482"/>
      <c r="C9" s="487"/>
    </row>
    <row r="10" spans="2:5" ht="19" x14ac:dyDescent="0.2">
      <c r="B10" s="484" t="s">
        <v>363</v>
      </c>
      <c r="C10" s="492">
        <f>C6*(1-C8)</f>
        <v>0</v>
      </c>
    </row>
    <row r="11" spans="2:5" ht="18" x14ac:dyDescent="0.2">
      <c r="B11" s="482"/>
      <c r="C11" s="487"/>
    </row>
    <row r="12" spans="2:5" ht="34" x14ac:dyDescent="0.2">
      <c r="B12" s="482" t="s">
        <v>358</v>
      </c>
      <c r="C12" s="489">
        <v>7.0000000000000007E-2</v>
      </c>
      <c r="E12" s="12" t="s">
        <v>368</v>
      </c>
    </row>
    <row r="13" spans="2:5" ht="19" thickBot="1" x14ac:dyDescent="0.25">
      <c r="B13" s="482"/>
      <c r="C13" s="487"/>
    </row>
    <row r="14" spans="2:5" ht="20" thickBot="1" x14ac:dyDescent="0.25">
      <c r="B14" s="490" t="s">
        <v>445</v>
      </c>
      <c r="C14" s="491">
        <f>C10/C12</f>
        <v>0</v>
      </c>
    </row>
    <row r="16" spans="2:5" x14ac:dyDescent="0.2">
      <c r="B16" s="102" t="str">
        <f ca="1">copyright</f>
        <v>Copyright © 2026 Michael Blank.</v>
      </c>
    </row>
    <row r="17" spans="2:2" x14ac:dyDescent="0.2">
      <c r="B17" s="102" t="s">
        <v>124</v>
      </c>
    </row>
  </sheetData>
  <customSheetViews>
    <customSheetView guid="{A0B83632-25B5-FE44-8A66-2590D6BCDFDC}" showGridLines="0">
      <selection activeCell="B17" sqref="B17"/>
      <pageMargins left="0.7" right="0.7" top="0.75" bottom="0.75" header="0.3" footer="0.3"/>
      <pageSetup orientation="portrait" horizontalDpi="4294967293" verticalDpi="4294967293" r:id="rId1"/>
    </customSheetView>
  </customSheetViews>
  <mergeCells count="1">
    <mergeCell ref="B2:C2"/>
  </mergeCells>
  <pageMargins left="0.7" right="0.7" top="0.75" bottom="0.75" header="0.3" footer="0.3"/>
  <pageSetup orientation="portrait" horizontalDpi="4294967293" verticalDpi="4294967293"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
  <dimension ref="B1:AQ20"/>
  <sheetViews>
    <sheetView showGridLines="0" zoomScaleNormal="100" workbookViewId="0"/>
  </sheetViews>
  <sheetFormatPr baseColWidth="10" defaultColWidth="9" defaultRowHeight="16" x14ac:dyDescent="0.2"/>
  <cols>
    <col min="1" max="1" width="2.28515625" style="54" customWidth="1"/>
    <col min="2" max="2" width="80.28515625" style="54" customWidth="1"/>
    <col min="3" max="16384" width="9" style="54"/>
  </cols>
  <sheetData>
    <row r="1" spans="2:43" s="50" customFormat="1" ht="20" x14ac:dyDescent="0.2">
      <c r="B1" s="494" t="s">
        <v>125</v>
      </c>
      <c r="C1" s="67"/>
      <c r="D1" s="67"/>
      <c r="E1" s="67"/>
      <c r="F1" s="67"/>
      <c r="G1" s="67"/>
      <c r="H1" s="67"/>
      <c r="I1" s="67"/>
      <c r="J1" s="67"/>
      <c r="K1" s="67"/>
      <c r="L1" s="51"/>
      <c r="M1" s="52"/>
      <c r="N1" s="52"/>
      <c r="O1" s="52"/>
      <c r="P1" s="52"/>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row>
    <row r="2" spans="2:43" ht="170" x14ac:dyDescent="0.2">
      <c r="B2" s="493" t="s">
        <v>678</v>
      </c>
      <c r="C2" s="327"/>
      <c r="D2" s="327"/>
      <c r="E2" s="327"/>
      <c r="F2" s="327"/>
      <c r="G2" s="327"/>
      <c r="H2" s="327"/>
      <c r="I2" s="327"/>
      <c r="J2" s="327"/>
      <c r="K2" s="327"/>
    </row>
    <row r="3" spans="2:43" ht="187" x14ac:dyDescent="0.2">
      <c r="B3" s="493" t="s">
        <v>510</v>
      </c>
      <c r="C3" s="327"/>
      <c r="D3" s="327"/>
      <c r="E3" s="327"/>
      <c r="F3" s="327"/>
      <c r="G3" s="327"/>
      <c r="H3" s="327"/>
      <c r="I3" s="327"/>
      <c r="J3" s="327"/>
      <c r="K3" s="327"/>
    </row>
    <row r="4" spans="2:43" ht="187" x14ac:dyDescent="0.2">
      <c r="B4" s="493" t="s">
        <v>511</v>
      </c>
      <c r="C4" s="327"/>
      <c r="D4" s="327"/>
      <c r="E4" s="327"/>
      <c r="F4" s="327"/>
      <c r="G4" s="327"/>
      <c r="H4" s="327"/>
      <c r="I4" s="327"/>
      <c r="J4" s="327"/>
      <c r="K4" s="327"/>
    </row>
    <row r="5" spans="2:43" x14ac:dyDescent="0.2">
      <c r="C5" s="327"/>
      <c r="D5" s="327"/>
      <c r="E5" s="327"/>
      <c r="F5" s="327"/>
      <c r="G5" s="327"/>
      <c r="H5" s="327"/>
      <c r="I5" s="327"/>
      <c r="J5" s="327"/>
      <c r="K5" s="327"/>
    </row>
    <row r="6" spans="2:43" x14ac:dyDescent="0.2">
      <c r="C6" s="327"/>
      <c r="D6" s="327"/>
      <c r="E6" s="327"/>
      <c r="F6" s="327"/>
      <c r="G6" s="327"/>
      <c r="H6" s="327"/>
      <c r="I6" s="327"/>
      <c r="J6" s="327"/>
      <c r="K6" s="327"/>
    </row>
    <row r="7" spans="2:43" x14ac:dyDescent="0.2">
      <c r="C7" s="327"/>
      <c r="D7" s="327"/>
      <c r="E7" s="327"/>
      <c r="F7" s="327"/>
      <c r="G7" s="327"/>
      <c r="H7" s="327"/>
      <c r="I7" s="327"/>
      <c r="J7" s="327"/>
      <c r="K7" s="327"/>
    </row>
    <row r="8" spans="2:43" x14ac:dyDescent="0.2">
      <c r="C8" s="327"/>
      <c r="D8" s="327"/>
      <c r="E8" s="327"/>
      <c r="F8" s="327"/>
      <c r="G8" s="327"/>
      <c r="H8" s="327"/>
      <c r="I8" s="327"/>
      <c r="J8" s="327"/>
      <c r="K8" s="327"/>
    </row>
    <row r="9" spans="2:43" x14ac:dyDescent="0.2">
      <c r="C9" s="327"/>
      <c r="D9" s="327"/>
      <c r="E9" s="327"/>
      <c r="F9" s="327"/>
      <c r="G9" s="327"/>
      <c r="H9" s="327"/>
      <c r="I9" s="327"/>
      <c r="J9" s="327"/>
      <c r="K9" s="327"/>
    </row>
    <row r="10" spans="2:43" x14ac:dyDescent="0.2">
      <c r="C10" s="327"/>
      <c r="D10" s="327"/>
      <c r="E10" s="327"/>
      <c r="F10" s="327"/>
      <c r="G10" s="327"/>
      <c r="H10" s="327"/>
      <c r="I10" s="327"/>
      <c r="J10" s="327"/>
      <c r="K10" s="327"/>
    </row>
    <row r="11" spans="2:43" x14ac:dyDescent="0.2">
      <c r="C11" s="327"/>
      <c r="D11" s="327"/>
      <c r="E11" s="327"/>
      <c r="F11" s="327"/>
      <c r="G11" s="327"/>
      <c r="H11" s="327"/>
      <c r="I11" s="327"/>
      <c r="J11" s="327"/>
      <c r="K11" s="327"/>
    </row>
    <row r="12" spans="2:43" x14ac:dyDescent="0.2">
      <c r="C12" s="327"/>
      <c r="D12" s="327"/>
      <c r="E12" s="327"/>
      <c r="F12" s="327"/>
      <c r="G12" s="327"/>
      <c r="H12" s="327"/>
      <c r="I12" s="327"/>
      <c r="J12" s="327"/>
      <c r="K12" s="327"/>
    </row>
    <row r="13" spans="2:43" x14ac:dyDescent="0.2">
      <c r="C13" s="327"/>
      <c r="D13" s="327"/>
      <c r="E13" s="327"/>
      <c r="F13" s="327"/>
      <c r="G13" s="327"/>
      <c r="H13" s="327"/>
      <c r="I13" s="327"/>
      <c r="J13" s="327"/>
      <c r="K13" s="327"/>
    </row>
    <row r="14" spans="2:43" x14ac:dyDescent="0.2">
      <c r="C14" s="327"/>
      <c r="D14" s="327"/>
      <c r="E14" s="327"/>
      <c r="F14" s="327"/>
      <c r="G14" s="327"/>
      <c r="H14" s="327"/>
      <c r="I14" s="327"/>
      <c r="J14" s="327"/>
      <c r="K14" s="327"/>
    </row>
    <row r="15" spans="2:43" x14ac:dyDescent="0.2">
      <c r="C15" s="327"/>
      <c r="D15" s="327"/>
      <c r="E15" s="327"/>
      <c r="F15" s="327"/>
      <c r="G15" s="327"/>
      <c r="H15" s="327"/>
      <c r="I15" s="327"/>
      <c r="J15" s="327"/>
      <c r="K15" s="327"/>
    </row>
    <row r="16" spans="2:43" x14ac:dyDescent="0.2">
      <c r="C16" s="327"/>
      <c r="D16" s="327"/>
      <c r="E16" s="327"/>
      <c r="F16" s="327"/>
      <c r="G16" s="327"/>
      <c r="H16" s="327"/>
      <c r="I16" s="327"/>
      <c r="J16" s="327"/>
      <c r="K16" s="327"/>
    </row>
    <row r="17" spans="3:11" x14ac:dyDescent="0.2">
      <c r="C17" s="327"/>
      <c r="D17" s="327"/>
      <c r="E17" s="327"/>
      <c r="F17" s="327"/>
      <c r="G17" s="327"/>
      <c r="H17" s="327"/>
      <c r="I17" s="327"/>
      <c r="J17" s="327"/>
      <c r="K17" s="327"/>
    </row>
    <row r="18" spans="3:11" x14ac:dyDescent="0.2">
      <c r="C18" s="327"/>
      <c r="D18" s="327"/>
      <c r="E18" s="327"/>
      <c r="F18" s="327"/>
      <c r="G18" s="327"/>
      <c r="H18" s="327"/>
      <c r="I18" s="327"/>
      <c r="J18" s="327"/>
      <c r="K18" s="327"/>
    </row>
    <row r="19" spans="3:11" x14ac:dyDescent="0.2">
      <c r="C19" s="327"/>
      <c r="D19" s="327"/>
      <c r="E19" s="327"/>
      <c r="F19" s="327"/>
      <c r="G19" s="327"/>
      <c r="H19" s="327"/>
      <c r="I19" s="327"/>
      <c r="J19" s="327"/>
      <c r="K19" s="327"/>
    </row>
    <row r="20" spans="3:11" x14ac:dyDescent="0.2">
      <c r="C20" s="327"/>
      <c r="D20" s="327"/>
      <c r="E20" s="327"/>
      <c r="F20" s="327"/>
      <c r="G20" s="327"/>
      <c r="H20" s="327"/>
      <c r="I20" s="327"/>
      <c r="J20" s="327"/>
      <c r="K20" s="327"/>
    </row>
  </sheetData>
  <sheetProtection selectLockedCells="1" selectUnlockedCells="1"/>
  <customSheetViews>
    <customSheetView guid="{238A3432-2201-4481-B06C-00480E9813A7}" showPageBreaks="1" showRuler="0">
      <selection activeCell="C2" sqref="C2"/>
      <pageMargins left="0.75" right="0.75" top="1" bottom="1" header="0.5" footer="0.5"/>
      <pageSetup orientation="portrait" horizontalDpi="0" verticalDpi="0" r:id="rId1"/>
      <headerFooter alignWithMargins="0"/>
    </customSheetView>
    <customSheetView guid="{A0B83632-25B5-FE44-8A66-2590D6BCDFDC}">
      <pageMargins left="0.75" right="0.75" top="1" bottom="1" header="0.5" footer="0.5"/>
      <pageSetup orientation="portrait" horizontalDpi="1200" verticalDpi="1200" r:id="rId2"/>
      <headerFooter alignWithMargins="0"/>
    </customSheetView>
  </customSheetViews>
  <phoneticPr fontId="13" type="noConversion"/>
  <pageMargins left="0.75" right="0.75" top="1" bottom="1" header="0.5" footer="0.5"/>
  <pageSetup orientation="portrait" horizontalDpi="1200" verticalDpi="1200" r:id="rId3"/>
  <headerFooter alignWithMargins="0"/>
  <cellWatches>
    <cellWatch r="F9"/>
  </cellWatch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U210"/>
  <sheetViews>
    <sheetView showGridLines="0" zoomScaleNormal="100" workbookViewId="0"/>
  </sheetViews>
  <sheetFormatPr baseColWidth="10" defaultColWidth="9" defaultRowHeight="16" x14ac:dyDescent="0.2"/>
  <cols>
    <col min="1" max="1" width="3.42578125" style="495" customWidth="1"/>
    <col min="2" max="2" width="130" style="499" customWidth="1"/>
    <col min="3" max="3" width="9" style="515"/>
    <col min="4" max="4" width="9" style="495"/>
    <col min="5" max="6" width="6.7109375" style="495" customWidth="1"/>
    <col min="7" max="9" width="6.7109375" style="498" customWidth="1"/>
    <col min="10" max="16" width="6.7109375" style="495" customWidth="1"/>
    <col min="17" max="17" width="9" style="495" customWidth="1"/>
    <col min="18" max="21" width="9" style="495"/>
    <col min="22" max="16384" width="9" style="499"/>
  </cols>
  <sheetData>
    <row r="1" spans="2:21" ht="17" customHeight="1" x14ac:dyDescent="0.2">
      <c r="B1" s="519" t="s">
        <v>284</v>
      </c>
      <c r="C1" s="496"/>
      <c r="D1" s="497"/>
      <c r="E1" s="497"/>
      <c r="F1" s="497"/>
      <c r="J1" s="497"/>
      <c r="K1" s="497"/>
      <c r="L1" s="497"/>
      <c r="M1" s="497"/>
      <c r="N1" s="499"/>
      <c r="O1" s="499"/>
      <c r="P1" s="499"/>
      <c r="Q1" s="499"/>
      <c r="R1" s="499"/>
      <c r="S1" s="499"/>
      <c r="T1" s="499"/>
      <c r="U1" s="499"/>
    </row>
    <row r="2" spans="2:21" customFormat="1" ht="17" customHeight="1" thickBot="1" x14ac:dyDescent="0.25"/>
    <row r="3" spans="2:21" customFormat="1" ht="17" customHeight="1" x14ac:dyDescent="0.2">
      <c r="B3" s="648" t="s">
        <v>659</v>
      </c>
    </row>
    <row r="4" spans="2:21" customFormat="1" ht="17" customHeight="1" x14ac:dyDescent="0.2">
      <c r="B4" s="649"/>
    </row>
    <row r="5" spans="2:21" customFormat="1" ht="17" customHeight="1" x14ac:dyDescent="0.2">
      <c r="B5" s="649" t="s">
        <v>614</v>
      </c>
    </row>
    <row r="6" spans="2:21" customFormat="1" ht="17" customHeight="1" x14ac:dyDescent="0.2">
      <c r="B6" s="1049" t="s">
        <v>673</v>
      </c>
    </row>
    <row r="7" spans="2:21" customFormat="1" ht="17" customHeight="1" x14ac:dyDescent="0.2">
      <c r="B7" s="649"/>
    </row>
    <row r="8" spans="2:21" customFormat="1" ht="17" customHeight="1" x14ac:dyDescent="0.2">
      <c r="B8" s="650" t="s">
        <v>579</v>
      </c>
    </row>
    <row r="9" spans="2:21" customFormat="1" ht="170" x14ac:dyDescent="0.2">
      <c r="B9" s="511" t="s">
        <v>679</v>
      </c>
    </row>
    <row r="10" spans="2:21" customFormat="1" ht="17" customHeight="1" x14ac:dyDescent="0.2">
      <c r="B10" s="649"/>
    </row>
    <row r="11" spans="2:21" customFormat="1" ht="17" thickBot="1" x14ac:dyDescent="0.25">
      <c r="B11" s="996"/>
    </row>
    <row r="12" spans="2:21" customFormat="1" ht="17" customHeight="1" thickBot="1" x14ac:dyDescent="0.25"/>
    <row r="13" spans="2:21" customFormat="1" ht="17" customHeight="1" x14ac:dyDescent="0.2">
      <c r="B13" s="648" t="s">
        <v>585</v>
      </c>
    </row>
    <row r="14" spans="2:21" customFormat="1" ht="17" customHeight="1" x14ac:dyDescent="0.2">
      <c r="B14" s="649"/>
    </row>
    <row r="15" spans="2:21" customFormat="1" ht="17" customHeight="1" x14ac:dyDescent="0.2">
      <c r="B15" s="650" t="s">
        <v>614</v>
      </c>
    </row>
    <row r="16" spans="2:21" customFormat="1" ht="17" customHeight="1" x14ac:dyDescent="0.2">
      <c r="B16" s="1049" t="s">
        <v>613</v>
      </c>
    </row>
    <row r="17" spans="2:3" customFormat="1" ht="17" customHeight="1" x14ac:dyDescent="0.2">
      <c r="B17" s="1049"/>
    </row>
    <row r="18" spans="2:3" customFormat="1" ht="17" customHeight="1" x14ac:dyDescent="0.2">
      <c r="B18" s="650" t="s">
        <v>579</v>
      </c>
    </row>
    <row r="19" spans="2:3" customFormat="1" ht="227" customHeight="1" x14ac:dyDescent="0.2">
      <c r="B19" s="511" t="s">
        <v>627</v>
      </c>
    </row>
    <row r="20" spans="2:3" customFormat="1" ht="17" thickBot="1" x14ac:dyDescent="0.25">
      <c r="B20" s="996"/>
    </row>
    <row r="21" spans="2:3" customFormat="1" ht="17" thickBot="1" x14ac:dyDescent="0.25"/>
    <row r="22" spans="2:3" customFormat="1" ht="17" x14ac:dyDescent="0.2">
      <c r="B22" s="648" t="s">
        <v>577</v>
      </c>
    </row>
    <row r="23" spans="2:3" customFormat="1" x14ac:dyDescent="0.2">
      <c r="B23" s="649"/>
    </row>
    <row r="24" spans="2:3" customFormat="1" ht="17" x14ac:dyDescent="0.2">
      <c r="B24" s="650" t="s">
        <v>579</v>
      </c>
      <c r="C24" s="480"/>
    </row>
    <row r="25" spans="2:3" customFormat="1" ht="34" x14ac:dyDescent="0.2">
      <c r="B25" s="979" t="s">
        <v>584</v>
      </c>
    </row>
    <row r="26" spans="2:3" customFormat="1" ht="35" thickBot="1" x14ac:dyDescent="0.25">
      <c r="B26" s="996" t="s">
        <v>583</v>
      </c>
    </row>
    <row r="27" spans="2:3" customFormat="1" ht="17" thickBot="1" x14ac:dyDescent="0.25">
      <c r="B27" s="995"/>
    </row>
    <row r="28" spans="2:3" customFormat="1" ht="17" x14ac:dyDescent="0.2">
      <c r="B28" s="997" t="s">
        <v>580</v>
      </c>
    </row>
    <row r="29" spans="2:3" customFormat="1" ht="21" customHeight="1" x14ac:dyDescent="0.2">
      <c r="B29" s="998"/>
    </row>
    <row r="30" spans="2:3" customFormat="1" ht="17" x14ac:dyDescent="0.2">
      <c r="B30" s="999" t="s">
        <v>541</v>
      </c>
    </row>
    <row r="31" spans="2:3" customFormat="1" ht="34" x14ac:dyDescent="0.2">
      <c r="B31" s="1001" t="s">
        <v>582</v>
      </c>
    </row>
    <row r="32" spans="2:3" customFormat="1" ht="17" x14ac:dyDescent="0.2">
      <c r="B32" s="1000" t="s">
        <v>525</v>
      </c>
    </row>
    <row r="33" spans="2:2" customFormat="1" ht="18" thickBot="1" x14ac:dyDescent="0.25">
      <c r="B33" s="1002" t="s">
        <v>581</v>
      </c>
    </row>
    <row r="34" spans="2:2" customFormat="1" ht="17" thickBot="1" x14ac:dyDescent="0.25"/>
    <row r="35" spans="2:2" customFormat="1" ht="17" x14ac:dyDescent="0.2">
      <c r="B35" s="648" t="s">
        <v>512</v>
      </c>
    </row>
    <row r="36" spans="2:2" customFormat="1" x14ac:dyDescent="0.2">
      <c r="B36" s="649"/>
    </row>
    <row r="37" spans="2:2" customFormat="1" ht="17" x14ac:dyDescent="0.2">
      <c r="B37" s="650" t="s">
        <v>549</v>
      </c>
    </row>
    <row r="38" spans="2:2" customFormat="1" ht="17" x14ac:dyDescent="0.2">
      <c r="B38" s="651" t="s">
        <v>521</v>
      </c>
    </row>
    <row r="39" spans="2:2" customFormat="1" ht="34" x14ac:dyDescent="0.2">
      <c r="B39" s="652" t="s">
        <v>522</v>
      </c>
    </row>
    <row r="40" spans="2:2" customFormat="1" ht="34" x14ac:dyDescent="0.2">
      <c r="B40" s="652" t="s">
        <v>523</v>
      </c>
    </row>
    <row r="41" spans="2:2" customFormat="1" ht="17" x14ac:dyDescent="0.2">
      <c r="B41" s="650" t="s">
        <v>495</v>
      </c>
    </row>
    <row r="42" spans="2:2" customFormat="1" ht="17" x14ac:dyDescent="0.2">
      <c r="B42" s="651" t="s">
        <v>524</v>
      </c>
    </row>
    <row r="43" spans="2:2" customFormat="1" ht="17" x14ac:dyDescent="0.2">
      <c r="B43" s="650" t="s">
        <v>525</v>
      </c>
    </row>
    <row r="44" spans="2:2" customFormat="1" ht="51" x14ac:dyDescent="0.2">
      <c r="B44" s="651" t="s">
        <v>526</v>
      </c>
    </row>
    <row r="45" spans="2:2" customFormat="1" ht="17" x14ac:dyDescent="0.2">
      <c r="B45" s="651" t="s">
        <v>527</v>
      </c>
    </row>
    <row r="46" spans="2:2" customFormat="1" ht="17" x14ac:dyDescent="0.2">
      <c r="B46" s="651" t="s">
        <v>528</v>
      </c>
    </row>
    <row r="47" spans="2:2" customFormat="1" ht="17" x14ac:dyDescent="0.2">
      <c r="B47" s="651" t="s">
        <v>529</v>
      </c>
    </row>
    <row r="48" spans="2:2" customFormat="1" ht="17" x14ac:dyDescent="0.2">
      <c r="B48" s="651" t="s">
        <v>530</v>
      </c>
    </row>
    <row r="49" spans="1:2" customFormat="1" ht="17" x14ac:dyDescent="0.2">
      <c r="B49" s="651" t="s">
        <v>531</v>
      </c>
    </row>
    <row r="50" spans="1:2" customFormat="1" ht="17" x14ac:dyDescent="0.2">
      <c r="A50" s="647"/>
      <c r="B50" s="651" t="s">
        <v>532</v>
      </c>
    </row>
    <row r="51" spans="1:2" customFormat="1" ht="17" x14ac:dyDescent="0.2">
      <c r="A51" s="647"/>
      <c r="B51" s="651" t="s">
        <v>547</v>
      </c>
    </row>
    <row r="52" spans="1:2" customFormat="1" ht="17" x14ac:dyDescent="0.2">
      <c r="A52" s="647"/>
      <c r="B52" s="652" t="s">
        <v>533</v>
      </c>
    </row>
    <row r="53" spans="1:2" customFormat="1" ht="17" x14ac:dyDescent="0.2">
      <c r="B53" s="652" t="s">
        <v>534</v>
      </c>
    </row>
    <row r="54" spans="1:2" customFormat="1" ht="17" x14ac:dyDescent="0.2">
      <c r="B54" s="652" t="s">
        <v>535</v>
      </c>
    </row>
    <row r="55" spans="1:2" customFormat="1" ht="17" x14ac:dyDescent="0.2">
      <c r="B55" s="651" t="s">
        <v>536</v>
      </c>
    </row>
    <row r="56" spans="1:2" customFormat="1" ht="17" x14ac:dyDescent="0.2">
      <c r="B56" s="650" t="s">
        <v>33</v>
      </c>
    </row>
    <row r="57" spans="1:2" customFormat="1" ht="17" x14ac:dyDescent="0.2">
      <c r="B57" s="651" t="s">
        <v>537</v>
      </c>
    </row>
    <row r="58" spans="1:2" customFormat="1" ht="17" x14ac:dyDescent="0.2">
      <c r="B58" s="650" t="s">
        <v>123</v>
      </c>
    </row>
    <row r="59" spans="1:2" customFormat="1" ht="17" x14ac:dyDescent="0.2">
      <c r="B59" s="651" t="s">
        <v>538</v>
      </c>
    </row>
    <row r="60" spans="1:2" customFormat="1" ht="17" x14ac:dyDescent="0.2">
      <c r="B60" s="651" t="s">
        <v>539</v>
      </c>
    </row>
    <row r="61" spans="1:2" customFormat="1" ht="17" x14ac:dyDescent="0.2">
      <c r="B61" s="650" t="s">
        <v>151</v>
      </c>
    </row>
    <row r="62" spans="1:2" customFormat="1" ht="17" x14ac:dyDescent="0.2">
      <c r="B62" s="651" t="s">
        <v>540</v>
      </c>
    </row>
    <row r="63" spans="1:2" customFormat="1" ht="17" x14ac:dyDescent="0.2">
      <c r="B63" s="650" t="s">
        <v>541</v>
      </c>
    </row>
    <row r="64" spans="1:2" customFormat="1" ht="17" x14ac:dyDescent="0.2">
      <c r="B64" s="651" t="s">
        <v>548</v>
      </c>
    </row>
    <row r="65" spans="2:21" s="11" customFormat="1" ht="17" x14ac:dyDescent="0.2">
      <c r="B65" s="651" t="s">
        <v>542</v>
      </c>
    </row>
    <row r="66" spans="2:21" customFormat="1" ht="17" x14ac:dyDescent="0.2">
      <c r="B66" s="650" t="s">
        <v>560</v>
      </c>
    </row>
    <row r="67" spans="2:21" customFormat="1" ht="17" x14ac:dyDescent="0.2">
      <c r="B67" s="651" t="s">
        <v>566</v>
      </c>
    </row>
    <row r="68" spans="2:21" customFormat="1" ht="17" x14ac:dyDescent="0.2">
      <c r="B68" s="650" t="s">
        <v>9</v>
      </c>
    </row>
    <row r="69" spans="2:21" customFormat="1" ht="17" x14ac:dyDescent="0.2">
      <c r="B69" s="651" t="s">
        <v>543</v>
      </c>
    </row>
    <row r="70" spans="2:21" customFormat="1" ht="17" x14ac:dyDescent="0.2">
      <c r="B70" s="650" t="s">
        <v>551</v>
      </c>
    </row>
    <row r="71" spans="2:21" customFormat="1" ht="17" x14ac:dyDescent="0.2">
      <c r="B71" s="651" t="s">
        <v>552</v>
      </c>
    </row>
    <row r="72" spans="2:21" customFormat="1" ht="17" x14ac:dyDescent="0.2">
      <c r="B72" s="650" t="s">
        <v>544</v>
      </c>
    </row>
    <row r="73" spans="2:21" ht="17" x14ac:dyDescent="0.2">
      <c r="B73" s="651" t="s">
        <v>545</v>
      </c>
      <c r="C73" s="496"/>
      <c r="D73" s="497"/>
      <c r="E73" s="497"/>
      <c r="F73" s="497"/>
      <c r="J73" s="497"/>
      <c r="K73" s="497"/>
      <c r="L73" s="497"/>
      <c r="M73" s="497"/>
      <c r="N73" s="499"/>
      <c r="O73" s="499"/>
      <c r="P73" s="499"/>
      <c r="Q73" s="499"/>
      <c r="R73" s="499"/>
      <c r="S73" s="499"/>
      <c r="T73" s="499"/>
      <c r="U73" s="499"/>
    </row>
    <row r="74" spans="2:21" ht="18" thickBot="1" x14ac:dyDescent="0.25">
      <c r="B74" s="653" t="s">
        <v>546</v>
      </c>
      <c r="C74" s="496"/>
      <c r="D74" s="497"/>
      <c r="E74" s="497"/>
      <c r="F74" s="497"/>
      <c r="R74" s="499"/>
      <c r="S74" s="499"/>
      <c r="T74" s="499"/>
      <c r="U74" s="499"/>
    </row>
    <row r="75" spans="2:21" ht="17" thickBot="1" x14ac:dyDescent="0.25">
      <c r="B75"/>
      <c r="C75" s="496"/>
      <c r="D75" s="497"/>
      <c r="E75" s="497"/>
      <c r="F75" s="497"/>
      <c r="R75" s="499"/>
      <c r="S75" s="499"/>
      <c r="T75" s="499"/>
      <c r="U75" s="499"/>
    </row>
    <row r="76" spans="2:21" ht="18" thickBot="1" x14ac:dyDescent="0.25">
      <c r="B76" s="518" t="s">
        <v>400</v>
      </c>
      <c r="C76" s="496"/>
      <c r="D76" s="497"/>
      <c r="E76" s="497"/>
      <c r="F76" s="497"/>
      <c r="R76" s="499"/>
      <c r="S76" s="499"/>
      <c r="T76" s="499"/>
      <c r="U76" s="499"/>
    </row>
    <row r="77" spans="2:21" ht="17" x14ac:dyDescent="0.2">
      <c r="B77" s="501" t="s">
        <v>331</v>
      </c>
      <c r="C77" s="496"/>
      <c r="D77" s="497"/>
      <c r="E77" s="497"/>
      <c r="F77" s="497"/>
      <c r="R77" s="499"/>
      <c r="S77" s="499"/>
      <c r="T77" s="499"/>
      <c r="U77" s="499"/>
    </row>
    <row r="78" spans="2:21" ht="17" x14ac:dyDescent="0.2">
      <c r="B78" s="502" t="s">
        <v>408</v>
      </c>
      <c r="C78" s="496"/>
      <c r="D78" s="497"/>
      <c r="E78" s="497"/>
      <c r="F78" s="497"/>
      <c r="R78" s="499"/>
      <c r="S78" s="499"/>
      <c r="T78" s="499"/>
      <c r="U78" s="499"/>
    </row>
    <row r="79" spans="2:21" ht="17" x14ac:dyDescent="0.2">
      <c r="B79" s="502" t="s">
        <v>409</v>
      </c>
      <c r="C79" s="496"/>
      <c r="D79" s="497"/>
      <c r="E79" s="497"/>
      <c r="F79" s="497"/>
      <c r="R79" s="499"/>
      <c r="S79" s="499"/>
      <c r="T79" s="499"/>
      <c r="U79" s="499"/>
    </row>
    <row r="80" spans="2:21" ht="17" x14ac:dyDescent="0.2">
      <c r="B80" s="502" t="s">
        <v>410</v>
      </c>
      <c r="C80" s="496"/>
      <c r="D80" s="497"/>
      <c r="E80" s="497"/>
      <c r="F80" s="497"/>
      <c r="R80" s="499"/>
      <c r="S80" s="499"/>
      <c r="T80" s="499"/>
      <c r="U80" s="499"/>
    </row>
    <row r="81" spans="1:21" ht="17" x14ac:dyDescent="0.2">
      <c r="B81" s="502" t="s">
        <v>413</v>
      </c>
      <c r="C81" s="496"/>
      <c r="D81" s="497"/>
      <c r="E81" s="497"/>
      <c r="F81" s="497"/>
      <c r="R81" s="499"/>
      <c r="S81" s="499"/>
      <c r="T81" s="499"/>
      <c r="U81" s="499"/>
    </row>
    <row r="82" spans="1:21" ht="17" x14ac:dyDescent="0.2">
      <c r="B82" s="502" t="s">
        <v>414</v>
      </c>
      <c r="C82" s="496"/>
      <c r="D82" s="497"/>
      <c r="E82" s="497"/>
      <c r="F82" s="497"/>
      <c r="R82" s="499"/>
      <c r="S82" s="499"/>
      <c r="T82" s="499"/>
      <c r="U82" s="499"/>
    </row>
    <row r="83" spans="1:21" ht="17" x14ac:dyDescent="0.2">
      <c r="B83" s="502" t="s">
        <v>411</v>
      </c>
      <c r="C83" s="496"/>
      <c r="D83" s="497"/>
      <c r="E83" s="497"/>
      <c r="F83" s="497"/>
      <c r="R83" s="499"/>
      <c r="S83" s="499"/>
      <c r="T83" s="499"/>
      <c r="U83" s="499"/>
    </row>
    <row r="84" spans="1:21" ht="17" x14ac:dyDescent="0.2">
      <c r="B84" s="502" t="s">
        <v>412</v>
      </c>
      <c r="C84" s="496"/>
      <c r="D84" s="497"/>
      <c r="E84" s="497"/>
      <c r="F84" s="497"/>
      <c r="R84" s="499"/>
      <c r="S84" s="499"/>
      <c r="T84" s="499"/>
      <c r="U84" s="499"/>
    </row>
    <row r="85" spans="1:21" ht="17" x14ac:dyDescent="0.2">
      <c r="B85" s="501" t="s">
        <v>314</v>
      </c>
      <c r="C85" s="496"/>
      <c r="D85" s="497"/>
      <c r="E85" s="497"/>
      <c r="F85" s="497"/>
      <c r="R85" s="499"/>
      <c r="S85" s="499"/>
      <c r="T85" s="499"/>
      <c r="U85" s="499"/>
    </row>
    <row r="86" spans="1:21" ht="17" x14ac:dyDescent="0.2">
      <c r="B86" s="502" t="s">
        <v>419</v>
      </c>
      <c r="C86" s="496"/>
      <c r="D86" s="497"/>
      <c r="E86" s="497"/>
      <c r="F86" s="497"/>
      <c r="R86" s="499"/>
      <c r="S86" s="499"/>
      <c r="T86" s="499"/>
      <c r="U86" s="499"/>
    </row>
    <row r="87" spans="1:21" ht="17" x14ac:dyDescent="0.2">
      <c r="B87" s="502" t="s">
        <v>416</v>
      </c>
      <c r="C87" s="496"/>
      <c r="D87" s="497"/>
      <c r="E87" s="497"/>
      <c r="F87" s="497"/>
      <c r="R87" s="499"/>
      <c r="S87" s="499"/>
      <c r="T87" s="499"/>
      <c r="U87" s="499"/>
    </row>
    <row r="88" spans="1:21" ht="17" x14ac:dyDescent="0.2">
      <c r="B88" s="502" t="s">
        <v>417</v>
      </c>
      <c r="C88" s="496"/>
      <c r="D88" s="497"/>
      <c r="E88" s="497"/>
      <c r="F88" s="497"/>
      <c r="R88" s="499"/>
      <c r="S88" s="499"/>
      <c r="T88" s="499"/>
      <c r="U88" s="499"/>
    </row>
    <row r="89" spans="1:21" ht="17" x14ac:dyDescent="0.2">
      <c r="B89" s="502" t="s">
        <v>418</v>
      </c>
      <c r="C89" s="496"/>
      <c r="D89" s="497"/>
      <c r="E89" s="497"/>
      <c r="F89" s="497"/>
      <c r="R89" s="499"/>
      <c r="S89" s="499"/>
      <c r="T89" s="499"/>
      <c r="U89" s="499"/>
    </row>
    <row r="90" spans="1:21" ht="17" x14ac:dyDescent="0.2">
      <c r="B90" s="502" t="s">
        <v>415</v>
      </c>
      <c r="C90" s="496"/>
      <c r="D90" s="497"/>
      <c r="E90" s="497"/>
      <c r="F90" s="497"/>
      <c r="R90" s="499"/>
      <c r="S90" s="499"/>
      <c r="T90" s="499"/>
      <c r="U90" s="499"/>
    </row>
    <row r="91" spans="1:21" ht="17" x14ac:dyDescent="0.2">
      <c r="B91" s="501" t="s">
        <v>320</v>
      </c>
      <c r="C91" s="496"/>
      <c r="D91" s="497"/>
      <c r="E91" s="497"/>
      <c r="F91" s="497"/>
      <c r="R91" s="505"/>
      <c r="S91" s="505"/>
      <c r="T91" s="505"/>
      <c r="U91" s="499"/>
    </row>
    <row r="92" spans="1:21" ht="17" x14ac:dyDescent="0.2">
      <c r="B92" s="502" t="s">
        <v>425</v>
      </c>
      <c r="C92" s="496"/>
      <c r="D92" s="497"/>
      <c r="E92" s="497"/>
      <c r="F92" s="497"/>
      <c r="R92" s="505"/>
      <c r="S92" s="505"/>
      <c r="T92" s="505"/>
      <c r="U92" s="499"/>
    </row>
    <row r="93" spans="1:21" s="521" customFormat="1" ht="17" x14ac:dyDescent="0.2">
      <c r="A93" s="520"/>
      <c r="B93" s="502" t="s">
        <v>421</v>
      </c>
      <c r="C93" s="506"/>
      <c r="D93" s="505"/>
      <c r="E93" s="505"/>
      <c r="F93" s="505"/>
      <c r="R93" s="505"/>
      <c r="S93" s="505"/>
      <c r="T93" s="505"/>
    </row>
    <row r="94" spans="1:21" ht="17" x14ac:dyDescent="0.2">
      <c r="B94" s="502" t="s">
        <v>422</v>
      </c>
      <c r="C94" s="496"/>
      <c r="D94" s="497"/>
      <c r="E94" s="497"/>
      <c r="F94" s="497"/>
      <c r="R94" s="505"/>
      <c r="S94" s="505"/>
      <c r="T94" s="505"/>
      <c r="U94" s="499"/>
    </row>
    <row r="95" spans="1:21" ht="17" x14ac:dyDescent="0.2">
      <c r="B95" s="502" t="s">
        <v>423</v>
      </c>
      <c r="C95" s="496"/>
      <c r="D95" s="497"/>
      <c r="E95" s="497"/>
      <c r="F95" s="497"/>
      <c r="R95" s="505"/>
      <c r="S95" s="505"/>
      <c r="T95" s="505"/>
      <c r="U95" s="499"/>
    </row>
    <row r="96" spans="1:21" x14ac:dyDescent="0.2">
      <c r="B96" s="522" t="s">
        <v>424</v>
      </c>
      <c r="C96" s="496"/>
      <c r="D96" s="497"/>
      <c r="E96" s="497"/>
      <c r="F96" s="497"/>
      <c r="R96" s="505"/>
      <c r="S96" s="505"/>
      <c r="T96" s="505"/>
      <c r="U96" s="499"/>
    </row>
    <row r="97" spans="2:21" ht="17" x14ac:dyDescent="0.2">
      <c r="B97" s="502" t="s">
        <v>420</v>
      </c>
      <c r="C97" s="496"/>
      <c r="D97" s="497"/>
      <c r="E97" s="497"/>
      <c r="F97" s="497"/>
      <c r="R97" s="505"/>
      <c r="S97" s="505"/>
      <c r="T97" s="505"/>
      <c r="U97" s="499"/>
    </row>
    <row r="98" spans="2:21" ht="17" x14ac:dyDescent="0.2">
      <c r="B98" s="501" t="s">
        <v>324</v>
      </c>
      <c r="C98" s="496"/>
      <c r="D98" s="497"/>
      <c r="E98" s="497"/>
      <c r="F98" s="497"/>
      <c r="R98" s="505"/>
      <c r="S98" s="505"/>
      <c r="T98" s="505"/>
      <c r="U98" s="499"/>
    </row>
    <row r="99" spans="2:21" ht="17" x14ac:dyDescent="0.2">
      <c r="B99" s="502" t="s">
        <v>426</v>
      </c>
      <c r="C99" s="496"/>
      <c r="D99" s="497"/>
      <c r="E99" s="497"/>
      <c r="F99" s="497"/>
      <c r="R99" s="505"/>
      <c r="S99" s="505"/>
      <c r="T99" s="505"/>
      <c r="U99" s="499"/>
    </row>
    <row r="100" spans="2:21" ht="17" x14ac:dyDescent="0.2">
      <c r="B100" s="502" t="s">
        <v>430</v>
      </c>
      <c r="C100" s="496"/>
      <c r="D100" s="497"/>
      <c r="E100" s="497"/>
      <c r="F100" s="497"/>
      <c r="R100" s="505"/>
      <c r="S100" s="505"/>
      <c r="T100" s="505"/>
      <c r="U100" s="499"/>
    </row>
    <row r="101" spans="2:21" ht="17" x14ac:dyDescent="0.2">
      <c r="B101" s="502" t="s">
        <v>431</v>
      </c>
      <c r="C101" s="496"/>
      <c r="D101" s="497"/>
      <c r="E101" s="497"/>
      <c r="F101" s="497"/>
      <c r="R101" s="505"/>
      <c r="S101" s="505"/>
      <c r="T101" s="505"/>
      <c r="U101" s="499"/>
    </row>
    <row r="102" spans="2:21" ht="17" x14ac:dyDescent="0.2">
      <c r="B102" s="502" t="s">
        <v>432</v>
      </c>
      <c r="C102" s="496"/>
      <c r="D102" s="497"/>
      <c r="E102" s="497"/>
      <c r="F102" s="497"/>
      <c r="R102" s="499"/>
      <c r="S102" s="499"/>
      <c r="T102" s="499"/>
      <c r="U102" s="499"/>
    </row>
    <row r="103" spans="2:21" ht="17" x14ac:dyDescent="0.2">
      <c r="B103" s="502" t="s">
        <v>442</v>
      </c>
      <c r="C103" s="496"/>
      <c r="D103" s="497"/>
      <c r="E103" s="497"/>
      <c r="F103" s="497"/>
      <c r="G103" s="504"/>
      <c r="H103" s="507"/>
      <c r="J103" s="497"/>
      <c r="K103" s="497"/>
      <c r="L103" s="497"/>
      <c r="M103" s="497"/>
      <c r="N103" s="499"/>
      <c r="O103" s="499"/>
      <c r="P103" s="499"/>
      <c r="Q103" s="499"/>
      <c r="R103" s="499"/>
      <c r="S103" s="499"/>
      <c r="T103" s="499"/>
      <c r="U103" s="499"/>
    </row>
    <row r="104" spans="2:21" ht="17" x14ac:dyDescent="0.2">
      <c r="B104" s="502" t="s">
        <v>427</v>
      </c>
      <c r="C104" s="496"/>
      <c r="D104" s="497"/>
      <c r="E104" s="497"/>
      <c r="F104" s="497"/>
      <c r="G104" s="504"/>
      <c r="H104" s="507"/>
      <c r="J104" s="497"/>
      <c r="K104" s="497"/>
      <c r="L104" s="497"/>
      <c r="M104" s="497"/>
      <c r="N104" s="499"/>
      <c r="O104" s="499"/>
      <c r="P104" s="499"/>
      <c r="Q104" s="499"/>
      <c r="R104" s="499"/>
      <c r="S104" s="499"/>
      <c r="T104" s="499"/>
      <c r="U104" s="499"/>
    </row>
    <row r="105" spans="2:21" ht="17" x14ac:dyDescent="0.2">
      <c r="B105" s="502" t="s">
        <v>429</v>
      </c>
      <c r="C105" s="496"/>
      <c r="D105" s="497"/>
      <c r="E105" s="497"/>
      <c r="F105" s="497"/>
      <c r="G105" s="504"/>
      <c r="H105" s="508"/>
      <c r="J105" s="497"/>
      <c r="K105" s="497"/>
      <c r="L105" s="497"/>
      <c r="M105" s="497"/>
      <c r="N105" s="499"/>
      <c r="O105" s="499"/>
      <c r="P105" s="499"/>
      <c r="Q105" s="499"/>
      <c r="R105" s="499"/>
      <c r="S105" s="499"/>
      <c r="T105" s="499"/>
      <c r="U105" s="499"/>
    </row>
    <row r="106" spans="2:21" ht="17" x14ac:dyDescent="0.2">
      <c r="B106" s="502" t="s">
        <v>428</v>
      </c>
      <c r="C106" s="496"/>
      <c r="D106" s="497"/>
      <c r="E106" s="497"/>
      <c r="F106" s="497"/>
      <c r="G106" s="504"/>
      <c r="H106" s="507"/>
      <c r="J106" s="497"/>
      <c r="K106" s="497"/>
      <c r="L106" s="497"/>
      <c r="M106" s="497"/>
      <c r="N106" s="499"/>
      <c r="O106" s="499"/>
      <c r="P106" s="499"/>
      <c r="Q106" s="499"/>
      <c r="R106" s="499"/>
      <c r="S106" s="499"/>
      <c r="T106" s="499"/>
      <c r="U106" s="499"/>
    </row>
    <row r="107" spans="2:21" ht="17" x14ac:dyDescent="0.2">
      <c r="B107" s="501" t="s">
        <v>433</v>
      </c>
      <c r="C107" s="496"/>
      <c r="D107" s="497"/>
      <c r="E107" s="497"/>
      <c r="F107" s="497"/>
      <c r="G107" s="504"/>
      <c r="H107" s="507"/>
      <c r="J107" s="497"/>
      <c r="K107" s="497"/>
      <c r="L107" s="497"/>
      <c r="M107" s="497"/>
      <c r="N107" s="499"/>
      <c r="O107" s="499"/>
      <c r="P107" s="499"/>
      <c r="Q107" s="499"/>
      <c r="R107" s="499"/>
      <c r="S107" s="499"/>
      <c r="T107" s="499"/>
      <c r="U107" s="499"/>
    </row>
    <row r="108" spans="2:21" ht="17" x14ac:dyDescent="0.2">
      <c r="B108" s="502" t="s">
        <v>434</v>
      </c>
      <c r="C108" s="496"/>
      <c r="D108" s="497"/>
      <c r="E108" s="497"/>
      <c r="F108" s="497"/>
      <c r="G108" s="504"/>
      <c r="H108" s="507"/>
      <c r="J108" s="497"/>
      <c r="K108" s="497"/>
      <c r="L108" s="497"/>
      <c r="M108" s="497"/>
      <c r="N108" s="499"/>
      <c r="O108" s="499"/>
      <c r="P108" s="499"/>
      <c r="Q108" s="499"/>
      <c r="R108" s="499"/>
      <c r="S108" s="499"/>
      <c r="T108" s="499"/>
      <c r="U108" s="499"/>
    </row>
    <row r="109" spans="2:21" ht="17" x14ac:dyDescent="0.2">
      <c r="B109" s="502" t="s">
        <v>435</v>
      </c>
      <c r="C109" s="496"/>
      <c r="D109" s="497"/>
      <c r="E109" s="497"/>
      <c r="F109" s="497"/>
      <c r="G109" s="504"/>
      <c r="H109" s="507"/>
      <c r="J109" s="497"/>
      <c r="K109" s="497"/>
      <c r="L109" s="497"/>
      <c r="M109" s="497"/>
      <c r="N109" s="499"/>
      <c r="O109" s="499"/>
      <c r="P109" s="499"/>
      <c r="Q109" s="499"/>
      <c r="R109" s="499"/>
      <c r="S109" s="499"/>
      <c r="T109" s="499"/>
      <c r="U109" s="499"/>
    </row>
    <row r="110" spans="2:21" ht="17" x14ac:dyDescent="0.2">
      <c r="B110" s="502" t="s">
        <v>439</v>
      </c>
      <c r="C110" s="496"/>
      <c r="D110" s="497"/>
      <c r="E110" s="497"/>
      <c r="F110" s="497"/>
      <c r="G110" s="504"/>
      <c r="J110" s="497"/>
      <c r="K110" s="497"/>
      <c r="L110" s="497"/>
      <c r="M110" s="497"/>
      <c r="N110" s="499"/>
      <c r="O110" s="499"/>
      <c r="P110" s="499"/>
      <c r="Q110" s="499"/>
      <c r="R110" s="499"/>
      <c r="S110" s="499"/>
      <c r="T110" s="499"/>
      <c r="U110" s="499"/>
    </row>
    <row r="111" spans="2:21" ht="17" x14ac:dyDescent="0.2">
      <c r="B111" s="502" t="s">
        <v>437</v>
      </c>
      <c r="C111" s="496"/>
      <c r="D111" s="497"/>
      <c r="E111" s="497"/>
      <c r="F111" s="497"/>
      <c r="J111" s="497"/>
      <c r="K111" s="497"/>
      <c r="L111" s="497"/>
      <c r="M111" s="497"/>
      <c r="N111" s="499"/>
      <c r="O111" s="499"/>
      <c r="P111" s="499"/>
      <c r="Q111" s="499"/>
      <c r="R111" s="499"/>
      <c r="S111" s="499"/>
      <c r="T111" s="499"/>
      <c r="U111" s="499"/>
    </row>
    <row r="112" spans="2:21" ht="17" x14ac:dyDescent="0.2">
      <c r="B112" s="502" t="s">
        <v>438</v>
      </c>
      <c r="C112" s="496"/>
      <c r="D112" s="497"/>
      <c r="E112" s="497"/>
      <c r="F112" s="497"/>
      <c r="J112" s="497"/>
      <c r="K112" s="497"/>
      <c r="L112" s="497"/>
      <c r="M112" s="497"/>
      <c r="N112" s="499"/>
      <c r="O112" s="499"/>
      <c r="P112" s="499"/>
      <c r="Q112" s="499"/>
      <c r="R112" s="499"/>
      <c r="S112" s="499"/>
      <c r="T112" s="499"/>
      <c r="U112" s="499"/>
    </row>
    <row r="113" spans="1:21" ht="17" x14ac:dyDescent="0.2">
      <c r="A113" s="509"/>
      <c r="B113" s="502" t="s">
        <v>443</v>
      </c>
      <c r="C113" s="496"/>
      <c r="D113" s="497"/>
      <c r="E113" s="497"/>
      <c r="F113" s="497"/>
      <c r="J113" s="497"/>
      <c r="K113" s="497"/>
      <c r="L113" s="497"/>
      <c r="M113" s="497"/>
      <c r="N113" s="499"/>
      <c r="O113" s="499"/>
      <c r="P113" s="499"/>
      <c r="Q113" s="499"/>
      <c r="R113" s="499"/>
      <c r="S113" s="499"/>
      <c r="T113" s="499"/>
      <c r="U113" s="499"/>
    </row>
    <row r="114" spans="1:21" ht="18" thickBot="1" x14ac:dyDescent="0.25">
      <c r="A114" s="509"/>
      <c r="B114" s="502" t="s">
        <v>436</v>
      </c>
      <c r="C114" s="496"/>
      <c r="D114" s="497"/>
      <c r="E114" s="497"/>
      <c r="F114" s="497"/>
      <c r="J114" s="497"/>
      <c r="K114" s="497"/>
      <c r="L114" s="497"/>
      <c r="M114" s="497"/>
      <c r="N114" s="499"/>
      <c r="O114" s="499"/>
      <c r="P114" s="499"/>
      <c r="Q114" s="499"/>
      <c r="R114" s="499"/>
      <c r="S114" s="499"/>
      <c r="T114" s="499"/>
      <c r="U114" s="499"/>
    </row>
    <row r="115" spans="1:21" ht="18" thickBot="1" x14ac:dyDescent="0.25">
      <c r="A115" s="509"/>
      <c r="B115" s="500" t="s">
        <v>406</v>
      </c>
      <c r="C115" s="496"/>
      <c r="D115" s="497"/>
      <c r="E115" s="497"/>
      <c r="F115" s="497"/>
      <c r="J115" s="497"/>
      <c r="K115" s="497"/>
      <c r="L115" s="497"/>
      <c r="M115" s="497"/>
      <c r="N115" s="499"/>
      <c r="O115" s="499"/>
      <c r="P115" s="499"/>
      <c r="Q115" s="499"/>
      <c r="R115" s="499"/>
      <c r="S115" s="499"/>
      <c r="T115" s="499"/>
      <c r="U115" s="499"/>
    </row>
    <row r="116" spans="1:21" ht="17" x14ac:dyDescent="0.2">
      <c r="A116" s="509"/>
      <c r="B116" s="510" t="s">
        <v>327</v>
      </c>
      <c r="C116" s="496"/>
      <c r="D116" s="497"/>
      <c r="E116" s="497"/>
      <c r="F116" s="497"/>
      <c r="J116" s="497"/>
      <c r="K116" s="497"/>
      <c r="L116" s="497"/>
      <c r="M116" s="497"/>
      <c r="N116" s="499"/>
      <c r="O116" s="499"/>
      <c r="P116" s="499"/>
      <c r="Q116" s="499"/>
      <c r="R116" s="499"/>
      <c r="S116" s="499"/>
      <c r="T116" s="499"/>
      <c r="U116" s="499"/>
    </row>
    <row r="117" spans="1:21" ht="17" x14ac:dyDescent="0.2">
      <c r="A117" s="509"/>
      <c r="B117" s="502" t="s">
        <v>336</v>
      </c>
      <c r="C117" s="496"/>
      <c r="D117" s="497"/>
      <c r="E117" s="497"/>
      <c r="F117" s="497"/>
      <c r="J117" s="497"/>
      <c r="K117" s="497"/>
      <c r="L117" s="497"/>
      <c r="M117" s="497"/>
      <c r="N117" s="499"/>
      <c r="O117" s="499"/>
      <c r="P117" s="499"/>
      <c r="Q117" s="499"/>
      <c r="R117" s="499"/>
      <c r="S117" s="499"/>
      <c r="T117" s="499"/>
      <c r="U117" s="499"/>
    </row>
    <row r="118" spans="1:21" ht="17" x14ac:dyDescent="0.2">
      <c r="A118" s="509"/>
      <c r="B118" s="502" t="s">
        <v>337</v>
      </c>
      <c r="C118" s="496"/>
      <c r="D118" s="497"/>
      <c r="E118" s="497"/>
      <c r="F118" s="497"/>
      <c r="J118" s="497"/>
      <c r="K118" s="497"/>
      <c r="L118" s="497"/>
      <c r="M118" s="497"/>
      <c r="N118" s="499"/>
      <c r="O118" s="499"/>
      <c r="P118" s="499"/>
      <c r="Q118" s="499"/>
      <c r="R118" s="499"/>
      <c r="S118" s="499"/>
      <c r="T118" s="499"/>
      <c r="U118" s="499"/>
    </row>
    <row r="119" spans="1:21" ht="17" x14ac:dyDescent="0.2">
      <c r="A119" s="509"/>
      <c r="B119" s="502" t="s">
        <v>338</v>
      </c>
      <c r="C119" s="496"/>
      <c r="D119" s="497"/>
      <c r="E119" s="497"/>
      <c r="F119" s="497"/>
      <c r="J119" s="497"/>
      <c r="K119" s="497"/>
      <c r="L119" s="497"/>
      <c r="M119" s="497"/>
      <c r="N119" s="499"/>
      <c r="O119" s="499"/>
      <c r="P119" s="499"/>
      <c r="Q119" s="499"/>
      <c r="R119" s="499"/>
      <c r="S119" s="499"/>
      <c r="T119" s="499"/>
      <c r="U119" s="499"/>
    </row>
    <row r="120" spans="1:21" ht="17" x14ac:dyDescent="0.2">
      <c r="A120" s="509"/>
      <c r="B120" s="501" t="s">
        <v>314</v>
      </c>
      <c r="C120" s="496"/>
      <c r="D120" s="497"/>
      <c r="E120" s="497"/>
      <c r="F120" s="497"/>
      <c r="J120" s="497"/>
      <c r="K120" s="497"/>
      <c r="L120" s="497"/>
      <c r="M120" s="497"/>
      <c r="N120" s="499"/>
      <c r="O120" s="499"/>
      <c r="P120" s="499"/>
      <c r="Q120" s="499"/>
      <c r="R120" s="499"/>
      <c r="S120" s="499"/>
      <c r="T120" s="499"/>
      <c r="U120" s="499"/>
    </row>
    <row r="121" spans="1:21" ht="17" x14ac:dyDescent="0.2">
      <c r="A121" s="509"/>
      <c r="B121" s="502" t="s">
        <v>389</v>
      </c>
      <c r="C121" s="496"/>
      <c r="D121" s="497"/>
      <c r="E121" s="497"/>
      <c r="F121" s="497"/>
      <c r="J121" s="497"/>
      <c r="K121" s="497"/>
      <c r="L121" s="497"/>
      <c r="M121" s="497"/>
      <c r="N121" s="499"/>
      <c r="O121" s="499"/>
      <c r="P121" s="499"/>
      <c r="Q121" s="499"/>
      <c r="R121" s="499"/>
      <c r="S121" s="499"/>
      <c r="T121" s="499"/>
      <c r="U121" s="499"/>
    </row>
    <row r="122" spans="1:21" ht="17" x14ac:dyDescent="0.2">
      <c r="A122" s="509"/>
      <c r="B122" s="511" t="s">
        <v>390</v>
      </c>
      <c r="C122" s="496"/>
      <c r="D122" s="497"/>
      <c r="E122" s="497"/>
      <c r="F122" s="497"/>
      <c r="J122" s="497"/>
      <c r="K122" s="497"/>
      <c r="L122" s="497"/>
      <c r="M122" s="497"/>
      <c r="N122" s="499"/>
      <c r="O122" s="499"/>
      <c r="P122" s="499"/>
      <c r="Q122" s="499"/>
      <c r="R122" s="499"/>
      <c r="S122" s="499"/>
      <c r="T122" s="499"/>
      <c r="U122" s="499"/>
    </row>
    <row r="123" spans="1:21" ht="17" x14ac:dyDescent="0.2">
      <c r="A123" s="509"/>
      <c r="B123" s="502" t="s">
        <v>377</v>
      </c>
      <c r="C123" s="496"/>
      <c r="D123" s="497"/>
      <c r="E123" s="497"/>
      <c r="F123" s="497"/>
      <c r="J123" s="497"/>
      <c r="K123" s="497"/>
      <c r="L123" s="497"/>
      <c r="M123" s="497"/>
      <c r="N123" s="499"/>
      <c r="O123" s="499"/>
      <c r="P123" s="499"/>
      <c r="Q123" s="499"/>
      <c r="R123" s="499"/>
      <c r="S123" s="499"/>
      <c r="T123" s="499"/>
      <c r="U123" s="499"/>
    </row>
    <row r="124" spans="1:21" ht="17" x14ac:dyDescent="0.2">
      <c r="A124" s="509"/>
      <c r="B124" s="502" t="s">
        <v>379</v>
      </c>
      <c r="C124" s="496"/>
      <c r="D124" s="497"/>
      <c r="E124" s="497"/>
      <c r="F124" s="497"/>
      <c r="J124" s="497"/>
      <c r="K124" s="497"/>
      <c r="L124" s="497"/>
      <c r="M124" s="497"/>
      <c r="N124" s="499"/>
      <c r="O124" s="499"/>
      <c r="P124" s="499"/>
      <c r="Q124" s="499"/>
      <c r="R124" s="499"/>
      <c r="S124" s="499"/>
      <c r="T124" s="499"/>
      <c r="U124" s="499"/>
    </row>
    <row r="125" spans="1:21" ht="17" x14ac:dyDescent="0.2">
      <c r="A125" s="509"/>
      <c r="B125" s="502" t="s">
        <v>384</v>
      </c>
      <c r="C125" s="496"/>
      <c r="D125" s="497"/>
      <c r="E125" s="497"/>
      <c r="F125" s="497"/>
      <c r="J125" s="497"/>
      <c r="K125" s="497"/>
      <c r="L125" s="497"/>
      <c r="M125" s="497"/>
      <c r="N125" s="499"/>
      <c r="O125" s="499"/>
      <c r="P125" s="499"/>
      <c r="Q125" s="499"/>
      <c r="R125" s="499"/>
      <c r="S125" s="499"/>
      <c r="T125" s="499"/>
      <c r="U125" s="499"/>
    </row>
    <row r="126" spans="1:21" ht="17" x14ac:dyDescent="0.2">
      <c r="A126" s="509"/>
      <c r="B126" s="501" t="s">
        <v>385</v>
      </c>
      <c r="C126" s="496"/>
      <c r="D126" s="497"/>
      <c r="E126" s="497"/>
      <c r="F126" s="497"/>
      <c r="J126" s="497"/>
      <c r="K126" s="497"/>
      <c r="L126" s="497"/>
      <c r="M126" s="497"/>
      <c r="N126" s="499"/>
      <c r="O126" s="499"/>
      <c r="P126" s="499"/>
      <c r="Q126" s="499"/>
      <c r="R126" s="499"/>
      <c r="S126" s="499"/>
      <c r="T126" s="499"/>
      <c r="U126" s="499"/>
    </row>
    <row r="127" spans="1:21" ht="17" x14ac:dyDescent="0.2">
      <c r="A127" s="509"/>
      <c r="B127" s="502" t="s">
        <v>386</v>
      </c>
      <c r="C127" s="496"/>
      <c r="D127" s="497"/>
      <c r="E127" s="497"/>
      <c r="F127" s="497"/>
      <c r="J127" s="497"/>
      <c r="K127" s="497"/>
      <c r="L127" s="497"/>
      <c r="M127" s="497"/>
      <c r="N127" s="499"/>
      <c r="O127" s="499"/>
      <c r="P127" s="499"/>
      <c r="Q127" s="499"/>
      <c r="R127" s="499"/>
      <c r="S127" s="499"/>
      <c r="T127" s="499"/>
      <c r="U127" s="499"/>
    </row>
    <row r="128" spans="1:21" ht="17" x14ac:dyDescent="0.2">
      <c r="A128" s="509"/>
      <c r="B128" s="501" t="s">
        <v>324</v>
      </c>
      <c r="C128" s="496"/>
      <c r="D128" s="497"/>
      <c r="E128" s="497"/>
      <c r="F128" s="497"/>
      <c r="J128" s="497"/>
      <c r="K128" s="497"/>
      <c r="L128" s="497"/>
      <c r="M128" s="497"/>
      <c r="N128" s="499"/>
      <c r="O128" s="499"/>
      <c r="P128" s="499"/>
      <c r="Q128" s="499"/>
      <c r="R128" s="499"/>
      <c r="S128" s="499"/>
      <c r="T128" s="499"/>
      <c r="U128" s="499"/>
    </row>
    <row r="129" spans="1:21" ht="17" x14ac:dyDescent="0.2">
      <c r="A129" s="509"/>
      <c r="B129" s="502" t="s">
        <v>350</v>
      </c>
      <c r="C129" s="496"/>
      <c r="D129" s="497"/>
      <c r="E129" s="497"/>
      <c r="F129" s="497"/>
      <c r="J129" s="497"/>
      <c r="K129" s="497"/>
      <c r="L129" s="497"/>
      <c r="M129" s="497"/>
      <c r="N129" s="499"/>
      <c r="O129" s="499"/>
      <c r="P129" s="499"/>
      <c r="Q129" s="499"/>
      <c r="R129" s="499"/>
      <c r="S129" s="499"/>
      <c r="T129" s="499"/>
      <c r="U129" s="499"/>
    </row>
    <row r="130" spans="1:21" ht="17" x14ac:dyDescent="0.2">
      <c r="A130" s="509"/>
      <c r="B130" s="502" t="s">
        <v>460</v>
      </c>
      <c r="C130" s="496"/>
      <c r="D130" s="497"/>
      <c r="E130" s="497"/>
      <c r="F130" s="497"/>
      <c r="J130" s="497"/>
      <c r="K130" s="497"/>
      <c r="L130" s="497"/>
      <c r="M130" s="497"/>
      <c r="N130" s="499"/>
      <c r="O130" s="499"/>
      <c r="P130" s="499"/>
      <c r="Q130" s="499"/>
      <c r="R130" s="499"/>
      <c r="S130" s="499"/>
      <c r="T130" s="499"/>
      <c r="U130" s="499"/>
    </row>
    <row r="131" spans="1:21" ht="17" x14ac:dyDescent="0.2">
      <c r="A131" s="509"/>
      <c r="B131" s="502" t="s">
        <v>382</v>
      </c>
      <c r="C131" s="496"/>
      <c r="D131" s="497"/>
      <c r="E131" s="497"/>
      <c r="F131" s="497"/>
      <c r="J131" s="497"/>
      <c r="K131" s="497"/>
      <c r="L131" s="497"/>
      <c r="M131" s="497"/>
      <c r="N131" s="499"/>
      <c r="O131" s="499"/>
      <c r="P131" s="499"/>
      <c r="Q131" s="499"/>
      <c r="R131" s="499"/>
      <c r="S131" s="499"/>
      <c r="T131" s="499"/>
      <c r="U131" s="499"/>
    </row>
    <row r="132" spans="1:21" ht="17" x14ac:dyDescent="0.2">
      <c r="A132" s="509"/>
      <c r="B132" s="502" t="s">
        <v>383</v>
      </c>
      <c r="C132" s="496"/>
      <c r="D132" s="497"/>
      <c r="E132" s="497"/>
      <c r="F132" s="497"/>
      <c r="J132" s="497"/>
      <c r="K132" s="497"/>
      <c r="L132" s="497"/>
      <c r="M132" s="497"/>
      <c r="N132" s="499"/>
      <c r="O132" s="499"/>
      <c r="P132" s="499"/>
      <c r="Q132" s="499"/>
      <c r="R132" s="499"/>
      <c r="S132" s="499"/>
      <c r="T132" s="499"/>
      <c r="U132" s="499"/>
    </row>
    <row r="133" spans="1:21" ht="17" x14ac:dyDescent="0.2">
      <c r="A133" s="509"/>
      <c r="B133" s="501" t="s">
        <v>320</v>
      </c>
      <c r="C133" s="496"/>
      <c r="D133" s="497"/>
      <c r="E133" s="497"/>
      <c r="F133" s="497"/>
      <c r="J133" s="497"/>
      <c r="K133" s="497"/>
      <c r="L133" s="497"/>
      <c r="M133" s="497"/>
      <c r="N133" s="499"/>
      <c r="O133" s="499"/>
      <c r="P133" s="499"/>
      <c r="Q133" s="499"/>
      <c r="R133" s="499"/>
      <c r="S133" s="499"/>
      <c r="T133" s="499"/>
      <c r="U133" s="499"/>
    </row>
    <row r="134" spans="1:21" ht="17" x14ac:dyDescent="0.2">
      <c r="A134" s="509"/>
      <c r="B134" s="502" t="s">
        <v>387</v>
      </c>
      <c r="C134" s="496"/>
      <c r="D134" s="497"/>
      <c r="E134" s="497"/>
      <c r="F134" s="497"/>
      <c r="J134" s="497"/>
      <c r="K134" s="497"/>
      <c r="L134" s="497"/>
      <c r="M134" s="497"/>
      <c r="N134" s="499"/>
      <c r="O134" s="499"/>
      <c r="P134" s="499"/>
      <c r="Q134" s="499"/>
      <c r="R134" s="499"/>
      <c r="S134" s="499"/>
      <c r="T134" s="499"/>
      <c r="U134" s="499"/>
    </row>
    <row r="135" spans="1:21" ht="17" x14ac:dyDescent="0.2">
      <c r="A135" s="509"/>
      <c r="B135" s="501" t="s">
        <v>329</v>
      </c>
      <c r="C135" s="496"/>
      <c r="D135" s="497"/>
      <c r="E135" s="497"/>
      <c r="F135" s="497"/>
      <c r="J135" s="497"/>
      <c r="K135" s="497"/>
      <c r="L135" s="497"/>
      <c r="M135" s="497"/>
      <c r="N135" s="499"/>
      <c r="O135" s="499"/>
      <c r="P135" s="499"/>
      <c r="Q135" s="499"/>
      <c r="R135" s="499"/>
      <c r="S135" s="499"/>
      <c r="T135" s="499"/>
      <c r="U135" s="499"/>
    </row>
    <row r="136" spans="1:21" ht="17" x14ac:dyDescent="0.2">
      <c r="A136" s="509"/>
      <c r="B136" s="502" t="s">
        <v>351</v>
      </c>
      <c r="C136" s="496"/>
      <c r="D136" s="497"/>
      <c r="E136" s="497"/>
      <c r="F136" s="497"/>
      <c r="J136" s="497"/>
      <c r="K136" s="497"/>
      <c r="L136" s="497"/>
      <c r="M136" s="497"/>
      <c r="N136" s="499"/>
      <c r="O136" s="499"/>
      <c r="P136" s="499"/>
      <c r="Q136" s="499"/>
      <c r="R136" s="499"/>
      <c r="S136" s="499"/>
      <c r="T136" s="499"/>
      <c r="U136" s="499"/>
    </row>
    <row r="137" spans="1:21" ht="17" x14ac:dyDescent="0.2">
      <c r="A137" s="509"/>
      <c r="B137" s="501" t="s">
        <v>331</v>
      </c>
      <c r="C137" s="496"/>
      <c r="D137" s="497"/>
      <c r="E137" s="497"/>
      <c r="F137" s="497"/>
      <c r="J137" s="497"/>
      <c r="K137" s="497"/>
      <c r="L137" s="497"/>
      <c r="M137" s="497"/>
      <c r="N137" s="499"/>
      <c r="O137" s="499"/>
      <c r="P137" s="499"/>
      <c r="Q137" s="499"/>
      <c r="R137" s="499"/>
      <c r="S137" s="499"/>
      <c r="T137" s="499"/>
      <c r="U137" s="499"/>
    </row>
    <row r="138" spans="1:21" ht="17" x14ac:dyDescent="0.2">
      <c r="A138" s="509"/>
      <c r="B138" s="502" t="s">
        <v>354</v>
      </c>
      <c r="C138" s="496"/>
      <c r="D138" s="497"/>
      <c r="E138" s="497"/>
      <c r="F138" s="497"/>
      <c r="J138" s="497"/>
      <c r="K138" s="497"/>
      <c r="L138" s="497"/>
      <c r="M138" s="497"/>
      <c r="N138" s="499"/>
      <c r="O138" s="499"/>
      <c r="P138" s="499"/>
      <c r="Q138" s="499"/>
      <c r="R138" s="499"/>
      <c r="S138" s="499"/>
      <c r="T138" s="499"/>
      <c r="U138" s="499"/>
    </row>
    <row r="139" spans="1:21" ht="17" x14ac:dyDescent="0.2">
      <c r="A139" s="509"/>
      <c r="B139" s="502" t="s">
        <v>355</v>
      </c>
      <c r="C139" s="496"/>
      <c r="D139" s="497"/>
      <c r="E139" s="497"/>
      <c r="F139" s="497"/>
      <c r="J139" s="497"/>
      <c r="K139" s="497"/>
      <c r="L139" s="497"/>
      <c r="M139" s="497"/>
      <c r="N139" s="499"/>
      <c r="O139" s="499"/>
      <c r="P139" s="499"/>
      <c r="Q139" s="499"/>
      <c r="R139" s="499"/>
      <c r="S139" s="499"/>
      <c r="T139" s="499"/>
      <c r="U139" s="499"/>
    </row>
    <row r="140" spans="1:21" ht="17" x14ac:dyDescent="0.2">
      <c r="A140" s="509"/>
      <c r="B140" s="502" t="s">
        <v>372</v>
      </c>
      <c r="C140" s="496"/>
      <c r="D140" s="497"/>
      <c r="E140" s="497"/>
      <c r="F140" s="497"/>
      <c r="J140" s="497"/>
      <c r="K140" s="497"/>
      <c r="L140" s="497"/>
      <c r="M140" s="497"/>
      <c r="N140" s="499"/>
      <c r="O140" s="499"/>
      <c r="P140" s="499"/>
      <c r="Q140" s="499"/>
      <c r="R140" s="499"/>
      <c r="S140" s="499"/>
      <c r="T140" s="499"/>
      <c r="U140" s="499"/>
    </row>
    <row r="141" spans="1:21" ht="17" x14ac:dyDescent="0.2">
      <c r="A141" s="509"/>
      <c r="B141" s="502" t="s">
        <v>378</v>
      </c>
      <c r="C141" s="496"/>
      <c r="D141" s="497"/>
      <c r="E141" s="497"/>
      <c r="F141" s="497"/>
      <c r="J141" s="497"/>
      <c r="K141" s="497"/>
      <c r="L141" s="497"/>
      <c r="M141" s="497"/>
      <c r="N141" s="499"/>
      <c r="O141" s="499"/>
      <c r="P141" s="499"/>
      <c r="Q141" s="499"/>
      <c r="R141" s="499"/>
      <c r="S141" s="499"/>
      <c r="T141" s="499"/>
      <c r="U141" s="499"/>
    </row>
    <row r="142" spans="1:21" ht="17" x14ac:dyDescent="0.2">
      <c r="A142" s="509"/>
      <c r="B142" s="501" t="s">
        <v>352</v>
      </c>
      <c r="C142" s="496"/>
      <c r="D142" s="497"/>
      <c r="E142" s="497"/>
      <c r="F142" s="497"/>
      <c r="J142" s="497"/>
      <c r="K142" s="497"/>
      <c r="L142" s="497"/>
      <c r="M142" s="497"/>
      <c r="N142" s="499"/>
      <c r="O142" s="499"/>
      <c r="P142" s="499"/>
      <c r="Q142" s="499"/>
      <c r="R142" s="499"/>
      <c r="S142" s="499"/>
      <c r="T142" s="499"/>
      <c r="U142" s="499"/>
    </row>
    <row r="143" spans="1:21" ht="17" x14ac:dyDescent="0.2">
      <c r="A143" s="512"/>
      <c r="B143" s="502" t="s">
        <v>388</v>
      </c>
      <c r="C143" s="496"/>
      <c r="D143" s="497"/>
      <c r="E143" s="497"/>
      <c r="F143" s="497"/>
      <c r="J143" s="497"/>
      <c r="K143" s="497"/>
      <c r="L143" s="497"/>
      <c r="M143" s="497"/>
      <c r="N143" s="499"/>
      <c r="O143" s="499"/>
      <c r="P143" s="499"/>
      <c r="Q143" s="499"/>
      <c r="R143" s="499"/>
      <c r="S143" s="499"/>
      <c r="T143" s="499"/>
      <c r="U143" s="499"/>
    </row>
    <row r="144" spans="1:21" ht="17" x14ac:dyDescent="0.2">
      <c r="A144" s="512"/>
      <c r="B144" s="501" t="s">
        <v>380</v>
      </c>
      <c r="C144" s="496"/>
      <c r="D144" s="497"/>
      <c r="E144" s="497"/>
      <c r="F144" s="497"/>
      <c r="J144" s="497"/>
      <c r="K144" s="497"/>
      <c r="L144" s="497"/>
      <c r="M144" s="497"/>
      <c r="N144" s="499"/>
      <c r="O144" s="499"/>
      <c r="P144" s="499"/>
      <c r="Q144" s="499"/>
      <c r="R144" s="499"/>
      <c r="S144" s="499"/>
      <c r="T144" s="499"/>
      <c r="U144" s="499"/>
    </row>
    <row r="145" spans="1:21" ht="17" x14ac:dyDescent="0.2">
      <c r="A145" s="509"/>
      <c r="B145" s="502" t="s">
        <v>461</v>
      </c>
      <c r="C145" s="496"/>
      <c r="D145" s="497"/>
      <c r="E145" s="497"/>
      <c r="F145" s="497"/>
      <c r="J145" s="497"/>
      <c r="K145" s="497"/>
      <c r="L145" s="497"/>
      <c r="M145" s="497"/>
      <c r="N145" s="499"/>
      <c r="O145" s="499"/>
      <c r="P145" s="499"/>
      <c r="Q145" s="499"/>
      <c r="R145" s="499"/>
      <c r="S145" s="499"/>
      <c r="T145" s="499"/>
      <c r="U145" s="499"/>
    </row>
    <row r="146" spans="1:21" ht="17" x14ac:dyDescent="0.2">
      <c r="A146" s="509"/>
      <c r="B146" s="513" t="s">
        <v>357</v>
      </c>
      <c r="N146" s="499"/>
      <c r="O146" s="499"/>
      <c r="P146" s="499"/>
      <c r="Q146" s="499"/>
      <c r="R146" s="499"/>
      <c r="S146" s="499"/>
      <c r="T146" s="499"/>
      <c r="U146" s="499"/>
    </row>
    <row r="147" spans="1:21" ht="17" x14ac:dyDescent="0.2">
      <c r="B147" s="501" t="s">
        <v>339</v>
      </c>
      <c r="N147" s="499"/>
      <c r="O147" s="499"/>
      <c r="P147" s="499"/>
      <c r="Q147" s="499"/>
      <c r="R147" s="499"/>
      <c r="S147" s="499"/>
      <c r="T147" s="499"/>
      <c r="U147" s="499"/>
    </row>
    <row r="148" spans="1:21" ht="18" thickBot="1" x14ac:dyDescent="0.25">
      <c r="B148" s="514" t="s">
        <v>340</v>
      </c>
      <c r="N148" s="499"/>
      <c r="O148" s="499"/>
      <c r="P148" s="499"/>
      <c r="Q148" s="499"/>
      <c r="R148" s="499"/>
      <c r="S148" s="499"/>
      <c r="T148" s="499"/>
      <c r="U148" s="499"/>
    </row>
    <row r="149" spans="1:21" ht="18" thickBot="1" x14ac:dyDescent="0.25">
      <c r="B149" s="500" t="s">
        <v>292</v>
      </c>
      <c r="N149" s="499"/>
      <c r="O149" s="499"/>
      <c r="P149" s="499"/>
      <c r="Q149" s="499"/>
      <c r="R149" s="499"/>
      <c r="S149" s="499"/>
      <c r="T149" s="499"/>
      <c r="U149" s="499"/>
    </row>
    <row r="150" spans="1:21" ht="17" x14ac:dyDescent="0.2">
      <c r="B150" s="510" t="s">
        <v>293</v>
      </c>
      <c r="N150" s="499"/>
      <c r="O150" s="499"/>
      <c r="P150" s="499"/>
      <c r="Q150" s="499"/>
      <c r="R150" s="499"/>
      <c r="S150" s="499"/>
      <c r="T150" s="499"/>
      <c r="U150" s="499"/>
    </row>
    <row r="151" spans="1:21" ht="17" x14ac:dyDescent="0.2">
      <c r="B151" s="502" t="s">
        <v>296</v>
      </c>
      <c r="N151" s="499"/>
      <c r="O151" s="499"/>
      <c r="P151" s="499"/>
      <c r="Q151" s="499"/>
      <c r="R151" s="499"/>
      <c r="S151" s="499"/>
      <c r="T151" s="499"/>
      <c r="U151" s="499"/>
    </row>
    <row r="152" spans="1:21" ht="17" x14ac:dyDescent="0.2">
      <c r="B152" s="502" t="s">
        <v>297</v>
      </c>
      <c r="N152" s="499"/>
      <c r="O152" s="499"/>
      <c r="P152" s="499"/>
      <c r="Q152" s="499"/>
      <c r="R152" s="499"/>
      <c r="S152" s="499"/>
      <c r="T152" s="499"/>
      <c r="U152" s="499"/>
    </row>
    <row r="153" spans="1:21" ht="17" x14ac:dyDescent="0.2">
      <c r="B153" s="502" t="s">
        <v>298</v>
      </c>
      <c r="N153" s="499"/>
      <c r="O153" s="499"/>
      <c r="P153" s="499"/>
      <c r="Q153" s="499"/>
      <c r="R153" s="499"/>
      <c r="S153" s="499"/>
      <c r="T153" s="499"/>
      <c r="U153" s="499"/>
    </row>
    <row r="154" spans="1:21" ht="17" x14ac:dyDescent="0.2">
      <c r="B154" s="501" t="s">
        <v>334</v>
      </c>
      <c r="N154" s="499"/>
      <c r="O154" s="499"/>
      <c r="P154" s="499"/>
      <c r="Q154" s="499"/>
      <c r="R154" s="499"/>
      <c r="S154" s="499"/>
      <c r="T154" s="499"/>
      <c r="U154" s="499"/>
    </row>
    <row r="155" spans="1:21" ht="17" x14ac:dyDescent="0.2">
      <c r="B155" s="502" t="s">
        <v>335</v>
      </c>
      <c r="N155" s="499"/>
      <c r="O155" s="499"/>
      <c r="P155" s="499"/>
      <c r="Q155" s="499"/>
      <c r="R155" s="499"/>
      <c r="S155" s="499"/>
      <c r="T155" s="499"/>
      <c r="U155" s="499"/>
    </row>
    <row r="156" spans="1:21" ht="17" x14ac:dyDescent="0.2">
      <c r="B156" s="501" t="s">
        <v>294</v>
      </c>
      <c r="N156" s="499"/>
      <c r="O156" s="499"/>
      <c r="P156" s="499"/>
      <c r="Q156" s="499"/>
      <c r="R156" s="499"/>
      <c r="S156" s="499"/>
      <c r="T156" s="499"/>
      <c r="U156" s="499"/>
    </row>
    <row r="157" spans="1:21" ht="18" thickBot="1" x14ac:dyDescent="0.25">
      <c r="B157" s="502" t="s">
        <v>295</v>
      </c>
      <c r="N157" s="499"/>
      <c r="O157" s="499"/>
      <c r="P157" s="499"/>
      <c r="Q157" s="499"/>
      <c r="R157" s="499"/>
      <c r="S157" s="499"/>
      <c r="T157" s="499"/>
      <c r="U157" s="499"/>
    </row>
    <row r="158" spans="1:21" ht="18" thickBot="1" x14ac:dyDescent="0.25">
      <c r="B158" s="500" t="s">
        <v>300</v>
      </c>
      <c r="N158" s="499"/>
      <c r="O158" s="499"/>
      <c r="P158" s="499"/>
      <c r="Q158" s="499"/>
      <c r="R158" s="499"/>
      <c r="S158" s="499"/>
      <c r="T158" s="499"/>
      <c r="U158" s="499"/>
    </row>
    <row r="159" spans="1:21" ht="17" x14ac:dyDescent="0.2">
      <c r="B159" s="510" t="s">
        <v>301</v>
      </c>
      <c r="N159" s="499"/>
      <c r="O159" s="499"/>
      <c r="P159" s="499"/>
      <c r="Q159" s="499"/>
      <c r="R159" s="499"/>
      <c r="S159" s="499"/>
      <c r="T159" s="499"/>
      <c r="U159" s="499"/>
    </row>
    <row r="160" spans="1:21" ht="17" x14ac:dyDescent="0.2">
      <c r="B160" s="502" t="s">
        <v>302</v>
      </c>
      <c r="N160" s="499"/>
      <c r="O160" s="499"/>
      <c r="P160" s="499"/>
      <c r="Q160" s="499"/>
      <c r="R160" s="499"/>
      <c r="S160" s="499"/>
      <c r="T160" s="499"/>
      <c r="U160" s="499"/>
    </row>
    <row r="161" spans="2:9" s="499" customFormat="1" ht="17" x14ac:dyDescent="0.2">
      <c r="B161" s="502" t="s">
        <v>303</v>
      </c>
      <c r="G161" s="498"/>
      <c r="H161" s="516"/>
      <c r="I161" s="516"/>
    </row>
    <row r="162" spans="2:9" s="499" customFormat="1" ht="17" x14ac:dyDescent="0.2">
      <c r="B162" s="501" t="s">
        <v>304</v>
      </c>
      <c r="G162" s="516"/>
      <c r="H162" s="516"/>
      <c r="I162" s="516"/>
    </row>
    <row r="163" spans="2:9" s="499" customFormat="1" ht="17" x14ac:dyDescent="0.2">
      <c r="B163" s="502" t="s">
        <v>305</v>
      </c>
      <c r="G163" s="516"/>
      <c r="H163" s="516"/>
      <c r="I163" s="516"/>
    </row>
    <row r="164" spans="2:9" s="499" customFormat="1" ht="17" x14ac:dyDescent="0.2">
      <c r="B164" s="502" t="s">
        <v>306</v>
      </c>
      <c r="G164" s="516"/>
      <c r="H164" s="516"/>
      <c r="I164" s="516"/>
    </row>
    <row r="165" spans="2:9" s="499" customFormat="1" ht="17" x14ac:dyDescent="0.2">
      <c r="B165" s="502" t="s">
        <v>307</v>
      </c>
      <c r="G165" s="516"/>
      <c r="H165" s="516"/>
      <c r="I165" s="516"/>
    </row>
    <row r="166" spans="2:9" s="499" customFormat="1" ht="17" x14ac:dyDescent="0.2">
      <c r="B166" s="502" t="s">
        <v>308</v>
      </c>
      <c r="G166" s="516"/>
      <c r="H166" s="516"/>
      <c r="I166" s="516"/>
    </row>
    <row r="167" spans="2:9" s="499" customFormat="1" ht="17" x14ac:dyDescent="0.2">
      <c r="B167" s="502" t="s">
        <v>309</v>
      </c>
      <c r="G167" s="516"/>
      <c r="H167" s="516"/>
      <c r="I167" s="516"/>
    </row>
    <row r="168" spans="2:9" s="499" customFormat="1" ht="17" x14ac:dyDescent="0.2">
      <c r="B168" s="502" t="s">
        <v>310</v>
      </c>
      <c r="G168" s="516"/>
      <c r="H168" s="516"/>
      <c r="I168" s="516"/>
    </row>
    <row r="169" spans="2:9" s="499" customFormat="1" ht="17" x14ac:dyDescent="0.2">
      <c r="B169" s="502" t="s">
        <v>311</v>
      </c>
      <c r="G169" s="516"/>
      <c r="H169" s="516"/>
      <c r="I169" s="516"/>
    </row>
    <row r="170" spans="2:9" s="499" customFormat="1" ht="17" x14ac:dyDescent="0.2">
      <c r="B170" s="501" t="s">
        <v>312</v>
      </c>
      <c r="G170" s="516"/>
      <c r="H170" s="516"/>
      <c r="I170" s="516"/>
    </row>
    <row r="171" spans="2:9" s="499" customFormat="1" ht="17" x14ac:dyDescent="0.2">
      <c r="B171" s="502" t="s">
        <v>313</v>
      </c>
      <c r="G171" s="516"/>
      <c r="H171" s="516"/>
      <c r="I171" s="516"/>
    </row>
    <row r="172" spans="2:9" s="499" customFormat="1" ht="17" x14ac:dyDescent="0.2">
      <c r="B172" s="501" t="s">
        <v>314</v>
      </c>
      <c r="G172" s="516"/>
      <c r="H172" s="516"/>
      <c r="I172" s="516"/>
    </row>
    <row r="173" spans="2:9" s="499" customFormat="1" ht="17" x14ac:dyDescent="0.2">
      <c r="B173" s="502" t="s">
        <v>315</v>
      </c>
      <c r="G173" s="516"/>
      <c r="H173" s="516"/>
      <c r="I173" s="516"/>
    </row>
    <row r="174" spans="2:9" s="499" customFormat="1" ht="34" x14ac:dyDescent="0.2">
      <c r="B174" s="502" t="s">
        <v>316</v>
      </c>
      <c r="G174" s="516"/>
      <c r="H174" s="516"/>
      <c r="I174" s="516"/>
    </row>
    <row r="175" spans="2:9" s="499" customFormat="1" ht="17" x14ac:dyDescent="0.2">
      <c r="B175" s="501" t="s">
        <v>317</v>
      </c>
      <c r="G175" s="516"/>
      <c r="H175" s="516"/>
      <c r="I175" s="516"/>
    </row>
    <row r="176" spans="2:9" s="499" customFormat="1" ht="17" x14ac:dyDescent="0.2">
      <c r="B176" s="502" t="s">
        <v>318</v>
      </c>
      <c r="G176" s="516"/>
      <c r="H176" s="516"/>
      <c r="I176" s="516"/>
    </row>
    <row r="177" spans="2:9" s="499" customFormat="1" ht="17" x14ac:dyDescent="0.2">
      <c r="B177" s="502" t="s">
        <v>319</v>
      </c>
      <c r="G177" s="516"/>
      <c r="H177" s="516"/>
      <c r="I177" s="516"/>
    </row>
    <row r="178" spans="2:9" s="499" customFormat="1" ht="17" x14ac:dyDescent="0.2">
      <c r="B178" s="501" t="s">
        <v>320</v>
      </c>
      <c r="G178" s="516"/>
      <c r="H178" s="516"/>
      <c r="I178" s="516"/>
    </row>
    <row r="179" spans="2:9" s="499" customFormat="1" ht="17" x14ac:dyDescent="0.2">
      <c r="B179" s="502" t="s">
        <v>321</v>
      </c>
      <c r="G179" s="516"/>
      <c r="H179" s="516"/>
      <c r="I179" s="516"/>
    </row>
    <row r="180" spans="2:9" s="499" customFormat="1" ht="17" x14ac:dyDescent="0.2">
      <c r="B180" s="502" t="s">
        <v>322</v>
      </c>
      <c r="G180" s="516"/>
      <c r="H180" s="516"/>
      <c r="I180" s="516"/>
    </row>
    <row r="181" spans="2:9" s="499" customFormat="1" ht="17" x14ac:dyDescent="0.2">
      <c r="B181" s="502" t="s">
        <v>323</v>
      </c>
      <c r="G181" s="516"/>
      <c r="H181" s="516"/>
      <c r="I181" s="516"/>
    </row>
    <row r="182" spans="2:9" s="499" customFormat="1" ht="17" x14ac:dyDescent="0.2">
      <c r="B182" s="501" t="s">
        <v>324</v>
      </c>
      <c r="G182" s="516"/>
      <c r="H182" s="516"/>
      <c r="I182" s="516"/>
    </row>
    <row r="183" spans="2:9" s="499" customFormat="1" ht="17" x14ac:dyDescent="0.2">
      <c r="B183" s="502" t="s">
        <v>325</v>
      </c>
      <c r="G183" s="516"/>
      <c r="H183" s="516"/>
      <c r="I183" s="516"/>
    </row>
    <row r="184" spans="2:9" s="499" customFormat="1" ht="17" x14ac:dyDescent="0.2">
      <c r="B184" s="502" t="s">
        <v>326</v>
      </c>
      <c r="G184" s="516"/>
      <c r="H184" s="516"/>
      <c r="I184" s="516"/>
    </row>
    <row r="185" spans="2:9" s="499" customFormat="1" ht="17" x14ac:dyDescent="0.2">
      <c r="B185" s="501" t="s">
        <v>327</v>
      </c>
      <c r="G185" s="516"/>
      <c r="H185" s="516"/>
      <c r="I185" s="516"/>
    </row>
    <row r="186" spans="2:9" s="499" customFormat="1" ht="17" x14ac:dyDescent="0.2">
      <c r="B186" s="502" t="s">
        <v>328</v>
      </c>
      <c r="G186" s="516"/>
      <c r="H186" s="516"/>
      <c r="I186" s="516"/>
    </row>
    <row r="187" spans="2:9" s="499" customFormat="1" ht="17" x14ac:dyDescent="0.2">
      <c r="B187" s="501" t="s">
        <v>329</v>
      </c>
      <c r="G187" s="516"/>
      <c r="H187" s="516"/>
      <c r="I187" s="516"/>
    </row>
    <row r="188" spans="2:9" s="499" customFormat="1" ht="17" x14ac:dyDescent="0.2">
      <c r="B188" s="502" t="s">
        <v>330</v>
      </c>
      <c r="G188" s="516"/>
      <c r="H188" s="516"/>
      <c r="I188" s="516"/>
    </row>
    <row r="189" spans="2:9" s="499" customFormat="1" ht="17" x14ac:dyDescent="0.2">
      <c r="B189" s="501" t="s">
        <v>331</v>
      </c>
      <c r="G189" s="516"/>
      <c r="H189" s="516"/>
      <c r="I189" s="516"/>
    </row>
    <row r="190" spans="2:9" s="499" customFormat="1" ht="17" x14ac:dyDescent="0.2">
      <c r="B190" s="502" t="s">
        <v>332</v>
      </c>
      <c r="G190" s="516"/>
      <c r="H190" s="516"/>
      <c r="I190" s="516"/>
    </row>
    <row r="191" spans="2:9" s="499" customFormat="1" ht="18" thickBot="1" x14ac:dyDescent="0.25">
      <c r="B191" s="517" t="s">
        <v>333</v>
      </c>
      <c r="G191" s="516"/>
      <c r="H191" s="516"/>
      <c r="I191" s="516"/>
    </row>
    <row r="192" spans="2:9" s="499" customFormat="1" x14ac:dyDescent="0.2">
      <c r="B192" s="495"/>
      <c r="G192" s="516"/>
      <c r="H192" s="516"/>
      <c r="I192" s="516"/>
    </row>
    <row r="193" spans="1:21" x14ac:dyDescent="0.2">
      <c r="A193" s="499"/>
      <c r="B193" s="102" t="str">
        <f ca="1">copyright</f>
        <v>Copyright © 2026 Michael Blank.</v>
      </c>
      <c r="C193" s="499"/>
      <c r="D193" s="499"/>
      <c r="E193" s="499"/>
      <c r="F193" s="499"/>
      <c r="G193" s="516"/>
      <c r="H193" s="516"/>
      <c r="I193" s="516"/>
      <c r="J193" s="499"/>
      <c r="K193" s="499"/>
      <c r="L193" s="499"/>
      <c r="M193" s="499"/>
      <c r="N193" s="499"/>
      <c r="O193" s="499"/>
      <c r="P193" s="499"/>
      <c r="Q193" s="499"/>
      <c r="R193" s="499"/>
      <c r="S193" s="499"/>
      <c r="T193" s="499"/>
      <c r="U193" s="499"/>
    </row>
    <row r="194" spans="1:21" x14ac:dyDescent="0.2">
      <c r="A194" s="499"/>
      <c r="B194" s="102" t="s">
        <v>124</v>
      </c>
      <c r="C194" s="499"/>
      <c r="D194" s="499"/>
      <c r="E194" s="499"/>
      <c r="F194" s="499"/>
      <c r="G194" s="516"/>
      <c r="H194" s="516"/>
      <c r="I194" s="516"/>
      <c r="J194" s="499"/>
      <c r="K194" s="499"/>
      <c r="L194" s="499"/>
      <c r="M194" s="499"/>
      <c r="N194" s="499"/>
      <c r="O194" s="499"/>
      <c r="P194" s="499"/>
      <c r="Q194" s="499"/>
      <c r="R194" s="499"/>
      <c r="S194" s="499"/>
      <c r="T194" s="499"/>
      <c r="U194" s="499"/>
    </row>
    <row r="195" spans="1:21" x14ac:dyDescent="0.2">
      <c r="A195" s="499"/>
      <c r="B195" s="495"/>
      <c r="C195" s="499"/>
      <c r="D195" s="499"/>
      <c r="E195" s="499"/>
      <c r="F195" s="499"/>
      <c r="G195" s="516"/>
      <c r="H195" s="516"/>
      <c r="I195" s="516"/>
      <c r="J195" s="499"/>
      <c r="K195" s="499"/>
      <c r="L195" s="499"/>
      <c r="M195" s="499"/>
      <c r="N195" s="499"/>
      <c r="O195" s="499"/>
      <c r="P195" s="499"/>
      <c r="Q195" s="499"/>
      <c r="R195" s="499"/>
      <c r="S195" s="499"/>
      <c r="T195" s="499"/>
      <c r="U195" s="499"/>
    </row>
    <row r="196" spans="1:21" x14ac:dyDescent="0.2">
      <c r="A196" s="499"/>
      <c r="B196" s="495"/>
      <c r="C196" s="499"/>
      <c r="D196" s="499"/>
      <c r="E196" s="499"/>
      <c r="F196" s="499"/>
      <c r="G196" s="516"/>
      <c r="H196" s="516"/>
      <c r="I196" s="516"/>
      <c r="J196" s="499"/>
      <c r="K196" s="499"/>
      <c r="L196" s="499"/>
      <c r="M196" s="499"/>
      <c r="N196" s="499"/>
      <c r="O196" s="499"/>
      <c r="P196" s="499"/>
      <c r="Q196" s="499"/>
      <c r="R196" s="499"/>
      <c r="S196" s="499"/>
      <c r="T196" s="499"/>
      <c r="U196" s="499"/>
    </row>
    <row r="197" spans="1:21" x14ac:dyDescent="0.2">
      <c r="A197" s="499"/>
      <c r="B197" s="495"/>
      <c r="C197" s="499"/>
      <c r="D197" s="499"/>
      <c r="E197" s="499"/>
      <c r="F197" s="499"/>
      <c r="G197" s="516"/>
      <c r="H197" s="516"/>
      <c r="I197" s="516"/>
      <c r="J197" s="499"/>
      <c r="K197" s="499"/>
      <c r="L197" s="499"/>
      <c r="M197" s="499"/>
      <c r="N197" s="499"/>
      <c r="O197" s="499"/>
      <c r="P197" s="499"/>
      <c r="Q197" s="499"/>
      <c r="R197" s="499"/>
      <c r="S197" s="499"/>
      <c r="T197" s="499"/>
      <c r="U197" s="499"/>
    </row>
    <row r="198" spans="1:21" x14ac:dyDescent="0.2">
      <c r="A198" s="499"/>
      <c r="B198" s="495"/>
      <c r="C198" s="499"/>
      <c r="D198" s="499"/>
      <c r="E198" s="499"/>
      <c r="F198" s="499"/>
      <c r="G198" s="516"/>
      <c r="H198" s="516"/>
      <c r="I198" s="516"/>
      <c r="J198" s="499"/>
      <c r="K198" s="499"/>
      <c r="L198" s="499"/>
      <c r="M198" s="499"/>
      <c r="N198" s="499"/>
      <c r="O198" s="499"/>
      <c r="P198" s="499"/>
      <c r="Q198" s="499"/>
      <c r="R198" s="499"/>
      <c r="S198" s="499"/>
      <c r="T198" s="499"/>
      <c r="U198" s="499"/>
    </row>
    <row r="199" spans="1:21" x14ac:dyDescent="0.2">
      <c r="A199" s="499"/>
      <c r="B199" s="495"/>
      <c r="C199" s="499"/>
      <c r="D199" s="499"/>
      <c r="E199" s="499"/>
      <c r="F199" s="499"/>
      <c r="G199" s="516"/>
      <c r="H199" s="516"/>
      <c r="I199" s="516"/>
      <c r="J199" s="499"/>
      <c r="K199" s="499"/>
      <c r="L199" s="499"/>
      <c r="M199" s="499"/>
      <c r="N199" s="499"/>
      <c r="O199" s="499"/>
      <c r="P199" s="499"/>
      <c r="Q199" s="499"/>
      <c r="R199" s="499"/>
      <c r="S199" s="499"/>
      <c r="T199" s="499"/>
      <c r="U199" s="499"/>
    </row>
    <row r="200" spans="1:21" x14ac:dyDescent="0.2">
      <c r="A200" s="499"/>
      <c r="B200" s="495"/>
      <c r="C200" s="499"/>
      <c r="D200" s="499"/>
      <c r="E200" s="499"/>
      <c r="F200" s="499"/>
      <c r="G200" s="516"/>
      <c r="H200" s="516"/>
      <c r="I200" s="516"/>
      <c r="J200" s="499"/>
      <c r="K200" s="499"/>
      <c r="L200" s="499"/>
      <c r="M200" s="499"/>
      <c r="N200" s="499"/>
      <c r="O200" s="499"/>
      <c r="P200" s="499"/>
      <c r="Q200" s="499"/>
      <c r="R200" s="499"/>
      <c r="S200" s="499"/>
      <c r="T200" s="499"/>
      <c r="U200" s="499"/>
    </row>
    <row r="201" spans="1:21" x14ac:dyDescent="0.2">
      <c r="A201" s="499"/>
      <c r="B201" s="495"/>
      <c r="C201" s="499"/>
      <c r="D201" s="499"/>
      <c r="E201" s="499"/>
      <c r="F201" s="499"/>
      <c r="G201" s="516"/>
      <c r="H201" s="516"/>
      <c r="I201" s="516"/>
      <c r="J201" s="499"/>
      <c r="K201" s="499"/>
      <c r="L201" s="499"/>
      <c r="M201" s="499"/>
      <c r="N201" s="499"/>
      <c r="O201" s="499"/>
      <c r="P201" s="499"/>
      <c r="Q201" s="499"/>
      <c r="R201" s="499"/>
      <c r="S201" s="499"/>
      <c r="T201" s="499"/>
      <c r="U201" s="499"/>
    </row>
    <row r="202" spans="1:21" x14ac:dyDescent="0.2">
      <c r="A202" s="499"/>
      <c r="B202" s="495"/>
      <c r="C202" s="499"/>
      <c r="D202" s="499"/>
      <c r="E202" s="499"/>
      <c r="F202" s="499"/>
      <c r="G202" s="516"/>
      <c r="H202" s="516"/>
      <c r="I202" s="516"/>
      <c r="J202" s="499"/>
      <c r="K202" s="499"/>
      <c r="L202" s="499"/>
      <c r="M202" s="499"/>
      <c r="N202" s="499"/>
      <c r="O202" s="499"/>
      <c r="P202" s="499"/>
      <c r="Q202" s="499"/>
      <c r="R202" s="499"/>
      <c r="S202" s="499"/>
      <c r="T202" s="499"/>
      <c r="U202" s="499"/>
    </row>
    <row r="203" spans="1:21" x14ac:dyDescent="0.2">
      <c r="A203" s="499"/>
      <c r="B203" s="495"/>
      <c r="C203" s="499"/>
      <c r="D203" s="499"/>
      <c r="E203" s="499"/>
      <c r="F203" s="499"/>
      <c r="G203" s="516"/>
      <c r="H203" s="516"/>
      <c r="I203" s="516"/>
      <c r="J203" s="499"/>
      <c r="K203" s="499"/>
      <c r="L203" s="499"/>
      <c r="M203" s="499"/>
      <c r="N203" s="499"/>
      <c r="O203" s="499"/>
      <c r="P203" s="499"/>
      <c r="Q203" s="499"/>
      <c r="R203" s="499"/>
      <c r="S203" s="499"/>
      <c r="T203" s="499"/>
      <c r="U203" s="499"/>
    </row>
    <row r="204" spans="1:21" x14ac:dyDescent="0.2">
      <c r="A204" s="499"/>
      <c r="B204" s="495"/>
      <c r="C204" s="499"/>
      <c r="D204" s="499"/>
      <c r="E204" s="499"/>
      <c r="F204" s="499"/>
      <c r="G204" s="516"/>
      <c r="H204" s="516"/>
      <c r="I204" s="516"/>
      <c r="J204" s="499"/>
      <c r="K204" s="499"/>
      <c r="L204" s="499"/>
      <c r="M204" s="499"/>
      <c r="N204" s="499"/>
      <c r="O204" s="499"/>
      <c r="P204" s="499"/>
      <c r="Q204" s="499"/>
      <c r="R204" s="499"/>
      <c r="S204" s="499"/>
      <c r="T204" s="499"/>
      <c r="U204" s="499"/>
    </row>
    <row r="205" spans="1:21" x14ac:dyDescent="0.2">
      <c r="A205" s="499"/>
      <c r="B205" s="495"/>
      <c r="C205" s="499"/>
      <c r="D205" s="499"/>
      <c r="E205" s="499"/>
      <c r="F205" s="499"/>
      <c r="G205" s="516"/>
      <c r="H205" s="516"/>
      <c r="I205" s="516"/>
      <c r="J205" s="499"/>
      <c r="K205" s="499"/>
      <c r="L205" s="499"/>
      <c r="M205" s="499"/>
      <c r="N205" s="499"/>
      <c r="O205" s="499"/>
      <c r="P205" s="499"/>
      <c r="Q205" s="499"/>
      <c r="R205" s="499"/>
      <c r="S205" s="499"/>
      <c r="T205" s="499"/>
      <c r="U205" s="499"/>
    </row>
    <row r="206" spans="1:21" x14ac:dyDescent="0.2">
      <c r="A206" s="499"/>
      <c r="B206" s="495"/>
      <c r="C206" s="499"/>
      <c r="D206" s="499"/>
      <c r="E206" s="499"/>
      <c r="F206" s="499"/>
      <c r="G206" s="516"/>
      <c r="H206" s="516"/>
      <c r="I206" s="516"/>
      <c r="J206" s="499"/>
      <c r="K206" s="499"/>
      <c r="L206" s="499"/>
      <c r="M206" s="499"/>
      <c r="N206" s="499"/>
      <c r="O206" s="499"/>
      <c r="P206" s="499"/>
      <c r="Q206" s="499"/>
      <c r="R206" s="499"/>
      <c r="S206" s="499"/>
      <c r="T206" s="499"/>
      <c r="U206" s="499"/>
    </row>
    <row r="207" spans="1:21" x14ac:dyDescent="0.2">
      <c r="A207" s="499"/>
      <c r="B207" s="495"/>
      <c r="C207" s="499"/>
      <c r="D207" s="499"/>
      <c r="E207" s="499"/>
      <c r="F207" s="499"/>
      <c r="G207" s="516"/>
      <c r="H207" s="516"/>
      <c r="I207" s="516"/>
      <c r="J207" s="499"/>
      <c r="K207" s="499"/>
      <c r="L207" s="499"/>
      <c r="M207" s="499"/>
      <c r="N207" s="499"/>
      <c r="O207" s="499"/>
      <c r="P207" s="499"/>
      <c r="Q207" s="499"/>
      <c r="R207" s="499"/>
      <c r="S207" s="499"/>
      <c r="T207" s="499"/>
      <c r="U207" s="499"/>
    </row>
    <row r="208" spans="1:21" x14ac:dyDescent="0.2">
      <c r="B208" s="495"/>
      <c r="G208" s="516"/>
    </row>
    <row r="209" spans="2:2" x14ac:dyDescent="0.2">
      <c r="B209" s="495"/>
    </row>
    <row r="210" spans="2:2" x14ac:dyDescent="0.2">
      <c r="B210" s="495"/>
    </row>
  </sheetData>
  <customSheetViews>
    <customSheetView guid="{A0B83632-25B5-FE44-8A66-2590D6BCDFDC}">
      <pageMargins left="0.75" right="0.75" top="1" bottom="1" header="0.5" footer="0.5"/>
      <pageSetup orientation="portrait" horizontalDpi="4294967293" verticalDpi="4294967293" r:id="rId1"/>
      <headerFooter alignWithMargins="0"/>
    </customSheetView>
  </customSheetViews>
  <phoneticPr fontId="37" type="noConversion"/>
  <pageMargins left="0.75" right="0.75" top="1" bottom="1" header="0.5" footer="0.5"/>
  <pageSetup orientation="portrait" horizontalDpi="4294967293" verticalDpi="4294967293" r:id="rId2"/>
  <headerFooter alignWithMargins="0"/>
  <cellWatches>
    <cellWatch r="F39"/>
  </cellWatche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4DD00-E8BA-D44E-9912-AE2ADB477168}">
  <sheetPr codeName="Sheet18"/>
  <dimension ref="B1:L31"/>
  <sheetViews>
    <sheetView showGridLines="0" workbookViewId="0">
      <selection activeCell="C14" sqref="B14:C14"/>
    </sheetView>
  </sheetViews>
  <sheetFormatPr baseColWidth="10" defaultRowHeight="16" x14ac:dyDescent="0.2"/>
  <cols>
    <col min="1" max="1" width="4.140625" customWidth="1"/>
    <col min="2" max="2" width="17.7109375" customWidth="1"/>
    <col min="3" max="3" width="11.85546875" customWidth="1"/>
    <col min="4" max="4" width="10.7109375" customWidth="1"/>
    <col min="5" max="6" width="103.85546875" customWidth="1"/>
    <col min="7" max="13" width="32.140625" customWidth="1"/>
  </cols>
  <sheetData>
    <row r="1" spans="2:12" ht="20" x14ac:dyDescent="0.2">
      <c r="B1" s="1223" t="s">
        <v>550</v>
      </c>
      <c r="C1" s="1223"/>
      <c r="D1" s="1223"/>
    </row>
    <row r="3" spans="2:12" ht="17" x14ac:dyDescent="0.2">
      <c r="B3" s="637" t="s">
        <v>493</v>
      </c>
      <c r="C3" s="637" t="s">
        <v>260</v>
      </c>
      <c r="D3" s="637" t="s">
        <v>261</v>
      </c>
      <c r="E3" s="638" t="s">
        <v>266</v>
      </c>
      <c r="F3" s="638" t="s">
        <v>265</v>
      </c>
      <c r="G3" s="497"/>
      <c r="H3" s="497"/>
      <c r="I3" s="499"/>
      <c r="J3" s="499"/>
      <c r="K3" s="499"/>
      <c r="L3" s="499"/>
    </row>
    <row r="4" spans="2:12" ht="17" x14ac:dyDescent="0.2">
      <c r="B4" s="639" t="s">
        <v>486</v>
      </c>
      <c r="C4" s="640">
        <v>1.25</v>
      </c>
      <c r="D4" s="640">
        <v>1.25</v>
      </c>
      <c r="E4" s="260" t="str">
        <f>CONCATENATE("The 'Debt Coverage Ratio' is low (Summary tab, Line 38). It should be at least ",About!C5," in the first year.")</f>
        <v>The 'Debt Coverage Ratio' is low (Summary tab, Line 38). It should be at least 1.25 in the first year.</v>
      </c>
      <c r="F4" s="260" t="str">
        <f>CONCATENATE("Nice job! Since the Debt Coverage Ratio is at least ",About!C5," in the first year, you're more likely to qualify for financing.")</f>
        <v>Nice job! Since the Debt Coverage Ratio is at least 1.25 in the first year, you're more likely to qualify for financing.</v>
      </c>
      <c r="G4" s="497"/>
      <c r="H4" s="497"/>
      <c r="I4" s="499"/>
      <c r="J4" s="499"/>
      <c r="K4" s="499"/>
      <c r="L4" s="499"/>
    </row>
    <row r="5" spans="2:12" ht="17" x14ac:dyDescent="0.2">
      <c r="B5" s="639" t="s">
        <v>487</v>
      </c>
      <c r="C5" s="641">
        <v>0.15</v>
      </c>
      <c r="D5" s="641">
        <v>0.13</v>
      </c>
      <c r="E5" s="642" t="str">
        <f>CONCATENATE(IF(F17="Yes","",""), "The AAR is low. It should be at least ", TEXT(About!C6,"0.0%")," or it will be tough to sell the deal to investors.")</f>
        <v>The AAR is low. It should be at least 15.0% or it will be tough to sell the deal to investors.</v>
      </c>
      <c r="F5" s="642" t="str">
        <f>CONCATENATE(IF(F17="Yes","",""), "Your AAR looks great! Since it's at least ",TEXT(About!C6,"0.0%")," it will be a lot easier to sell to investors.")</f>
        <v>Your AAR looks great! Since it's at least 15.0% it will be a lot easier to sell to investors.</v>
      </c>
      <c r="G5" s="497"/>
      <c r="H5" s="497"/>
      <c r="I5" s="499"/>
      <c r="J5" s="499"/>
      <c r="K5" s="499"/>
      <c r="L5" s="499"/>
    </row>
    <row r="6" spans="2:12" ht="17" x14ac:dyDescent="0.2">
      <c r="B6" s="639" t="s">
        <v>9</v>
      </c>
      <c r="C6" s="641">
        <v>0.14000000000000001</v>
      </c>
      <c r="D6" s="641">
        <v>0.12</v>
      </c>
      <c r="E6" s="642" t="str">
        <f>CONCATENATE("The IRR is low. It should be at least ",TEXT(About!C7,"0.0%"),".")</f>
        <v>The IRR is low. It should be at least 14.0%.</v>
      </c>
      <c r="F6" s="642" t="str">
        <f>CONCATENATE("This is a solid IRR since it's at least ",TEXT(About!C7,"0.0%"),".")</f>
        <v>This is a solid IRR since it's at least 14.0%.</v>
      </c>
      <c r="G6" s="497"/>
      <c r="H6" s="497"/>
      <c r="I6" s="499"/>
      <c r="J6" s="499"/>
      <c r="K6" s="499"/>
      <c r="L6" s="499"/>
    </row>
    <row r="7" spans="2:12" ht="17" x14ac:dyDescent="0.2">
      <c r="B7" s="639" t="s">
        <v>506</v>
      </c>
      <c r="C7" s="641">
        <v>0.5</v>
      </c>
      <c r="D7" s="641">
        <v>0.5</v>
      </c>
      <c r="E7" s="643" t="str">
        <f>CONCATENATE("The expenses appear low. They should be at least ",TEXT(About!C8,"0%")," of Total Net Income.")</f>
        <v>The expenses appear low. They should be at least 50% of Total Net Income.</v>
      </c>
      <c r="F7" s="643" t="str">
        <f>CONCATENATE("Good job with the expenses! They're conservative since they're at least ",TEXT(About!C8,"0%")," of Total Net Income.")</f>
        <v>Good job with the expenses! They're conservative since they're at least 50% of Total Net Income.</v>
      </c>
      <c r="G7" s="497"/>
      <c r="H7" s="497"/>
      <c r="I7" s="499"/>
      <c r="J7" s="499"/>
      <c r="K7" s="499"/>
      <c r="L7" s="499"/>
    </row>
    <row r="8" spans="2:12" ht="17" x14ac:dyDescent="0.2">
      <c r="B8" s="639" t="s">
        <v>488</v>
      </c>
      <c r="C8" s="641">
        <v>0.6</v>
      </c>
      <c r="D8" s="641">
        <v>0.6</v>
      </c>
      <c r="E8" s="643" t="str">
        <f>CONCATENATE("The capital returned to the investors is low. You should return at least ",TEXT(About!C9,"0%"), " or it's not really worth refinancing.")</f>
        <v>The capital returned to the investors is low. You should return at least 60% or it's not really worth refinancing.</v>
      </c>
      <c r="F8" s="643" t="str">
        <f>CONCATENATE("This looks like a pretty good refinance since you're returning at least ",TEXT(About!C9,"0%"), " of the investor capital. They'll be pleased!")</f>
        <v>This looks like a pretty good refinance since you're returning at least 60% of the investor capital. They'll be pleased!</v>
      </c>
      <c r="G8" s="497"/>
      <c r="H8" s="497"/>
      <c r="I8" s="499"/>
      <c r="J8" s="499"/>
      <c r="K8" s="499"/>
      <c r="L8" s="499"/>
    </row>
    <row r="9" spans="2:12" ht="17" x14ac:dyDescent="0.2">
      <c r="B9" s="639" t="s">
        <v>489</v>
      </c>
      <c r="C9" s="641">
        <v>7.0000000000000007E-2</v>
      </c>
      <c r="D9" s="641">
        <v>7.0000000000000007E-2</v>
      </c>
      <c r="E9" s="643" t="str">
        <f>CONCATENATE("The average Cash on Cash Return ", IF(Variables!F18="Yes"," (Before Refinance)",""), " is low. It should be at least ",TEXT(About!C10,"0.0%")," over the life of the investment.")</f>
        <v>The average Cash on Cash Return  is low. It should be at least 7.0% over the life of the investment.</v>
      </c>
      <c r="F9" s="643" t="str">
        <f>CONCATENATE("The average Cash on Cash Return ",IF(Variables!F18="Yes","(Before Refinance) ",""),"looks good since it's at least ",TEXT(About!C10,"0.0%"),IF(Variables!F18="Yes"," before the Refinance.",CONCATENATE(" over the ",year_sale," years of the investment.")))</f>
        <v>The average Cash on Cash Return looks good since it's at least 7.0% over the 5 years of the investment.</v>
      </c>
      <c r="G9" s="497"/>
      <c r="H9" s="497"/>
      <c r="I9" s="499"/>
      <c r="J9" s="499"/>
      <c r="K9" s="499"/>
      <c r="L9" s="499"/>
    </row>
    <row r="10" spans="2:12" ht="17" x14ac:dyDescent="0.2">
      <c r="B10" s="639" t="s">
        <v>490</v>
      </c>
      <c r="C10" s="644">
        <f>250*Summary!D4</f>
        <v>0</v>
      </c>
      <c r="D10" s="644">
        <f>250*Summary!D4</f>
        <v>0</v>
      </c>
      <c r="E10" s="643" t="str">
        <f>CONCATENATE("You should have at least $250/unit/year (",TEXT(About!C11,"$0"),") in Replacement Reserves in the P&amp;L Tab")</f>
        <v>You should have at least $250/unit/year ($0) in Replacement Reserves in the P&amp;L Tab</v>
      </c>
      <c r="F10" s="643" t="str">
        <f>CONCATENATE("Nice job putting at least $250/unit/year (",TEXT(About!D11,"$0"),") in Replacement Reserves in the P&amp;L Tab")</f>
        <v>Nice job putting at least $250/unit/year ($0) in Replacement Reserves in the P&amp;L Tab</v>
      </c>
      <c r="G10" s="497"/>
      <c r="H10" s="497"/>
      <c r="I10" s="499"/>
      <c r="J10" s="499"/>
      <c r="K10" s="499"/>
      <c r="L10" s="499"/>
    </row>
    <row r="11" spans="2:12" ht="17" x14ac:dyDescent="0.2">
      <c r="B11" s="639" t="s">
        <v>491</v>
      </c>
      <c r="C11" s="503">
        <f>(Summary!D4*1000)</f>
        <v>0</v>
      </c>
      <c r="D11" s="503">
        <f>(Summary!D4*1000)</f>
        <v>0</v>
      </c>
      <c r="E11" s="642" t="str">
        <f>CONCATENATE("Reserves should include at least $1,000/unit (or ",TEXT(Summary!D4*1000,"$0"),")")</f>
        <v>Reserves should include at least $1,000/unit (or $0)</v>
      </c>
      <c r="F11" s="642" t="s">
        <v>262</v>
      </c>
      <c r="G11" s="497"/>
      <c r="H11" s="497"/>
      <c r="I11" s="499"/>
      <c r="J11" s="499"/>
      <c r="K11" s="499"/>
      <c r="L11" s="499"/>
    </row>
    <row r="12" spans="2:12" ht="34" x14ac:dyDescent="0.2">
      <c r="B12" s="639" t="s">
        <v>499</v>
      </c>
      <c r="C12" s="642" t="s">
        <v>204</v>
      </c>
      <c r="D12" s="642" t="s">
        <v>204</v>
      </c>
      <c r="E12" s="643" t="s">
        <v>272</v>
      </c>
      <c r="F12" s="642" t="s">
        <v>271</v>
      </c>
      <c r="G12" s="497"/>
      <c r="H12" s="497"/>
      <c r="I12" s="499"/>
      <c r="J12" s="499"/>
      <c r="K12" s="499"/>
      <c r="L12" s="499"/>
    </row>
    <row r="13" spans="2:12" ht="17" x14ac:dyDescent="0.2">
      <c r="B13" s="639" t="s">
        <v>492</v>
      </c>
      <c r="C13" s="503">
        <v>1000000</v>
      </c>
      <c r="D13" s="503">
        <v>1000000</v>
      </c>
      <c r="E13" s="643" t="s">
        <v>403</v>
      </c>
      <c r="F13" s="643" t="s">
        <v>404</v>
      </c>
      <c r="G13" s="497"/>
      <c r="H13" s="497"/>
      <c r="I13" s="499"/>
      <c r="J13" s="499"/>
      <c r="K13" s="499"/>
      <c r="L13" s="499"/>
    </row>
    <row r="14" spans="2:12" x14ac:dyDescent="0.2">
      <c r="D14" s="641"/>
      <c r="E14" s="642"/>
      <c r="F14" s="642"/>
      <c r="G14" s="497"/>
      <c r="H14" s="497"/>
      <c r="I14" s="499"/>
      <c r="J14" s="499"/>
      <c r="K14" s="499"/>
      <c r="L14" s="499"/>
    </row>
    <row r="15" spans="2:12" x14ac:dyDescent="0.2">
      <c r="B15" s="639"/>
      <c r="C15" s="498"/>
      <c r="D15" s="498"/>
      <c r="E15" s="497"/>
      <c r="F15" s="497"/>
      <c r="G15" s="497"/>
      <c r="H15" s="497"/>
      <c r="I15" s="499"/>
      <c r="J15" s="499"/>
      <c r="K15" s="499"/>
      <c r="L15" s="499"/>
    </row>
    <row r="16" spans="2:12" ht="17" x14ac:dyDescent="0.2">
      <c r="B16" s="516"/>
      <c r="C16" s="641"/>
      <c r="D16" s="641"/>
      <c r="E16" s="645" t="s">
        <v>282</v>
      </c>
      <c r="F16" s="642"/>
      <c r="G16" s="497"/>
      <c r="H16" s="497"/>
      <c r="I16" s="499"/>
      <c r="J16" s="499"/>
      <c r="K16" s="499"/>
      <c r="L16" s="499"/>
    </row>
    <row r="17" spans="5:12" ht="17" x14ac:dyDescent="0.2">
      <c r="E17" s="639" t="s">
        <v>279</v>
      </c>
      <c r="F17" s="639" t="str">
        <f>IF(NOT(year_refi="NA"),"Yes","No")</f>
        <v>No</v>
      </c>
      <c r="G17" s="498"/>
      <c r="H17" s="497"/>
      <c r="I17" s="497"/>
      <c r="J17" s="497"/>
      <c r="K17" s="497"/>
      <c r="L17" s="499"/>
    </row>
    <row r="18" spans="5:12" ht="17" x14ac:dyDescent="0.2">
      <c r="E18" s="639" t="s">
        <v>278</v>
      </c>
      <c r="F18" s="639" t="str">
        <f>IF(AND(NOT(year_refi="NA"),'Exit Strategy'!$D$22=0),"Yes","No")</f>
        <v>No</v>
      </c>
      <c r="G18" s="498"/>
      <c r="H18" s="497"/>
      <c r="I18" s="497"/>
      <c r="J18" s="497"/>
      <c r="K18" s="497"/>
      <c r="L18" s="499"/>
    </row>
    <row r="19" spans="5:12" x14ac:dyDescent="0.2">
      <c r="E19" s="639"/>
      <c r="F19" s="498"/>
      <c r="G19" s="498"/>
      <c r="H19" s="497"/>
      <c r="I19" s="497"/>
      <c r="J19" s="497"/>
      <c r="K19" s="497"/>
      <c r="L19" s="499"/>
    </row>
    <row r="20" spans="5:12" ht="17" x14ac:dyDescent="0.2">
      <c r="E20" s="498"/>
      <c r="F20" s="498" t="s">
        <v>212</v>
      </c>
      <c r="G20" s="498" t="s">
        <v>205</v>
      </c>
      <c r="H20" s="498" t="s">
        <v>206</v>
      </c>
      <c r="I20" s="498" t="s">
        <v>207</v>
      </c>
      <c r="J20" s="498" t="s">
        <v>210</v>
      </c>
      <c r="K20" s="498" t="s">
        <v>211</v>
      </c>
      <c r="L20" s="498" t="s">
        <v>208</v>
      </c>
    </row>
    <row r="21" spans="5:12" ht="51" x14ac:dyDescent="0.2">
      <c r="E21" s="498" t="s">
        <v>209</v>
      </c>
      <c r="F21" s="498" t="s">
        <v>253</v>
      </c>
      <c r="G21" s="498" t="s">
        <v>213</v>
      </c>
      <c r="H21" s="498" t="s">
        <v>214</v>
      </c>
      <c r="I21" s="498" t="s">
        <v>215</v>
      </c>
      <c r="J21" s="498" t="s">
        <v>216</v>
      </c>
      <c r="K21" s="498" t="s">
        <v>230</v>
      </c>
      <c r="L21" s="498" t="s">
        <v>217</v>
      </c>
    </row>
    <row r="22" spans="5:12" x14ac:dyDescent="0.2">
      <c r="E22" s="497"/>
      <c r="F22" s="498"/>
      <c r="G22" s="497"/>
      <c r="H22" s="497"/>
      <c r="I22" s="497"/>
      <c r="J22" s="497"/>
      <c r="K22" s="497"/>
      <c r="L22" s="497"/>
    </row>
    <row r="23" spans="5:12" ht="17" x14ac:dyDescent="0.2">
      <c r="E23" s="497"/>
      <c r="F23" s="498" t="s">
        <v>267</v>
      </c>
      <c r="G23" s="497"/>
      <c r="H23" s="497"/>
      <c r="I23" s="497"/>
      <c r="J23" s="497"/>
      <c r="K23" s="497"/>
      <c r="L23" s="497"/>
    </row>
    <row r="24" spans="5:12" ht="17" x14ac:dyDescent="0.2">
      <c r="E24" s="498" t="s">
        <v>226</v>
      </c>
      <c r="F24" s="498"/>
      <c r="G24" s="497"/>
      <c r="H24" s="497"/>
      <c r="I24" s="497"/>
      <c r="J24" s="497"/>
      <c r="K24" s="497"/>
      <c r="L24" s="497"/>
    </row>
    <row r="25" spans="5:12" ht="17" x14ac:dyDescent="0.2">
      <c r="E25" s="497"/>
      <c r="F25" s="498" t="s">
        <v>227</v>
      </c>
      <c r="G25" s="497"/>
      <c r="H25" s="497"/>
      <c r="I25" s="497"/>
      <c r="J25" s="497"/>
      <c r="K25" s="497"/>
      <c r="L25" s="497"/>
    </row>
    <row r="26" spans="5:12" ht="17" x14ac:dyDescent="0.2">
      <c r="E26" s="498" t="s">
        <v>268</v>
      </c>
      <c r="F26" s="498" t="s">
        <v>260</v>
      </c>
      <c r="G26" s="498" t="s">
        <v>261</v>
      </c>
      <c r="H26" s="497"/>
      <c r="I26" s="497"/>
      <c r="J26" s="497"/>
      <c r="K26" s="497"/>
      <c r="L26" s="497"/>
    </row>
    <row r="27" spans="5:12" ht="34" x14ac:dyDescent="0.2">
      <c r="E27" s="498" t="s">
        <v>209</v>
      </c>
      <c r="F27" s="498" t="s">
        <v>269</v>
      </c>
      <c r="G27" s="497"/>
      <c r="H27" s="497"/>
      <c r="I27" s="497"/>
      <c r="J27" s="497"/>
      <c r="K27" s="497"/>
      <c r="L27" s="497"/>
    </row>
    <row r="28" spans="5:12" ht="34" x14ac:dyDescent="0.2">
      <c r="E28" s="498" t="s">
        <v>348</v>
      </c>
      <c r="F28" s="498" t="s">
        <v>204</v>
      </c>
      <c r="G28" s="498" t="s">
        <v>203</v>
      </c>
      <c r="H28" s="497"/>
      <c r="I28" s="497"/>
      <c r="J28" s="497"/>
      <c r="K28" s="497"/>
      <c r="L28" s="497"/>
    </row>
    <row r="29" spans="5:12" ht="17" x14ac:dyDescent="0.2">
      <c r="E29" s="498" t="s">
        <v>209</v>
      </c>
      <c r="F29" s="498"/>
      <c r="G29" s="498"/>
      <c r="H29" s="497"/>
      <c r="I29" s="497"/>
      <c r="J29" s="497"/>
      <c r="K29" s="497"/>
      <c r="L29" s="497"/>
    </row>
    <row r="30" spans="5:12" ht="34" x14ac:dyDescent="0.2">
      <c r="E30" s="498"/>
      <c r="F30" s="498" t="s">
        <v>270</v>
      </c>
      <c r="G30" s="497"/>
      <c r="H30" s="497"/>
      <c r="I30" s="497"/>
      <c r="J30" s="497"/>
      <c r="K30" s="497"/>
      <c r="L30" s="497"/>
    </row>
    <row r="31" spans="5:12" ht="17" x14ac:dyDescent="0.2">
      <c r="E31" s="498" t="s">
        <v>291</v>
      </c>
      <c r="F31" s="646"/>
      <c r="G31" s="498"/>
      <c r="H31" s="497"/>
      <c r="I31" s="497"/>
      <c r="J31" s="497"/>
      <c r="K31" s="497"/>
      <c r="L31" s="499"/>
    </row>
  </sheetData>
  <mergeCells count="1">
    <mergeCell ref="B1:D1"/>
  </mergeCells>
  <pageMargins left="0.7" right="0.7" top="0.75" bottom="0.75" header="0.3" footer="0.3"/>
  <pageSetup orientation="portrait" horizontalDpi="0" verticalDpi="0"/>
  <cellWatches>
    <cellWatch r="F9"/>
  </cellWatches>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19</vt:i4>
      </vt:variant>
      <vt:variant>
        <vt:lpstr>Named Ranges</vt:lpstr>
      </vt:variant>
      <vt:variant>
        <vt:i4>22</vt:i4>
      </vt:variant>
    </vt:vector>
  </HeadingPairs>
  <TitlesOfParts>
    <vt:vector size="41" baseType="lpstr">
      <vt:lpstr>Welcome</vt:lpstr>
      <vt:lpstr>About</vt:lpstr>
      <vt:lpstr>Scenarios</vt:lpstr>
      <vt:lpstr>Summary</vt:lpstr>
      <vt:lpstr>Acquisition Costs</vt:lpstr>
      <vt:lpstr>P&amp;L</vt:lpstr>
      <vt:lpstr>Exit Strategy</vt:lpstr>
      <vt:lpstr>Returns</vt:lpstr>
      <vt:lpstr>IRR</vt:lpstr>
      <vt:lpstr>Loans</vt:lpstr>
      <vt:lpstr>1st Mortgage 1</vt:lpstr>
      <vt:lpstr>2nd Mortgage 1</vt:lpstr>
      <vt:lpstr>1st Mortgage Re-Fi</vt:lpstr>
      <vt:lpstr>Repairs</vt:lpstr>
      <vt:lpstr>One Pager</vt:lpstr>
      <vt:lpstr>2-Minute Analysis</vt:lpstr>
      <vt:lpstr>Legal Notices</vt:lpstr>
      <vt:lpstr>Change Log</vt:lpstr>
      <vt:lpstr>Variables</vt:lpstr>
      <vt:lpstr>copyright</vt:lpstr>
      <vt:lpstr>'1st Mortgage 1'!Print_Area</vt:lpstr>
      <vt:lpstr>'1st Mortgage Re-Fi'!Print_Area</vt:lpstr>
      <vt:lpstr>'2nd Mortgage 1'!Print_Area</vt:lpstr>
      <vt:lpstr>About!Print_Area</vt:lpstr>
      <vt:lpstr>'Acquisition Costs'!Print_Area</vt:lpstr>
      <vt:lpstr>'Exit Strategy'!Print_Area</vt:lpstr>
      <vt:lpstr>Loans!Print_Area</vt:lpstr>
      <vt:lpstr>'One Pager'!Print_Area</vt:lpstr>
      <vt:lpstr>Repairs!Print_Area</vt:lpstr>
      <vt:lpstr>Scenarios!Print_Area</vt:lpstr>
      <vt:lpstr>var_AAR</vt:lpstr>
      <vt:lpstr>var_averageCoC</vt:lpstr>
      <vt:lpstr>var_capRateBump</vt:lpstr>
      <vt:lpstr>var_DSCR</vt:lpstr>
      <vt:lpstr>var_expensePercentage</vt:lpstr>
      <vt:lpstr>var_IRR</vt:lpstr>
      <vt:lpstr>var_operatingReserves</vt:lpstr>
      <vt:lpstr>var_returnCapitalPercentage</vt:lpstr>
      <vt:lpstr>var_totalLoan</vt:lpstr>
      <vt:lpstr>year_refi</vt:lpstr>
      <vt:lpstr>year_sale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Blank</dc:creator>
  <cp:lastModifiedBy>Jacob Johnson</cp:lastModifiedBy>
  <cp:lastPrinted>2026-06-05T21:42:39Z</cp:lastPrinted>
  <dcterms:created xsi:type="dcterms:W3CDTF">2005-07-07T23:17:51Z</dcterms:created>
  <dcterms:modified xsi:type="dcterms:W3CDTF">2026-07-09T19:17:36Z</dcterms:modified>
</cp:coreProperties>
</file>