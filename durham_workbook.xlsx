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7174b81b7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8ce8cdc9b94f69"/>
    <x:sheet xmlns:r="http://schemas.openxmlformats.org/officeDocument/2006/relationships" name="Neighborhood Deep Dive" sheetId="2" r:id="Rac9899fd1a144b17"/>
    <x:sheet xmlns:r="http://schemas.openxmlformats.org/officeDocument/2006/relationships" name="Buy Box" sheetId="3" r:id="R53cf7de187c643f4"/>
    <x:sheet xmlns:r="http://schemas.openxmlformats.org/officeDocument/2006/relationships" name="Buy Box Scorecard" sheetId="4" r:id="R699e09fcac924721"/>
    <x:sheet xmlns:r="http://schemas.openxmlformats.org/officeDocument/2006/relationships" name="Screening Checklist" sheetId="5" r:id="Rd5ecbea121a64232"/>
    <x:sheet xmlns:r="http://schemas.openxmlformats.org/officeDocument/2006/relationships" name="Diligence Questions" sheetId="6" r:id="R683e057909b24c07"/>
    <x:sheet xmlns:r="http://schemas.openxmlformats.org/officeDocument/2006/relationships" name="100-Day Plan" sheetId="7" r:id="Rd5cc97ef207c40f4"/>
    <x:sheet xmlns:r="http://schemas.openxmlformats.org/officeDocument/2006/relationships" name="Broker Tracker" sheetId="8" r:id="Rffb70ddf6ca94f3b"/>
    <x:sheet xmlns:r="http://schemas.openxmlformats.org/officeDocument/2006/relationships" name="Source Log" sheetId="9" r:id="R5fa76372027841b8"/>
  </x:sheets>
  <x:definedNames>
    <x:definedName name="_xlnm._FilterDatabase" localSheetId="1" hidden="1">'Neighborhood Deep Dive'!$A$4:$Q$14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Basis proxy only. Use for neighborhood comparison, not direct multifamily valuation.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"/>
    <x:numFmt numFmtId="165" formatCode="0.0%;[Red](0.0%)"/>
    <x:numFmt numFmtId="166" formatCode="0.0%"/>
    <x:numFmt numFmtId="167" formatCode="0.0"/>
  </x:numFmts>
  <x:fonts count="12">
    <x:font>
      <x:sz val="11"/>
      <x:color theme="1"/>
      <x:name val="Calibri"/>
      <x:family val="2"/>
      <x:scheme val="minor"/>
    </x:font>
    <x:font>
      <x:b/>
      <x:sz val="18"/>
      <x:color rgb="00173F5F"/>
    </x:font>
    <x:font>
      <x:i/>
      <x:color rgb="00666666"/>
    </x:font>
    <x:font>
      <x:b/>
      <x:sz val="11"/>
      <x:color rgb="00173F5F"/>
    </x:font>
    <x:font>
      <x:b/>
      <x:sz val="16"/>
      <x:color rgb="00173F5F"/>
    </x:font>
    <x:font>
      <x:b/>
      <x:sz val="11"/>
      <x:color rgb="00FFFFFF"/>
    </x:font>
    <x:font>
      <x:sz val="10"/>
      <x:color rgb="00000000"/>
    </x:font>
    <x:font>
      <x:b/>
      <x:color rgb="00666666"/>
    </x:font>
    <x:font>
      <x:sz val="10"/>
      <x:color rgb="000000FF"/>
    </x:font>
    <x:font>
      <x:sz val="10"/>
      <x:color rgb="00666666"/>
    </x:font>
    <x:font>
      <x:b/>
      <x:sz val="12"/>
      <x:color rgb="00173F5F"/>
    </x:font>
    <x:font>
      <x:b/>
      <x:color rgb="00173F5F"/>
    </x:font>
  </x:fonts>
  <x:fills count="5">
    <x:fill>
      <x:patternFill patternType="none"/>
    </x:fill>
    <x:fill>
      <x:patternFill patternType="gray125"/>
    </x:fill>
    <x:fill>
      <x:patternFill patternType="solid">
        <x:fgColor rgb="00173F5F"/>
      </x:patternFill>
    </x:fill>
    <x:fill>
      <x:patternFill patternType="solid">
        <x:fgColor rgb="00E8F0FE"/>
      </x:patternFill>
    </x:fill>
    <x:fill>
      <x:patternFill patternType="solid">
        <x:fgColor rgb="00EAF5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wrapText="1"/>
    </x:xf>
    <x:xf numFmtId="0" fontId="3" fillId="0" borderId="0" xfId="0"/>
    <x:xf numFmtId="0" fontId="4" fillId="0" borderId="0" xfId="0"/>
    <x:xf numFmtId="0" fontId="5" fillId="2" borderId="0" xfId="0" applyAlignment="1">
      <x:alignment horizontal="center" vertical="center" wrapText="1"/>
    </x:xf>
    <x:xf numFmtId="0" fontId="6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2" fontId="6" fillId="0" borderId="0" xfId="0" applyAlignment="1">
      <x:alignment vertical="top" wrapText="1"/>
    </x:xf>
    <x:xf numFmtId="0" fontId="7" fillId="0" borderId="0" xfId="0"/>
    <x:xf numFmtId="1" fontId="8" fillId="0" borderId="0" xfId="0"/>
    <x:xf numFmtId="164" fontId="8" fillId="0" borderId="0" xfId="0"/>
    <x:xf numFmtId="2" fontId="8" fillId="0" borderId="0" xfId="0"/>
    <x:xf numFmtId="0" fontId="4" fillId="0" borderId="0" xfId="0" applyAlignment="1">
      <x:alignment vertical="top" wrapText="1"/>
    </x:xf>
    <x:xf numFmtId="0" fontId="0" fillId="0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8" fillId="3" borderId="0" xfId="0" applyAlignment="1">
      <x:alignment vertical="center" wrapText="1"/>
    </x:xf>
    <x:xf numFmtId="0" fontId="3" fillId="0" borderId="0" xfId="0" applyAlignment="1">
      <x:alignment vertical="top" wrapText="1"/>
    </x:xf>
    <x:xf numFmtId="9" fontId="9" fillId="0" borderId="0" xfId="0" applyAlignment="1">
      <x:alignment vertical="center" wrapText="1"/>
    </x:xf>
    <x:xf numFmtId="167" fontId="6" fillId="0" borderId="0" xfId="0" applyAlignment="1">
      <x:alignment vertical="center" wrapText="1"/>
    </x:xf>
    <x:xf numFmtId="164" fontId="8" fillId="3" borderId="0" xfId="0" applyAlignment="1">
      <x:alignment vertical="center" wrapText="1"/>
    </x:xf>
    <x:xf numFmtId="164" fontId="6" fillId="0" borderId="0" xfId="0" applyAlignment="1">
      <x:alignment vertical="center" wrapText="1"/>
    </x:xf>
    <x:xf numFmtId="166" fontId="8" fillId="3" borderId="0" xfId="0" applyAlignment="1">
      <x:alignment vertical="center" wrapText="1"/>
    </x:xf>
    <x:xf numFmtId="2" fontId="8" fillId="3" borderId="0" xfId="0" applyAlignment="1">
      <x:alignment vertical="center" wrapText="1"/>
    </x:xf>
    <x:xf numFmtId="167" fontId="10" fillId="4" borderId="0" xfId="0" applyAlignment="1">
      <x:alignment vertical="center" wrapText="1"/>
    </x:xf>
    <x:xf numFmtId="0" fontId="6" fillId="0" borderId="0" xfId="0" applyAlignment="1">
      <x:alignment vertical="center" wrapText="1"/>
    </x:xf>
    <x:xf numFmtId="0" fontId="10" fillId="4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11" fillId="0" borderId="0" xfId="0"/>
  </x:cellXfs>
  <x:cellStyles count="1">
    <x:cellStyle name="Normal" xfId="0"/>
  </x:cellStyles>
  <x:dxfs count="3">
    <x:dxf>
      <x:fill>
        <x:patternFill>
          <x:bgColor rgb="00EAF5EA"/>
        </x:patternFill>
      </x:fill>
    </x:dxf>
    <x:dxf>
      <x:fill>
        <x:patternFill>
          <x:bgColor rgb="00FFF9C4"/>
        </x:patternFill>
      </x:fill>
    </x:dxf>
    <x:dxf>
      <x:fill>
        <x:patternFill>
          <x:bgColor rgb="00FDEC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a68c5087d47ff" /><Relationship Type="http://schemas.openxmlformats.org/officeDocument/2006/relationships/theme" Target="/xl/theme/theme1.xml" Id="Rca2ff06e4b79428e" /><Relationship Type="http://schemas.openxmlformats.org/officeDocument/2006/relationships/sharedStrings" Target="/xl/sharedStrings.xml" Id="R20c0d932b4904093" /><Relationship Type="http://schemas.openxmlformats.org/officeDocument/2006/relationships/worksheet" Target="/xl/worksheets/sheet1.xml" Id="Rac8ce8cdc9b94f69" /><Relationship Type="http://schemas.openxmlformats.org/officeDocument/2006/relationships/worksheet" Target="/xl/worksheets/sheet2.xml" Id="Rac9899fd1a144b17" /><Relationship Type="http://schemas.openxmlformats.org/officeDocument/2006/relationships/worksheet" Target="/xl/worksheets/sheet3.xml" Id="R53cf7de187c643f4" /><Relationship Type="http://schemas.openxmlformats.org/officeDocument/2006/relationships/worksheet" Target="/xl/worksheets/sheet4.xml" Id="R699e09fcac924721" /><Relationship Type="http://schemas.openxmlformats.org/officeDocument/2006/relationships/worksheet" Target="/xl/worksheets/sheet5.xml" Id="Rd5ecbea121a64232" /><Relationship Type="http://schemas.openxmlformats.org/officeDocument/2006/relationships/worksheet" Target="/xl/worksheets/sheet6.xml" Id="R683e057909b24c07" /><Relationship Type="http://schemas.openxmlformats.org/officeDocument/2006/relationships/worksheet" Target="/xl/worksheets/sheet7.xml" Id="Rd5cc97ef207c40f4" /><Relationship Type="http://schemas.openxmlformats.org/officeDocument/2006/relationships/worksheet" Target="/xl/worksheets/sheet8.xml" Id="Rffb70ddf6ca94f3b" /><Relationship Type="http://schemas.openxmlformats.org/officeDocument/2006/relationships/worksheet" Target="/xl/worksheets/sheet9.xml" Id="R5fa76372027841b8" /><Relationship Type="http://schemas.microsoft.com/office/2017/10/relationships/person" Target="/xl/persons/person.xml" Id="R74a4c8d8a06041c2" /></Relationships>
</file>

<file path=xl/persons/person.xml><?xml version="1.0" encoding="utf-8"?>
<xltc:personList xmlns:xltc="http://schemas.microsoft.com/office/spreadsheetml/2018/threadedcomments">
  <xltc:person displayName="OpenAI" id="{6D74D8A0-2EC2-3A0A-61BD-86BFE1AC0F9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7e830aa57934032" /><Relationship Type="http://schemas.openxmlformats.org/officeDocument/2006/relationships/vmlDrawing" Target="/xl/drawings/vmldrawing.vml" Id="R968e0a36890743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1" t="inlineStr">
        <x:is>
          <x:t xml:space="preserve">Durham First-Deal Package</x:t>
        </x:is>
      </x:c>
    </x:row>
    <x:row r="2">
      <x:c r="A2" s="2" t="inlineStr">
        <x:is>
          <x:t xml:space="preserve">Workbook for buying your first small/midsize multifamily property in Durham</x:t>
        </x:is>
      </x:c>
    </x:row>
    <x:row r="4">
      <x:c r="A4" s="3" t="inlineStr">
        <x:is>
          <x:t xml:space="preserve">• Use the Neighborhood Deep Dive sheet to decide where to focus your search.</x:t>
        </x:is>
      </x:c>
    </x:row>
    <x:row r="5">
      <x:c r="A5" s="3" t="inlineStr">
        <x:is>
          <x:t xml:space="preserve">• Use Buy Box to lock your criteria before you start rationalizing deals.</x:t>
        </x:is>
      </x:c>
    </x:row>
    <x:row r="6">
      <x:c r="A6" s="3" t="inlineStr">
        <x:is>
          <x:t xml:space="preserve">• Use Buy Box Scorecard for any live opportunity; blue cells are inputs.</x:t>
        </x:is>
      </x:c>
    </x:row>
    <x:row r="7">
      <x:c r="A7" s="3" t="inlineStr">
        <x:is>
          <x:t xml:space="preserve">• Use Screening Checklist to kill weak deals early before deep underwriting.</x:t>
        </x:is>
      </x:c>
    </x:row>
    <x:row r="8">
      <x:c r="A8" s="3" t="inlineStr">
        <x:is>
          <x:t xml:space="preserve">• Use Diligence + 100-Day Plan to stay organized once a deal becomes real.</x:t>
        </x:is>
      </x:c>
    </x:row>
    <x:row r="11">
      <x:c r="A11" s="4" t="inlineStr">
        <x:is>
          <x:t xml:space="preserve">Suggested order of operations</x:t>
        </x:is>
      </x:c>
    </x:row>
    <x:row r="12">
      <x:c r="A12" s="3" t="inlineStr">
        <x:is>
          <x:t xml:space="preserve">• 1) finalize your buy box</x:t>
        </x:is>
      </x:c>
    </x:row>
    <x:row r="13">
      <x:c r="A13" s="3" t="inlineStr">
        <x:is>
          <x:t xml:space="preserve">• 2) pick 3–4 neighborhoods</x:t>
        </x:is>
      </x:c>
    </x:row>
    <x:row r="14">
      <x:c r="A14" s="3" t="inlineStr">
        <x:is>
          <x:t xml:space="preserve">• 3) call brokers and property managers</x:t>
        </x:is>
      </x:c>
    </x:row>
    <x:row r="15">
      <x:c r="A15" s="3" t="inlineStr">
        <x:is>
          <x:t xml:space="preserve">• 4) screen aggressively</x:t>
        </x:is>
      </x:c>
    </x:row>
    <x:row r="16">
      <x:c r="A16" s="3" t="inlineStr">
        <x:is>
          <x:t xml:space="preserve">• 5) underwrite only the best 10–20% of opportunities</x:t>
        </x:is>
      </x:c>
    </x:row>
    <x:row r="17">
      <x:c r="A17" s="3" t="inlineStr">
        <x:is>
          <x:t xml:space="preserve">• 6) make one disciplined offer rather than waiting for perfection</x:t>
        </x:is>
      </x:c>
    </x:row>
    <x:row r="20">
      <x:c r="A20" s="4" t="inlineStr">
        <x:is>
          <x:t xml:space="preserve">Current context</x:t>
        </x:is>
      </x:c>
    </x:row>
    <x:row r="21">
      <x:c r="A21" s="3" t="inlineStr">
        <x:is>
          <x:t xml:space="preserve">• Durham average home value proxy: $390,598</x:t>
        </x:is>
      </x:c>
    </x:row>
    <x:row r="22">
      <x:c r="A22" s="3" t="inlineStr">
        <x:is>
          <x:t xml:space="preserve">• Durham average asking rent proxy: $1,629</x:t>
        </x:is>
      </x:c>
    </x:row>
    <x:row r="23">
      <x:c r="A23" s="3" t="inlineStr">
        <x:is>
          <x:t xml:space="preserve">• Neighborhood basis in this workbook uses Zillow neighborhood home values as a directional entry-basis proxy only.</x:t>
        </x:is>
      </x:c>
    </x:row>
    <x:row r="24">
      <x:c r="A24" s="3" t="inlineStr">
        <x:is>
          <x:t xml:space="preserve">• This package is built for a first deal: disciplined, understandable, operationally fixable, and not overly heroic.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22" customWidth="1"/>
    <x:col min="3" max="3" width="18" customWidth="1"/>
    <x:col min="4" max="4" width="16" customWidth="1"/>
    <x:col min="5" max="5" width="10" customWidth="1"/>
    <x:col min="6" max="6" width="11" customWidth="1"/>
    <x:col min="7" max="7" width="14" customWidth="1"/>
    <x:col min="8" max="8" width="14" customWidth="1"/>
    <x:col min="9" max="9" width="15" customWidth="1"/>
    <x:col min="10" max="10" width="14" customWidth="1"/>
    <x:col min="11" max="11" width="12" customWidth="1"/>
    <x:col min="12" max="12" width="11" customWidth="1"/>
    <x:col min="13" max="13" width="32" customWidth="1"/>
    <x:col min="14" max="14" width="30" customWidth="1"/>
    <x:col min="15" max="15" width="34" customWidth="1"/>
    <x:col min="16" max="16" width="28" customWidth="1"/>
    <x:col min="17" max="17" width="38" customWidth="1"/>
  </x:cols>
  <x:sheetData>
    <x:row r="1">
      <x:c r="A1" s="5" t="inlineStr">
        <x:is>
          <x:t xml:space="preserve">Durham Neighborhood Deep Dive</x:t>
        </x:is>
      </x:c>
      <x:c r="T1" t="inlineStr">
        <x:is>
          <x:t xml:space="preserve">Weights</x:t>
        </x:is>
      </x:c>
    </x:row>
    <x:row r="2">
      <x:c r="A2" s="2" t="inlineStr">
        <x:is>
          <x:t xml:space="preserve">Scored for a first 6–20 unit value-add acquisition, not for prestige or trophy ownership.</x:t>
        </x:is>
      </x:c>
      <x:c r="T2" t="inlineStr">
        <x:is>
          <x:t xml:space="preserve">basis</x:t>
        </x:is>
      </x:c>
      <x:c r="U2" t="n">
        <x:v>0.2</x:v>
      </x:c>
    </x:row>
    <x:row r="3">
      <x:c r="A3" t="inlineStr">
        <x:is>
          <x:t xml:space="preserve">Rank</x:t>
        </x:is>
      </x:c>
      <x:c r="B3" t="inlineStr">
        <x:is>
          <x:t xml:space="preserve">Neighborhood</x:t>
        </x:is>
      </x:c>
      <x:c r="C3" t="inlineStr">
        <x:is>
          <x:t xml:space="preserve">ZIP / Area</x:t>
        </x:is>
      </x:c>
      <x:c r="D3" t="inlineStr">
        <x:is>
          <x:t xml:space="preserve">Basis Proxy (ZHVI)</x:t>
        </x:is>
      </x:c>
      <x:c r="E3" t="inlineStr">
        <x:is>
          <x:t xml:space="preserve">YoY</x:t>
        </x:is>
      </x:c>
      <x:c r="F3" t="inlineStr">
        <x:is>
          <x:t xml:space="preserve">Basis Score</x:t>
        </x:is>
      </x:c>
      <x:c r="G3" t="inlineStr">
        <x:is>
          <x:t xml:space="preserve">Walkability / Infill</x:t>
        </x:is>
      </x:c>
      <x:c r="H3" t="inlineStr">
        <x:is>
          <x:t xml:space="preserve">Employer Access</x:t>
        </x:is>
      </x:c>
      <x:c r="I3" t="inlineStr">
        <x:is>
          <x:t xml:space="preserve">Small MF Deal Availability</x:t>
        </x:is>
      </x:c>
      <x:c r="J3" t="inlineStr">
        <x:is>
          <x:t xml:space="preserve">Value-Add Potential</x:t>
        </x:is>
      </x:c>
      <x:c r="K3" t="inlineStr">
        <x:is>
          <x:t xml:space="preserve">Execution Ease</x:t>
        </x:is>
      </x:c>
      <x:c r="L3" t="inlineStr">
        <x:is>
          <x:t xml:space="preserve">Overall Score</x:t>
        </x:is>
      </x:c>
      <x:c r="M3" t="inlineStr">
        <x:is>
          <x:t xml:space="preserve">Tenant Base</x:t>
        </x:is>
      </x:c>
      <x:c r="N3" t="inlineStr">
        <x:is>
          <x:t xml:space="preserve">Best Deal Type</x:t>
        </x:is>
      </x:c>
      <x:c r="O3" t="inlineStr">
        <x:is>
          <x:t xml:space="preserve">Why It Works</x:t>
        </x:is>
      </x:c>
      <x:c r="P3" t="inlineStr">
        <x:is>
          <x:t xml:space="preserve">Main Risk</x:t>
        </x:is>
      </x:c>
      <x:c r="Q3" t="inlineStr">
        <x:is>
          <x:t xml:space="preserve">Source URL</x:t>
        </x:is>
      </x:c>
      <x:c r="T3" t="inlineStr">
        <x:is>
          <x:t xml:space="preserve">walk</x:t>
        </x:is>
      </x:c>
      <x:c r="U3" t="n">
        <x:v>0.15</x:v>
      </x:c>
    </x:row>
    <x:row r="4">
      <x:c r="A4" s="6" t="inlineStr">
        <x:is>
          <x:t xml:space="preserve">Rank</x:t>
        </x:is>
      </x:c>
      <x:c r="B4" s="6" t="inlineStr">
        <x:is>
          <x:t xml:space="preserve">Neighborhood</x:t>
        </x:is>
      </x:c>
      <x:c r="C4" s="6" t="inlineStr">
        <x:is>
          <x:t xml:space="preserve">ZIP / Area</x:t>
        </x:is>
      </x:c>
      <x:c r="D4" s="6" t="inlineStr">
        <x:is>
          <x:t xml:space="preserve">Basis Proxy (ZHVI)</x:t>
        </x:is>
      </x:c>
      <x:c r="E4" s="6" t="inlineStr">
        <x:is>
          <x:t xml:space="preserve">YoY</x:t>
        </x:is>
      </x:c>
      <x:c r="F4" s="6" t="inlineStr">
        <x:is>
          <x:t xml:space="preserve">Basis Score</x:t>
        </x:is>
      </x:c>
      <x:c r="G4" s="6" t="inlineStr">
        <x:is>
          <x:t xml:space="preserve">Walkability / Infill</x:t>
        </x:is>
      </x:c>
      <x:c r="H4" s="6" t="inlineStr">
        <x:is>
          <x:t xml:space="preserve">Employer Access</x:t>
        </x:is>
      </x:c>
      <x:c r="I4" s="6" t="inlineStr">
        <x:is>
          <x:t xml:space="preserve">Small MF Deal Availability</x:t>
        </x:is>
      </x:c>
      <x:c r="J4" s="6" t="inlineStr">
        <x:is>
          <x:t xml:space="preserve">Value-Add Potential</x:t>
        </x:is>
      </x:c>
      <x:c r="K4" s="6" t="inlineStr">
        <x:is>
          <x:t xml:space="preserve">Execution Ease</x:t>
        </x:is>
      </x:c>
      <x:c r="L4" s="6" t="inlineStr">
        <x:is>
          <x:t xml:space="preserve">Overall Score</x:t>
        </x:is>
      </x:c>
      <x:c r="M4" s="6" t="inlineStr">
        <x:is>
          <x:t xml:space="preserve">Tenant Base</x:t>
        </x:is>
      </x:c>
      <x:c r="N4" s="6" t="inlineStr">
        <x:is>
          <x:t xml:space="preserve">Best Deal Type</x:t>
        </x:is>
      </x:c>
      <x:c r="O4" s="6" t="inlineStr">
        <x:is>
          <x:t xml:space="preserve">Why It Works</x:t>
        </x:is>
      </x:c>
      <x:c r="P4" s="6" t="inlineStr">
        <x:is>
          <x:t xml:space="preserve">Main Risk</x:t>
        </x:is>
      </x:c>
      <x:c r="Q4" s="6" t="inlineStr">
        <x:is>
          <x:t xml:space="preserve">Source URL</x:t>
        </x:is>
      </x:c>
      <x:c r="T4" t="inlineStr">
        <x:is>
          <x:t xml:space="preserve">employer</x:t>
        </x:is>
      </x:c>
      <x:c r="U4" t="n">
        <x:v>0.15</x:v>
      </x:c>
    </x:row>
    <x:row r="5">
      <x:c r="A5" s="7">
        <x:f>RANK(L5,$L$5:$L$14,0)</x:f>
        <x:v>1</x:v>
      </x:c>
      <x:c r="B5" s="8" t="inlineStr">
        <x:is>
          <x:t xml:space="preserve">Lakewood / West End</x:t>
        </x:is>
      </x:c>
      <x:c r="C5" s="8" t="inlineStr">
        <x:is>
          <x:t xml:space="preserve">27707 / 27701 edge</x:t>
        </x:is>
      </x:c>
      <x:c r="D5" s="9" t="n">
        <x:v>364650</x:v>
      </x:c>
      <x:c r="E5" s="10" t="n">
        <x:v>0.006</x:v>
      </x:c>
      <x:c r="F5" s="7">
        <x:f>IF(D5&lt;=$U$9*0.80,10,IF(D5&lt;=$U$9*0.95,9,IF(D5&lt;=$U$9*1.05,8,IF(D5&lt;=$U$9*1.20,6,IF(D5&lt;=$U$9*1.35,4,2)))))</x:f>
        <x:v>9</x:v>
      </x:c>
      <x:c r="G5" s="7" t="n">
        <x:v>8</x:v>
      </x:c>
      <x:c r="H5" s="7" t="n">
        <x:v>8</x:v>
      </x:c>
      <x:c r="I5" s="7" t="n">
        <x:v>8</x:v>
      </x:c>
      <x:c r="J5" s="7" t="n">
        <x:v>9</x:v>
      </x:c>
      <x:c r="K5" s="7" t="n">
        <x:v>8</x:v>
      </x:c>
      <x:c r="L5" s="11">
        <x:f>ROUND(F5*$U$2+G5*$U$3+H5*$U$4+I5*$U$5+J5*$U$6+K5*$U$7,2)</x:f>
        <x:v>8.35</x:v>
      </x:c>
      <x:c r="M5" s="8" t="inlineStr">
        <x:is>
          <x:t xml:space="preserve">Young professionals, Duke-adjacent renters, service/medical workers, local-amenity seekers</x:t>
        </x:is>
      </x:c>
      <x:c r="N5" s="8" t="inlineStr">
        <x:is>
          <x:t xml:space="preserve">6–20 unit value-add, small portfolios, older vintage garden / walk-up</x:t>
        </x:is>
      </x:c>
      <x:c r="O5" s="8" t="inlineStr">
        <x:is>
          <x:t xml:space="preserve">Best balance of attainability, centrality, and renovation upside for a first-time buyer.</x:t>
        </x:is>
      </x:c>
      <x:c r="P5" s="8" t="inlineStr">
        <x:is>
          <x:t xml:space="preserve">Still competitive; do block-by-block underwriting.</x:t>
        </x:is>
      </x:c>
      <x:c r="Q5" s="8" t="inlineStr">
        <x:is>
          <x:t xml:space="preserve">https://www.zillow.com/home-values/125048/lakewood-park-durham-nc/</x:t>
        </x:is>
      </x:c>
      <x:c r="R5" s="8" t="n"/>
      <x:c r="S5" s="8" t="n"/>
      <x:c r="T5" s="8" t="inlineStr">
        <x:is>
          <x:t xml:space="preserve">dealflow</x:t>
        </x:is>
      </x:c>
      <x:c r="U5" s="8" t="n">
        <x:v>0.2</x:v>
      </x:c>
    </x:row>
    <x:row r="6">
      <x:c r="A6" s="7">
        <x:f>RANK(L6,$L$5:$L$14,0)</x:f>
        <x:v>2</x:v>
      </x:c>
      <x:c r="B6" s="8" t="inlineStr">
        <x:is>
          <x:t xml:space="preserve">Walltown</x:t>
        </x:is>
      </x:c>
      <x:c r="C6" s="8" t="inlineStr">
        <x:is>
          <x:t xml:space="preserve">27701 / Duke-adjacent</x:t>
        </x:is>
      </x:c>
      <x:c r="D6" s="9" t="n">
        <x:v>352615</x:v>
      </x:c>
      <x:c r="E6" s="10" t="n">
        <x:v>0.016</x:v>
      </x:c>
      <x:c r="F6" s="7">
        <x:f>IF(D6&lt;=$U$9*0.80,10,IF(D6&lt;=$U$9*0.95,9,IF(D6&lt;=$U$9*1.05,8,IF(D6&lt;=$U$9*1.20,6,IF(D6&lt;=$U$9*1.35,4,2)))))</x:f>
        <x:v>9</x:v>
      </x:c>
      <x:c r="G6" s="7" t="n">
        <x:v>7</x:v>
      </x:c>
      <x:c r="H6" s="7" t="n">
        <x:v>8</x:v>
      </x:c>
      <x:c r="I6" s="7" t="n">
        <x:v>7</x:v>
      </x:c>
      <x:c r="J6" s="7" t="n">
        <x:v>8</x:v>
      </x:c>
      <x:c r="K6" s="7" t="n">
        <x:v>8</x:v>
      </x:c>
      <x:c r="L6" s="11">
        <x:f>ROUND(F6*$U$2+G6*$U$3+H6*$U$4+I6*$U$5+J6*$U$6+K6*$U$7,2)</x:f>
        <x:v>7.85</x:v>
      </x:c>
      <x:c r="M6" s="8" t="inlineStr">
        <x:is>
          <x:t xml:space="preserve">Duke-related workforce, grad students, workforce renters</x:t>
        </x:is>
      </x:c>
      <x:c r="N6" s="8" t="inlineStr">
        <x:is>
          <x:t xml:space="preserve">Small multifamily and scattered small-balance rentals</x:t>
        </x:is>
      </x:c>
      <x:c r="O6" s="8" t="inlineStr">
        <x:is>
          <x:t xml:space="preserve">Lower basis than Trinity / Old West with strong Duke demand support.</x:t>
        </x:is>
      </x:c>
      <x:c r="P6" s="8" t="inlineStr">
        <x:is>
          <x:t xml:space="preserve">Perception and tenant quality can vary more by block.</x:t>
        </x:is>
      </x:c>
      <x:c r="Q6" s="8" t="inlineStr">
        <x:is>
          <x:t xml:space="preserve">https://www.zillow.com/home-values/761279/walltown-durham-nc/</x:t>
        </x:is>
      </x:c>
      <x:c r="R6" s="8" t="n"/>
      <x:c r="S6" s="8" t="n"/>
      <x:c r="T6" s="8" t="inlineStr">
        <x:is>
          <x:t xml:space="preserve">valueadd</x:t>
        </x:is>
      </x:c>
      <x:c r="U6" s="8" t="n">
        <x:v>0.15</x:v>
      </x:c>
    </x:row>
    <x:row r="7">
      <x:c r="A7" s="7">
        <x:f>RANK(L7,$L$5:$L$14,0)</x:f>
        <x:v>4</x:v>
      </x:c>
      <x:c r="B7" s="8" t="inlineStr">
        <x:is>
          <x:t xml:space="preserve">Old East Durham</x:t>
        </x:is>
      </x:c>
      <x:c r="C7" s="8" t="inlineStr">
        <x:is>
          <x:t xml:space="preserve">27701 / 27703 edge</x:t>
        </x:is>
      </x:c>
      <x:c r="D7" s="9" t="n">
        <x:v>282503</x:v>
      </x:c>
      <x:c r="E7" s="10" t="n">
        <x:v>-0.06</x:v>
      </x:c>
      <x:c r="F7" s="7">
        <x:f>IF(D7&lt;=$U$9*0.80,10,IF(D7&lt;=$U$9*0.95,9,IF(D7&lt;=$U$9*1.05,8,IF(D7&lt;=$U$9*1.20,6,IF(D7&lt;=$U$9*1.35,4,2)))))</x:f>
        <x:v>10</x:v>
      </x:c>
      <x:c r="G7" s="7" t="n">
        <x:v>6</x:v>
      </x:c>
      <x:c r="H7" s="7" t="n">
        <x:v>6</x:v>
      </x:c>
      <x:c r="I7" s="7" t="n">
        <x:v>7</x:v>
      </x:c>
      <x:c r="J7" s="7" t="n">
        <x:v>9</x:v>
      </x:c>
      <x:c r="K7" s="7" t="n">
        <x:v>5</x:v>
      </x:c>
      <x:c r="L7" s="11">
        <x:f>ROUND(F7*$U$2+G7*$U$3+H7*$U$4+I7*$U$5+J7*$U$6+K7*$U$7,2)</x:f>
        <x:v>7.3</x:v>
      </x:c>
      <x:c r="M7" s="8" t="inlineStr">
        <x:is>
          <x:t xml:space="preserve">Workforce renters, price-sensitive tenants, emerging creative/urban renter mix</x:t>
        </x:is>
      </x:c>
      <x:c r="N7" s="8" t="inlineStr">
        <x:is>
          <x:t xml:space="preserve">Deep value-add, smaller buildings, patient hold</x:t>
        </x:is>
      </x:c>
      <x:c r="O7" s="8" t="inlineStr">
        <x:is>
          <x:t xml:space="preserve">Most upside and basis relief in the city.</x:t>
        </x:is>
      </x:c>
      <x:c r="P7" s="8" t="inlineStr">
        <x:is>
          <x:t xml:space="preserve">Highest execution risk; not ideal if you want a very easy first deal.</x:t>
        </x:is>
      </x:c>
      <x:c r="Q7" s="8" t="inlineStr">
        <x:is>
          <x:t xml:space="preserve">https://www.zillow.com/home-values/761305/old-east-durham-durham-nc/</x:t>
        </x:is>
      </x:c>
      <x:c r="R7" s="8" t="n"/>
      <x:c r="S7" s="8" t="n"/>
      <x:c r="T7" s="8" t="inlineStr">
        <x:is>
          <x:t xml:space="preserve">execution</x:t>
        </x:is>
      </x:c>
      <x:c r="U7" s="8" t="n">
        <x:v>0.15</x:v>
      </x:c>
    </x:row>
    <x:row r="8">
      <x:c r="A8" s="7">
        <x:f>RANK(L8,$L$5:$L$14,0)</x:f>
        <x:v>3</x:v>
      </x:c>
      <x:c r="B8" s="8" t="inlineStr">
        <x:is>
          <x:t xml:space="preserve">Parkwood / South Durham</x:t>
        </x:is>
      </x:c>
      <x:c r="C8" s="8" t="inlineStr">
        <x:is>
          <x:t xml:space="preserve">27713</x:t>
        </x:is>
      </x:c>
      <x:c r="D8" s="9" t="n">
        <x:v>356093</x:v>
      </x:c>
      <x:c r="E8" s="10" t="n">
        <x:v>-0.029</x:v>
      </x:c>
      <x:c r="F8" s="7">
        <x:f>IF(D8&lt;=$U$9*0.80,10,IF(D8&lt;=$U$9*0.95,9,IF(D8&lt;=$U$9*1.05,8,IF(D8&lt;=$U$9*1.20,6,IF(D8&lt;=$U$9*1.35,4,2)))))</x:f>
        <x:v>9</x:v>
      </x:c>
      <x:c r="G8" s="7" t="n">
        <x:v>4</x:v>
      </x:c>
      <x:c r="H8" s="7" t="n">
        <x:v>9</x:v>
      </x:c>
      <x:c r="I8" s="7" t="n">
        <x:v>7</x:v>
      </x:c>
      <x:c r="J8" s="7" t="n">
        <x:v>7</x:v>
      </x:c>
      <x:c r="K8" s="7" t="n">
        <x:v>8</x:v>
      </x:c>
      <x:c r="L8" s="11">
        <x:f>ROUND(F8*$U$2+G8*$U$3+H8*$U$4+I8*$U$5+J8*$U$6+K8*$U$7,2)</x:f>
        <x:v>7.4</x:v>
      </x:c>
      <x:c r="M8" s="8" t="inlineStr">
        <x:is>
          <x:t xml:space="preserve">RTP workers, airport / logistics / healthcare workforce, suburban renter pool</x:t>
        </x:is>
      </x:c>
      <x:c r="N8" s="8" t="inlineStr">
        <x:is>
          <x:t xml:space="preserve">1980s–2000s value-add near RTP / Southpoint</x:t>
        </x:is>
      </x:c>
      <x:c r="O8" s="8" t="inlineStr">
        <x:is>
          <x:t xml:space="preserve">Best suburban first-deal option if you want depth of renter demand and easier management.</x:t>
        </x:is>
      </x:c>
      <x:c r="P8" s="8" t="inlineStr">
        <x:is>
          <x:t xml:space="preserve">Less neighborhood charm and more direct competition from newer product.</x:t>
        </x:is>
      </x:c>
      <x:c r="Q8" s="8" t="inlineStr">
        <x:is>
          <x:t xml:space="preserve">https://www.zillow.com/home-values/251583/parkwood-durham-nc/</x:t>
        </x:is>
      </x:c>
      <x:c r="R8" s="8" t="n"/>
      <x:c r="S8" s="8" t="n"/>
      <x:c r="T8" s="8" t="n"/>
      <x:c r="U8" s="8" t="n"/>
    </x:row>
    <x:row r="9">
      <x:c r="A9" s="7">
        <x:f>RANK(L9,$L$5:$L$14,0)</x:f>
        <x:v>5</x:v>
      </x:c>
      <x:c r="B9" s="8" t="inlineStr">
        <x:is>
          <x:t xml:space="preserve">Duke Park</x:t>
        </x:is>
      </x:c>
      <x:c r="C9" s="8" t="inlineStr">
        <x:is>
          <x:t xml:space="preserve">27701</x:t>
        </x:is>
      </x:c>
      <x:c r="D9" s="9" t="n">
        <x:v>471058</x:v>
      </x:c>
      <x:c r="E9" s="10" t="n">
        <x:v>-0.036</x:v>
      </x:c>
      <x:c r="F9" s="7">
        <x:f>IF(D9&lt;=$U$9*0.80,10,IF(D9&lt;=$U$9*0.95,9,IF(D9&lt;=$U$9*1.05,8,IF(D9&lt;=$U$9*1.20,6,IF(D9&lt;=$U$9*1.35,4,2)))))</x:f>
        <x:v>4</x:v>
      </x:c>
      <x:c r="G9" s="7" t="n">
        <x:v>8</x:v>
      </x:c>
      <x:c r="H9" s="7" t="n">
        <x:v>8</x:v>
      </x:c>
      <x:c r="I9" s="7" t="n">
        <x:v>6</x:v>
      </x:c>
      <x:c r="J9" s="7" t="n">
        <x:v>7</x:v>
      </x:c>
      <x:c r="K9" s="7" t="n">
        <x:v>7</x:v>
      </x:c>
      <x:c r="L9" s="11">
        <x:f>ROUND(F9*$U$2+G9*$U$3+H9*$U$4+I9*$U$5+J9*$U$6+K9*$U$7,2)</x:f>
        <x:v>6.5</x:v>
      </x:c>
      <x:c r="M9" s="8" t="inlineStr">
        <x:is>
          <x:t xml:space="preserve">Urban renters wanting proximity to downtown and Duke</x:t>
        </x:is>
      </x:c>
      <x:c r="N9" s="8" t="inlineStr">
        <x:is>
          <x:t xml:space="preserve">Small multifamily / house-scale rental hold</x:t>
        </x:is>
      </x:c>
      <x:c r="O9" s="8" t="inlineStr">
        <x:is>
          <x:t xml:space="preserve">Durable infill demand and strong long-term hold quality.</x:t>
        </x:is>
      </x:c>
      <x:c r="P9" s="8" t="inlineStr">
        <x:is>
          <x:t xml:space="preserve">Easy to overpay relative to first-deal economics.</x:t>
        </x:is>
      </x:c>
      <x:c r="Q9" s="8" t="inlineStr">
        <x:is>
          <x:t xml:space="preserve">https://www.zillow.com/home-values/761336/duke-park-durham-nc/</x:t>
        </x:is>
      </x:c>
      <x:c r="R9" s="8" t="n"/>
      <x:c r="S9" s="8" t="n"/>
      <x:c r="T9" s="8" t="inlineStr">
        <x:is>
          <x:t xml:space="preserve">Durham Avg Value</x:t>
        </x:is>
      </x:c>
      <x:c r="U9" s="8" t="n">
        <x:v>390598</x:v>
      </x:c>
    </x:row>
    <x:row r="10">
      <x:c r="A10" s="7">
        <x:f>RANK(L10,$L$5:$L$14,0)</x:f>
        <x:v>6</x:v>
      </x:c>
      <x:c r="B10" s="8" t="inlineStr">
        <x:is>
          <x:t xml:space="preserve">Old West Durham</x:t>
        </x:is>
      </x:c>
      <x:c r="C10" s="8" t="inlineStr">
        <x:is>
          <x:t xml:space="preserve">27705</x:t>
        </x:is>
      </x:c>
      <x:c r="D10" s="9" t="n">
        <x:v>499284</x:v>
      </x:c>
      <x:c r="E10" s="10" t="n">
        <x:v>-0.019</x:v>
      </x:c>
      <x:c r="F10" s="7">
        <x:f>IF(D10&lt;=$U$9*0.80,10,IF(D10&lt;=$U$9*0.95,9,IF(D10&lt;=$U$9*1.05,8,IF(D10&lt;=$U$9*1.20,6,IF(D10&lt;=$U$9*1.35,4,2)))))</x:f>
        <x:v>4</x:v>
      </x:c>
      <x:c r="G10" s="7" t="n">
        <x:v>9</x:v>
      </x:c>
      <x:c r="H10" s="7" t="n">
        <x:v>9</x:v>
      </x:c>
      <x:c r="I10" s="7" t="n">
        <x:v>5</x:v>
      </x:c>
      <x:c r="J10" s="7" t="n">
        <x:v>6</x:v>
      </x:c>
      <x:c r="K10" s="7" t="n">
        <x:v>7</x:v>
      </x:c>
      <x:c r="L10" s="11">
        <x:f>ROUND(F10*$U$2+G10*$U$3+H10*$U$4+I10*$U$5+J10*$U$6+K10*$U$7,2)</x:f>
        <x:v>6.45</x:v>
      </x:c>
      <x:c r="M10" s="8" t="inlineStr">
        <x:is>
          <x:t xml:space="preserve">Duke-affiliated renters, higher-income urban renters</x:t>
        </x:is>
      </x:c>
      <x:c r="N10" s="8" t="inlineStr">
        <x:is>
          <x:t xml:space="preserve">Selective infill hold / boutique multifamily</x:t>
        </x:is>
      </x:c>
      <x:c r="O10" s="8" t="inlineStr">
        <x:is>
          <x:t xml:space="preserve">Excellent neighborhood, very strong hold quality.</x:t>
        </x:is>
      </x:c>
      <x:c r="P10" s="8" t="inlineStr">
        <x:is>
          <x:t xml:space="preserve">Scarce deals and thinner immediate yield.</x:t>
        </x:is>
      </x:c>
      <x:c r="Q10" s="8" t="inlineStr">
        <x:is>
          <x:t xml:space="preserve">https://www.zillow.com/home-values/761301/old-west-durham-durham-nc/</x:t>
        </x:is>
      </x:c>
      <x:c r="R10" s="8" t="n"/>
      <x:c r="S10" s="8" t="n"/>
      <x:c r="T10" s="8" t="n"/>
      <x:c r="U10" s="8" t="n"/>
    </x:row>
    <x:row r="11">
      <x:c r="A11" s="7">
        <x:f>RANK(L11,$L$5:$L$14,0)</x:f>
        <x:v>7</x:v>
      </x:c>
      <x:c r="B11" s="8" t="inlineStr">
        <x:is>
          <x:t xml:space="preserve">Cleveland-Holloway</x:t>
        </x:is>
      </x:c>
      <x:c r="C11" s="8" t="inlineStr">
        <x:is>
          <x:t xml:space="preserve">27701</x:t>
        </x:is>
      </x:c>
      <x:c r="D11" s="9" t="n">
        <x:v>520522</x:v>
      </x:c>
      <x:c r="E11" s="10" t="n">
        <x:v>0.021</x:v>
      </x:c>
      <x:c r="F11" s="7">
        <x:f>IF(D11&lt;=$U$9*0.80,10,IF(D11&lt;=$U$9*0.95,9,IF(D11&lt;=$U$9*1.05,8,IF(D11&lt;=$U$9*1.20,6,IF(D11&lt;=$U$9*1.35,4,2)))))</x:f>
        <x:v>4</x:v>
      </x:c>
      <x:c r="G11" s="7" t="n">
        <x:v>8</x:v>
      </x:c>
      <x:c r="H11" s="7" t="n">
        <x:v>8</x:v>
      </x:c>
      <x:c r="I11" s="7" t="n">
        <x:v>5</x:v>
      </x:c>
      <x:c r="J11" s="7" t="n">
        <x:v>6</x:v>
      </x:c>
      <x:c r="K11" s="7" t="n">
        <x:v>7</x:v>
      </x:c>
      <x:c r="L11" s="11">
        <x:f>ROUND(F11*$U$2+G11*$U$3+H11*$U$4+I11*$U$5+J11*$U$6+K11*$U$7,2)</x:f>
        <x:v>6.15</x:v>
      </x:c>
      <x:c r="M11" s="8" t="inlineStr">
        <x:is>
          <x:t xml:space="preserve">Downtown-adjacent renters and higher-income urban professionals</x:t>
        </x:is>
      </x:c>
      <x:c r="N11" s="8" t="inlineStr">
        <x:is>
          <x:t xml:space="preserve">Selective small infill acquisition</x:t>
        </x:is>
      </x:c>
      <x:c r="O11" s="8" t="inlineStr">
        <x:is>
          <x:t xml:space="preserve">Great urban positioning and improving identity.</x:t>
        </x:is>
      </x:c>
      <x:c r="P11" s="8" t="inlineStr">
        <x:is>
          <x:t xml:space="preserve">A lot of the easy upside has already been captured.</x:t>
        </x:is>
      </x:c>
      <x:c r="Q11" s="8" t="inlineStr">
        <x:is>
          <x:t xml:space="preserve">https://www.zillow.com/home-values/761349/cleveland-holloway-durham-nc/</x:t>
        </x:is>
      </x:c>
      <x:c r="R11" s="8" t="n"/>
      <x:c r="S11" s="8" t="n"/>
      <x:c r="T11" s="8" t="n"/>
      <x:c r="U11" s="8" t="n"/>
    </x:row>
    <x:row r="12">
      <x:c r="A12" s="7">
        <x:f>RANK(L12,$L$5:$L$14,0)</x:f>
        <x:v>8</x:v>
      </x:c>
      <x:c r="B12" s="8" t="inlineStr">
        <x:is>
          <x:t xml:space="preserve">Morehead Hill</x:t>
        </x:is>
      </x:c>
      <x:c r="C12" s="8" t="inlineStr">
        <x:is>
          <x:t xml:space="preserve">27701</x:t>
        </x:is>
      </x:c>
      <x:c r="D12" s="9" t="n">
        <x:v>508854</x:v>
      </x:c>
      <x:c r="E12" s="10" t="n">
        <x:v>-0.03</x:v>
      </x:c>
      <x:c r="F12" s="7">
        <x:f>IF(D12&lt;=$U$9*0.80,10,IF(D12&lt;=$U$9*0.95,9,IF(D12&lt;=$U$9*1.05,8,IF(D12&lt;=$U$9*1.20,6,IF(D12&lt;=$U$9*1.35,4,2)))))</x:f>
        <x:v>4</x:v>
      </x:c>
      <x:c r="G12" s="7" t="n">
        <x:v>8</x:v>
      </x:c>
      <x:c r="H12" s="7" t="n">
        <x:v>8</x:v>
      </x:c>
      <x:c r="I12" s="7" t="n">
        <x:v>4</x:v>
      </x:c>
      <x:c r="J12" s="7" t="n">
        <x:v>6</x:v>
      </x:c>
      <x:c r="K12" s="7" t="n">
        <x:v>7</x:v>
      </x:c>
      <x:c r="L12" s="11">
        <x:f>ROUND(F12*$U$2+G12*$U$3+H12*$U$4+I12*$U$5+J12*$U$6+K12*$U$7,2)</x:f>
        <x:v>5.95</x:v>
      </x:c>
      <x:c r="M12" s="8" t="inlineStr">
        <x:is>
          <x:t xml:space="preserve">Hospital / university-adjacent professionals</x:t>
        </x:is>
      </x:c>
      <x:c r="N12" s="8" t="inlineStr">
        <x:is>
          <x:t xml:space="preserve">Higher-quality infill hold, niche small asset</x:t>
        </x:is>
      </x:c>
      <x:c r="O12" s="8" t="inlineStr">
        <x:is>
          <x:t xml:space="preserve">Strong location and renter profile.</x:t>
        </x:is>
      </x:c>
      <x:c r="P12" s="8" t="inlineStr">
        <x:is>
          <x:t xml:space="preserve">Low margin for error on entry basis.</x:t>
        </x:is>
      </x:c>
      <x:c r="Q12" s="8" t="inlineStr">
        <x:is>
          <x:t xml:space="preserve">https://www.zillow.com/home-values/761312/morehead-hill-durham-nc/</x:t>
        </x:is>
      </x:c>
      <x:c r="R12" s="8" t="n"/>
      <x:c r="S12" s="8" t="n"/>
      <x:c r="T12" s="8" t="n"/>
      <x:c r="U12" s="8" t="n"/>
    </x:row>
    <x:row r="13">
      <x:c r="A13" s="7">
        <x:f>RANK(L13,$L$5:$L$14,0)</x:f>
        <x:v>10</x:v>
      </x:c>
      <x:c r="B13" s="8" t="inlineStr">
        <x:is>
          <x:t xml:space="preserve">Old North Durham</x:t>
        </x:is>
      </x:c>
      <x:c r="C13" s="8" t="inlineStr">
        <x:is>
          <x:t xml:space="preserve">27701</x:t>
        </x:is>
      </x:c>
      <x:c r="D13" s="9" t="n">
        <x:v>536670</x:v>
      </x:c>
      <x:c r="E13" s="10" t="n">
        <x:v>-0.022</x:v>
      </x:c>
      <x:c r="F13" s="7">
        <x:f>IF(D13&lt;=$U$9*0.80,10,IF(D13&lt;=$U$9*0.95,9,IF(D13&lt;=$U$9*1.05,8,IF(D13&lt;=$U$9*1.20,6,IF(D13&lt;=$U$9*1.35,4,2)))))</x:f>
        <x:v>2</x:v>
      </x:c>
      <x:c r="G13" s="7" t="n">
        <x:v>8</x:v>
      </x:c>
      <x:c r="H13" s="7" t="n">
        <x:v>7</x:v>
      </x:c>
      <x:c r="I13" s="7" t="n">
        <x:v>4</x:v>
      </x:c>
      <x:c r="J13" s="7" t="n">
        <x:v>5</x:v>
      </x:c>
      <x:c r="K13" s="7" t="n">
        <x:v>7</x:v>
      </x:c>
      <x:c r="L13" s="11">
        <x:f>ROUND(F13*$U$2+G13*$U$3+H13*$U$4+I13*$U$5+J13*$U$6+K13*$U$7,2)</x:f>
        <x:v>5.25</x:v>
      </x:c>
      <x:c r="M13" s="8" t="inlineStr">
        <x:is>
          <x:t xml:space="preserve">Higher-income urban renters, design-forward owner/renter mix</x:t>
        </x:is>
      </x:c>
      <x:c r="N13" s="8" t="inlineStr">
        <x:is>
          <x:t xml:space="preserve">Long-term hold only if basis is unusually good</x:t>
        </x:is>
      </x:c>
      <x:c r="O13" s="8" t="inlineStr">
        <x:is>
          <x:t xml:space="preserve">Excellent neighborhood fabric and durable appeal.</x:t>
        </x:is>
      </x:c>
      <x:c r="P13" s="8" t="inlineStr">
        <x:is>
          <x:t xml:space="preserve">Usually too expensive for a straightforward first value-add.</x:t>
        </x:is>
      </x:c>
      <x:c r="Q13" s="8" t="inlineStr">
        <x:is>
          <x:t xml:space="preserve">https://www.zillow.com/home-values/761302/old-north-durham-durham-nc/</x:t>
        </x:is>
      </x:c>
      <x:c r="R13" s="8" t="n"/>
      <x:c r="S13" s="8" t="n"/>
      <x:c r="T13" s="8" t="n"/>
      <x:c r="U13" s="8" t="n"/>
    </x:row>
    <x:row r="14">
      <x:c r="A14" s="7">
        <x:f>RANK(L14,$L$5:$L$14,0)</x:f>
        <x:v>9</x:v>
      </x:c>
      <x:c r="B14" s="8" t="inlineStr">
        <x:is>
          <x:t xml:space="preserve">Trinity Park</x:t>
        </x:is>
      </x:c>
      <x:c r="C14" s="8" t="inlineStr">
        <x:is>
          <x:t xml:space="preserve">27701</x:t>
        </x:is>
      </x:c>
      <x:c r="D14" s="9" t="n">
        <x:v>654127</x:v>
      </x:c>
      <x:c r="E14" s="10" t="n">
        <x:v>-0.016</x:v>
      </x:c>
      <x:c r="F14" s="7">
        <x:f>IF(D14&lt;=$U$9*0.80,10,IF(D14&lt;=$U$9*0.95,9,IF(D14&lt;=$U$9*1.05,8,IF(D14&lt;=$U$9*1.20,6,IF(D14&lt;=$U$9*1.35,4,2)))))</x:f>
        <x:v>2</x:v>
      </x:c>
      <x:c r="G14" s="7" t="n">
        <x:v>10</x:v>
      </x:c>
      <x:c r="H14" s="7" t="n">
        <x:v>9</x:v>
      </x:c>
      <x:c r="I14" s="7" t="n">
        <x:v>3</x:v>
      </x:c>
      <x:c r="J14" s="7" t="n">
        <x:v>4</x:v>
      </x:c>
      <x:c r="K14" s="7" t="n">
        <x:v>6</x:v>
      </x:c>
      <x:c r="L14" s="11">
        <x:f>ROUND(F14*$U$2+G14*$U$3+H14*$U$4+I14*$U$5+J14*$U$6+K14*$U$7,2)</x:f>
        <x:v>5.35</x:v>
      </x:c>
      <x:c r="M14" s="8" t="inlineStr">
        <x:is>
          <x:t xml:space="preserve">Premium Duke / downtown-adjacent renter and owner mix</x:t>
        </x:is>
      </x:c>
      <x:c r="N14" s="8" t="inlineStr">
        <x:is>
          <x:t xml:space="preserve">Rare boutique opportunity, prestige hold</x:t>
        </x:is>
      </x:c>
      <x:c r="O14" s="8" t="inlineStr">
        <x:is>
          <x:t xml:space="preserve">Trophy urban neighborhood with exceptional long-term desirability.</x:t>
        </x:is>
      </x:c>
      <x:c r="P14" s="8" t="inlineStr">
        <x:is>
          <x:t xml:space="preserve">Weak fit for a yield-driven first deal.</x:t>
        </x:is>
      </x:c>
      <x:c r="Q14" s="8" t="inlineStr">
        <x:is>
          <x:t xml:space="preserve">https://www.zillow.com/home-values/272276/trinity-park-durham-nc/</x:t>
        </x:is>
      </x:c>
      <x:c r="R14" s="8" t="n"/>
      <x:c r="S14" s="8" t="n"/>
      <x:c r="T14" s="8" t="n"/>
      <x:c r="U14" s="8" t="n"/>
    </x:row>
  </x:sheetData>
  <x:conditionalFormatting sqref="L5:L14">
    <x:cfRule type="colorScale" priority="1">
      <x:colorScale>
        <x:cfvo type="min"/>
        <x:cfvo type="percentile" val="50"/>
        <x:cfvo type="max"/>
        <x:color rgb="00FDECEC"/>
        <x:color rgb="00FFF9C4"/>
        <x:color rgb="00EAF5EA"/>
      </x:colorScale>
    </x:cfRule>
  </x:conditionalFormatting>
  <x:pageMargins left="0.7" right="0.7" top="0.75" bottom="0.75" header="0.3" footer="0.3"/>
  <x:legacyDrawing xmlns:r="http://schemas.openxmlformats.org/officeDocument/2006/relationships" r:id="R968e0a368907435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55" customWidth="1"/>
  </x:cols>
  <x:sheetData>
    <x:row r="1">
      <x:c r="A1" s="5" t="inlineStr">
        <x:is>
          <x:t xml:space="preserve">Durham First-Deal Buy Box</x:t>
        </x:is>
      </x:c>
    </x:row>
    <x:row r="3">
      <x:c r="A3" s="4" t="inlineStr">
        <x:is>
          <x:t xml:space="preserve">What a good first deal looks like</x:t>
        </x:is>
      </x:c>
    </x:row>
    <x:row r="5">
      <x:c r="A5" s="12" t="inlineStr">
        <x:is>
          <x:t xml:space="preserve">Asset type</x:t>
        </x:is>
      </x:c>
      <x:c r="B5" s="3" t="inlineStr">
        <x:is>
          <x:t xml:space="preserve">6–20 unit multifamily or small apartment portfolio</x:t>
        </x:is>
      </x:c>
    </x:row>
    <x:row r="6">
      <x:c r="A6" s="12" t="inlineStr">
        <x:is>
          <x:t xml:space="preserve">Location target</x:t>
        </x:is>
      </x:c>
      <x:c r="B6" s="3" t="inlineStr">
        <x:is>
          <x:t xml:space="preserve">Durham first; focus on 3–4 selected neighborhoods</x:t>
        </x:is>
      </x:c>
    </x:row>
    <x:row r="7">
      <x:c r="A7" s="12" t="inlineStr">
        <x:is>
          <x:t xml:space="preserve">Condition</x:t>
        </x:is>
      </x:c>
      <x:c r="B7" s="3" t="inlineStr">
        <x:is>
          <x:t xml:space="preserve">B-/C+ with light-to-moderate value-add only</x:t>
        </x:is>
      </x:c>
    </x:row>
    <x:row r="8">
      <x:c r="A8" s="12" t="inlineStr">
        <x:is>
          <x:t xml:space="preserve">Work scope</x:t>
        </x:is>
      </x:c>
      <x:c r="B8" s="3" t="inlineStr">
        <x:is>
          <x:t xml:space="preserve">Cosmetic upgrades, management cleanup, collections, expense reset</x:t>
        </x:is>
      </x:c>
    </x:row>
    <x:row r="9">
      <x:c r="A9" s="12" t="inlineStr">
        <x:is>
          <x:t xml:space="preserve">Avoid</x:t>
        </x:is>
      </x:c>
      <x:c r="B9" s="3" t="inlineStr">
        <x:is>
          <x:t xml:space="preserve">Heavy rehab, severe distress, structural uncertainty, chaotic records</x:t>
        </x:is>
      </x:c>
    </x:row>
    <x:row r="10">
      <x:c r="A10" s="12" t="inlineStr">
        <x:is>
          <x:t xml:space="preserve">Hold period</x:t>
        </x:is>
      </x:c>
      <x:c r="B10" s="3" t="inlineStr">
        <x:is>
          <x:t xml:space="preserve">3–7 years</x:t>
        </x:is>
      </x:c>
    </x:row>
    <x:row r="11">
      <x:c r="A11" s="12" t="inlineStr">
        <x:is>
          <x:t xml:space="preserve">Leverage posture</x:t>
        </x:is>
      </x:c>
      <x:c r="B11" s="3" t="inlineStr">
        <x:is>
          <x:t xml:space="preserve">Conservative for first deal; keep post-close reserves</x:t>
        </x:is>
      </x:c>
    </x:row>
    <x:row r="12">
      <x:c r="A12" s="12" t="inlineStr">
        <x:is>
          <x:t xml:space="preserve">Management</x:t>
        </x:is>
      </x:c>
      <x:c r="B12" s="3" t="inlineStr">
        <x:is>
          <x:t xml:space="preserve">Professional PM or tightly supervised self-management</x:t>
        </x:is>
      </x:c>
    </x:row>
    <x:row r="13">
      <x:c r="A13" s="12" t="inlineStr">
        <x:is>
          <x:t xml:space="preserve">Decision rule</x:t>
        </x:is>
      </x:c>
      <x:c r="B13" s="3" t="inlineStr">
        <x:is>
          <x:t xml:space="preserve">Only buy a deal that is understandable, fixable, and financeable</x:t>
        </x:is>
      </x:c>
    </x:row>
    <x:row r="16">
      <x:c r="A16" s="4" t="inlineStr">
        <x:is>
          <x:t xml:space="preserve">Recommended first-deal priorities</x:t>
        </x:is>
      </x:c>
    </x:row>
    <x:row r="17">
      <x:c r="A17" s="3" t="inlineStr">
        <x:is>
          <x:t xml:space="preserve">• Neighborhoods to start in: Lakewood / West End, Walltown, Parkwood / South Durham, Duke Park</x:t>
        </x:is>
      </x:c>
    </x:row>
    <x:row r="18">
      <x:c r="A18" s="3" t="inlineStr">
        <x:is>
          <x:t xml:space="preserve">• Neighborhood to pursue only if basis is great: Old East Durham</x:t>
        </x:is>
      </x:c>
    </x:row>
    <x:row r="19">
      <x:c r="A19" s="3" t="inlineStr">
        <x:is>
          <x:t xml:space="preserve">• Neighborhoods to treat as selective / basis-sensitive: Old West Durham, Cleveland-Holloway, Morehead Hill</x:t>
        </x:is>
      </x:c>
    </x:row>
    <x:row r="20">
      <x:c r="A20" s="3" t="inlineStr">
        <x:is>
          <x:t xml:space="preserve">• Neighborhoods to avoid as default first-deal hunting grounds: Trinity Park, Old North Durham</x:t>
        </x:is>
      </x:c>
    </x:row>
    <x:row r="23">
      <x:c r="A23" s="4" t="inlineStr">
        <x:is>
          <x:t xml:space="preserve">Financial guardrails (customize these)</x:t>
        </x:is>
      </x:c>
    </x:row>
    <x:row r="25">
      <x:c r="A25" t="inlineStr">
        <x:is>
          <x:t xml:space="preserve">Target units</x:t>
        </x:is>
      </x:c>
      <x:c r="B25" s="13" t="n">
        <x:v>12</x:v>
      </x:c>
    </x:row>
    <x:row r="26">
      <x:c r="A26" t="inlineStr">
        <x:is>
          <x:t xml:space="preserve">Min units</x:t>
        </x:is>
      </x:c>
      <x:c r="B26" s="13" t="n">
        <x:v>6</x:v>
      </x:c>
    </x:row>
    <x:row r="27">
      <x:c r="A27" t="inlineStr">
        <x:is>
          <x:t xml:space="preserve">Max units</x:t>
        </x:is>
      </x:c>
      <x:c r="B27" s="13" t="n">
        <x:v>20</x:v>
      </x:c>
    </x:row>
    <x:row r="28">
      <x:c r="A28" t="inlineStr">
        <x:is>
          <x:t xml:space="preserve">Max rehab / unit ($)</x:t>
        </x:is>
      </x:c>
      <x:c r="B28" s="14" t="n">
        <x:v>20000</x:v>
      </x:c>
    </x:row>
    <x:row r="29">
      <x:c r="A29" t="inlineStr">
        <x:is>
          <x:t xml:space="preserve">Min DSCR</x:t>
        </x:is>
      </x:c>
      <x:c r="B29" s="15" t="n">
        <x:v>1.25</x:v>
      </x:c>
    </x:row>
    <x:row r="30">
      <x:c r="A30" t="inlineStr">
        <x:is>
          <x:t xml:space="preserve">Min yield on cost / stabilized cap</x:t>
        </x:is>
      </x:c>
      <x:c r="B30" s="15" t="n">
        <x:v>0.075</x:v>
      </x:c>
    </x:row>
    <x:row r="31">
      <x:c r="A31" t="inlineStr">
        <x:is>
          <x:t xml:space="preserve">Min neighborhood score</x:t>
        </x:is>
      </x:c>
      <x:c r="B31" s="15" t="n">
        <x:v>6.75</x:v>
      </x:c>
    </x:row>
    <x:row r="32">
      <x:c r="A32" t="inlineStr">
        <x:is>
          <x:t xml:space="preserve">Min cash reserve after close ($)</x:t>
        </x:is>
      </x:c>
      <x:c r="B32" s="14" t="n">
        <x:v>100000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6" customWidth="1"/>
    <x:col min="4" max="4" width="28" customWidth="1"/>
    <x:col min="5" max="5" width="14" customWidth="1"/>
    <x:col min="6" max="6" width="10" customWidth="1"/>
    <x:col min="7" max="7" width="12" customWidth="1"/>
    <x:col min="8" max="8" width="40" customWidth="1"/>
  </x:cols>
  <x:sheetData>
    <x:row r="1">
      <x:c r="A1" s="16" t="inlineStr">
        <x:is>
          <x:t xml:space="preserve">Live Deal Scorecard</x:t>
        </x:is>
      </x:c>
      <x:c r="B1" s="17" t="n"/>
      <x:c r="D1" s="8" t="n"/>
      <x:c r="E1" s="17" t="n"/>
      <x:c r="F1" s="17" t="n"/>
      <x:c r="G1" s="17" t="n"/>
      <x:c r="H1" s="8" t="n"/>
    </x:row>
    <x:row r="2">
      <x:c r="A2" s="18" t="inlineStr">
        <x:is>
          <x:t xml:space="preserve">Blue cells are your inputs. Sheet returns a weighted first-deal fit score plus hard gate failures.</x:t>
        </x:is>
      </x:c>
      <x:c r="B2" s="17" t="n"/>
      <x:c r="D2" s="8" t="n"/>
      <x:c r="E2" s="17" t="n"/>
      <x:c r="F2" s="17" t="n"/>
      <x:c r="G2" s="17" t="n"/>
      <x:c r="H2" s="8" t="n"/>
    </x:row>
    <x:row r="3">
      <x:c r="A3" s="8" t="n"/>
      <x:c r="B3" s="17" t="n"/>
      <x:c r="D3" s="8" t="n"/>
      <x:c r="E3" s="17" t="n"/>
      <x:c r="F3" s="17" t="n"/>
      <x:c r="G3" s="17" t="n"/>
      <x:c r="H3" s="8" t="n"/>
    </x:row>
    <x:row r="4">
      <x:c r="A4" s="19" t="inlineStr">
        <x:is>
          <x:t xml:space="preserve">Deal Name</x:t>
        </x:is>
      </x:c>
      <x:c r="B4" s="20" t="inlineStr">
        <x:is>
          <x:t xml:space="preserve"/>
        </x:is>
      </x:c>
      <x:c r="D4" s="21" t="inlineStr">
        <x:is>
          <x:t xml:space="preserve">Qualitative factors (1=bad, 5=excellent)</x:t>
        </x:is>
      </x:c>
      <x:c r="E4" s="17" t="n"/>
      <x:c r="F4" s="17" t="n"/>
      <x:c r="G4" s="17" t="n"/>
      <x:c r="H4" s="21" t="inlineStr">
        <x:is>
          <x:t xml:space="preserve">How to use</x:t>
        </x:is>
      </x:c>
    </x:row>
    <x:row r="5">
      <x:c r="A5" s="19" t="inlineStr">
        <x:is>
          <x:t xml:space="preserve">Neighborhood</x:t>
        </x:is>
      </x:c>
      <x:c r="B5" s="20" t="inlineStr">
        <x:is>
          <x:t xml:space="preserve"/>
        </x:is>
      </x:c>
      <x:c r="D5" s="8" t="n"/>
      <x:c r="E5" s="17" t="n"/>
      <x:c r="F5" s="17" t="n"/>
      <x:c r="G5" s="17" t="n"/>
      <x:c r="H5" s="8" t="inlineStr">
        <x:is>
          <x:t xml:space="preserve">• 1) Fill blue cells only.</x:t>
        </x:is>
      </x:c>
    </x:row>
    <x:row r="6">
      <x:c r="A6" s="19" t="inlineStr">
        <x:is>
          <x:t xml:space="preserve">Units</x:t>
        </x:is>
      </x:c>
      <x:c r="B6" s="20" t="n">
        <x:v>12</x:v>
      </x:c>
      <x:c r="D6" s="8" t="inlineStr">
        <x:is>
          <x:t xml:space="preserve">Location fit for first deal</x:t>
        </x:is>
      </x:c>
      <x:c r="E6" s="20" t="n">
        <x:v>4</x:v>
      </x:c>
      <x:c r="F6" s="22" t="n">
        <x:v>0.15</x:v>
      </x:c>
      <x:c r="G6" s="23">
        <x:f>E6*F6*20</x:f>
        <x:v>12</x:v>
      </x:c>
      <x:c r="H6" s="8" t="inlineStr">
        <x:is>
          <x:t xml:space="preserve">• 2) Paste neighborhood score from the Neighborhood sheet.</x:t>
        </x:is>
      </x:c>
    </x:row>
    <x:row r="7">
      <x:c r="A7" s="19" t="inlineStr">
        <x:is>
          <x:t xml:space="preserve">Asking Price ($)</x:t>
        </x:is>
      </x:c>
      <x:c r="B7" s="24" t="n">
        <x:v>0</x:v>
      </x:c>
      <x:c r="D7" s="8" t="inlineStr">
        <x:is>
          <x:t xml:space="preserve">Value-add clarity</x:t>
        </x:is>
      </x:c>
      <x:c r="E7" s="20" t="n">
        <x:v>4</x:v>
      </x:c>
      <x:c r="F7" s="22" t="n">
        <x:v>0.15</x:v>
      </x:c>
      <x:c r="G7" s="23">
        <x:f>E7*F7*20</x:f>
        <x:v>12</x:v>
      </x:c>
      <x:c r="H7" s="8" t="inlineStr">
        <x:is>
          <x:t xml:space="preserve">• 3) Rate qualitative factors honestly.</x:t>
        </x:is>
      </x:c>
    </x:row>
    <x:row r="8">
      <x:c r="A8" s="19" t="inlineStr">
        <x:is>
          <x:t xml:space="preserve">Price / Unit ($)</x:t>
        </x:is>
      </x:c>
      <x:c r="B8" s="25">
        <x:f>IF(B6&gt;0,B7/B6,0)</x:f>
        <x:v>0</x:v>
      </x:c>
      <x:c r="D8" s="8" t="inlineStr">
        <x:is>
          <x:t xml:space="preserve">Seller record quality</x:t>
        </x:is>
      </x:c>
      <x:c r="E8" s="20" t="n">
        <x:v>3</x:v>
      </x:c>
      <x:c r="F8" s="22" t="n">
        <x:v>0.15</x:v>
      </x:c>
      <x:c r="G8" s="23">
        <x:f>E8*F8*20</x:f>
        <x:v>9</x:v>
      </x:c>
      <x:c r="H8" s="8" t="inlineStr">
        <x:is>
          <x:t xml:space="preserve">• 4) If &gt;1 hard gate fails, pass for a first deal.</x:t>
        </x:is>
      </x:c>
    </x:row>
    <x:row r="9">
      <x:c r="A9" s="19" t="inlineStr">
        <x:is>
          <x:t xml:space="preserve">Year Built</x:t>
        </x:is>
      </x:c>
      <x:c r="B9" s="20" t="n">
        <x:v>1985</x:v>
      </x:c>
      <x:c r="D9" s="8" t="inlineStr">
        <x:is>
          <x:t xml:space="preserve">Physical risk (reverse-scored)</x:t>
        </x:is>
      </x:c>
      <x:c r="E9" s="20" t="n">
        <x:v>3</x:v>
      </x:c>
      <x:c r="F9" s="22" t="n">
        <x:v>0.15</x:v>
      </x:c>
      <x:c r="G9" s="23">
        <x:f>E9*F9*20</x:f>
        <x:v>9</x:v>
      </x:c>
      <x:c r="H9" s="8" t="inlineStr">
        <x:is>
          <x:t xml:space="preserve">• 5) Even a high score does not override diligence.</x:t>
        </x:is>
      </x:c>
    </x:row>
    <x:row r="10">
      <x:c r="A10" s="19" t="inlineStr">
        <x:is>
          <x:t xml:space="preserve">Estimated Rehab / Unit ($)</x:t>
        </x:is>
      </x:c>
      <x:c r="B10" s="24" t="n">
        <x:v>15000</x:v>
      </x:c>
      <x:c r="D10" s="8" t="inlineStr">
        <x:is>
          <x:t xml:space="preserve">Tenant stability</x:t>
        </x:is>
      </x:c>
      <x:c r="E10" s="20" t="n">
        <x:v>3</x:v>
      </x:c>
      <x:c r="F10" s="22" t="n">
        <x:v>0.1</x:v>
      </x:c>
      <x:c r="G10" s="23">
        <x:f>E10*F10*20</x:f>
        <x:v>6.000000000000001</x:v>
      </x:c>
      <x:c r="H10" s="8" t="n"/>
    </x:row>
    <x:row r="11">
      <x:c r="A11" s="19" t="inlineStr">
        <x:is>
          <x:t xml:space="preserve">In-Place Cap Rate</x:t>
        </x:is>
      </x:c>
      <x:c r="B11" s="26" t="n">
        <x:v>0.065</x:v>
      </x:c>
      <x:c r="D11" s="8" t="inlineStr">
        <x:is>
          <x:t xml:space="preserve">Management simplicity</x:t>
        </x:is>
      </x:c>
      <x:c r="E11" s="20" t="n">
        <x:v>4</x:v>
      </x:c>
      <x:c r="F11" s="22" t="n">
        <x:v>0.1</x:v>
      </x:c>
      <x:c r="G11" s="23">
        <x:f>E11*F11*20</x:f>
        <x:v>8</x:v>
      </x:c>
      <x:c r="H11" s="8" t="n"/>
    </x:row>
    <x:row r="12">
      <x:c r="A12" s="19" t="inlineStr">
        <x:is>
          <x:t xml:space="preserve">Stabilized Yield / Cap</x:t>
        </x:is>
      </x:c>
      <x:c r="B12" s="26" t="n">
        <x:v>0.078</x:v>
      </x:c>
      <x:c r="D12" s="8" t="inlineStr">
        <x:is>
          <x:t xml:space="preserve">Exit / liquidity</x:t>
        </x:is>
      </x:c>
      <x:c r="E12" s="20" t="n">
        <x:v>4</x:v>
      </x:c>
      <x:c r="F12" s="22" t="n">
        <x:v>0.1</x:v>
      </x:c>
      <x:c r="G12" s="23">
        <x:f>E12*F12*20</x:f>
        <x:v>8</x:v>
      </x:c>
      <x:c r="H12" s="8" t="n"/>
    </x:row>
    <x:row r="13">
      <x:c r="A13" s="19" t="inlineStr">
        <x:is>
          <x:t xml:space="preserve">DSCR</x:t>
        </x:is>
      </x:c>
      <x:c r="B13" s="27" t="n">
        <x:v>1.28</x:v>
      </x:c>
      <x:c r="D13" s="8" t="inlineStr">
        <x:is>
          <x:t xml:space="preserve">Broker / PM confidence</x:t>
        </x:is>
      </x:c>
      <x:c r="E13" s="20" t="n">
        <x:v>3</x:v>
      </x:c>
      <x:c r="F13" s="22" t="n">
        <x:v>0.1</x:v>
      </x:c>
      <x:c r="G13" s="23">
        <x:f>E13*F13*20</x:f>
        <x:v>6.000000000000001</x:v>
      </x:c>
      <x:c r="H13" s="8" t="n"/>
    </x:row>
    <x:row r="14">
      <x:c r="A14" s="19" t="inlineStr">
        <x:is>
          <x:t xml:space="preserve">Occupancy</x:t>
        </x:is>
      </x:c>
      <x:c r="B14" s="26" t="n">
        <x:v>0.92</x:v>
      </x:c>
      <x:c r="D14" s="8" t="n"/>
      <x:c r="E14" s="17" t="n"/>
      <x:c r="F14" s="17" t="n"/>
      <x:c r="G14" s="17" t="n"/>
      <x:c r="H14" s="8" t="n"/>
    </x:row>
    <x:row r="15">
      <x:c r="A15" s="19" t="inlineStr">
        <x:is>
          <x:t xml:space="preserve">Neighborhood Score (paste from Deep Dive)</x:t>
        </x:is>
      </x:c>
      <x:c r="B15" s="27" t="n">
        <x:v>7.5</x:v>
      </x:c>
      <x:c r="D15" s="8" t="n"/>
      <x:c r="E15" s="17" t="n"/>
      <x:c r="F15" s="17" t="n"/>
      <x:c r="G15" s="17" t="n"/>
      <x:c r="H15" s="8" t="n"/>
    </x:row>
    <x:row r="16">
      <x:c r="A16" s="8" t="n"/>
      <x:c r="B16" s="17" t="n"/>
      <x:c r="D16" s="21" t="inlineStr">
        <x:is>
          <x:t xml:space="preserve">Qualitative score (0-100)</x:t>
        </x:is>
      </x:c>
      <x:c r="E16" s="28">
        <x:f>SUM(G6:G13)</x:f>
        <x:v>70</x:v>
      </x:c>
      <x:c r="F16" s="17" t="n"/>
      <x:c r="G16" s="17" t="n"/>
      <x:c r="H16" s="8" t="n"/>
    </x:row>
    <x:row r="17">
      <x:c r="A17" s="8" t="n"/>
      <x:c r="B17" s="17" t="n"/>
      <x:c r="D17" s="8" t="n"/>
      <x:c r="E17" s="17" t="n"/>
      <x:c r="F17" s="17" t="n"/>
      <x:c r="G17" s="17" t="n"/>
      <x:c r="H17" s="8" t="n"/>
    </x:row>
    <x:row r="18">
      <x:c r="A18" s="8" t="n"/>
      <x:c r="B18" s="17" t="n"/>
      <x:c r="D18" s="8" t="n"/>
      <x:c r="E18" s="17" t="n"/>
      <x:c r="F18" s="17" t="n"/>
      <x:c r="G18" s="17" t="n"/>
      <x:c r="H18" s="8" t="n"/>
    </x:row>
    <x:row r="19">
      <x:c r="A19" s="8" t="n"/>
      <x:c r="B19" s="17" t="n"/>
      <x:c r="D19" s="21" t="inlineStr">
        <x:is>
          <x:t xml:space="preserve">Hard gates</x:t>
        </x:is>
      </x:c>
      <x:c r="E19" s="17" t="n"/>
      <x:c r="F19" s="17" t="n"/>
      <x:c r="G19" s="17" t="n"/>
      <x:c r="H19" s="8" t="n"/>
    </x:row>
    <x:row r="20">
      <x:c r="A20" s="8" t="n"/>
      <x:c r="B20" s="17" t="n"/>
      <x:c r="D20" s="8" t="inlineStr">
        <x:is>
          <x:t xml:space="preserve">Units within buy box</x:t>
        </x:is>
      </x:c>
      <x:c r="E20" s="29" t="b">
        <x:f>AND(B6&gt;='Buy Box'!$B$26,B6&lt;='Buy Box'!$B$27)</x:f>
        <x:v>1</x:v>
      </x:c>
      <x:c r="F20" s="17" t="n"/>
      <x:c r="G20" s="17" t="n"/>
      <x:c r="H20" s="8" t="n"/>
    </x:row>
    <x:row r="21">
      <x:c r="A21" s="8" t="n"/>
      <x:c r="B21" s="17" t="n"/>
      <x:c r="D21" s="8" t="inlineStr">
        <x:is>
          <x:t xml:space="preserve">Rehab / unit within limit</x:t>
        </x:is>
      </x:c>
      <x:c r="E21" s="29" t="b">
        <x:f>B10&lt;='Buy Box'!$B$28</x:f>
        <x:v>1</x:v>
      </x:c>
      <x:c r="F21" s="17" t="n"/>
      <x:c r="G21" s="17" t="n"/>
      <x:c r="H21" s="8" t="n"/>
    </x:row>
    <x:row r="22">
      <x:c r="A22" s="8" t="n"/>
      <x:c r="B22" s="17" t="n"/>
      <x:c r="D22" s="8" t="inlineStr">
        <x:is>
          <x:t xml:space="preserve">DSCR above minimum</x:t>
        </x:is>
      </x:c>
      <x:c r="E22" s="29" t="b">
        <x:f>B13&gt;='Buy Box'!$B$29</x:f>
        <x:v>1</x:v>
      </x:c>
      <x:c r="F22" s="17" t="n"/>
      <x:c r="G22" s="17" t="n"/>
      <x:c r="H22" s="8" t="n"/>
    </x:row>
    <x:row r="23">
      <x:c r="A23" s="8" t="n"/>
      <x:c r="B23" s="17" t="n"/>
      <x:c r="D23" s="8" t="inlineStr">
        <x:is>
          <x:t xml:space="preserve">Stabilized yield above minimum</x:t>
        </x:is>
      </x:c>
      <x:c r="E23" s="29" t="b">
        <x:f>B12&gt;='Buy Box'!$B$30</x:f>
        <x:v>1</x:v>
      </x:c>
      <x:c r="F23" s="17" t="n"/>
      <x:c r="G23" s="17" t="n"/>
      <x:c r="H23" s="8" t="n"/>
    </x:row>
    <x:row r="24">
      <x:c r="A24" s="8" t="n"/>
      <x:c r="B24" s="17" t="n"/>
      <x:c r="D24" s="8" t="inlineStr">
        <x:is>
          <x:t xml:space="preserve">Neighborhood score above minimum</x:t>
        </x:is>
      </x:c>
      <x:c r="E24" s="29" t="b">
        <x:f>B15&gt;='Buy Box'!$B$31</x:f>
        <x:v>1</x:v>
      </x:c>
      <x:c r="F24" s="17" t="n"/>
      <x:c r="G24" s="17" t="n"/>
      <x:c r="H24" s="8" t="n"/>
    </x:row>
    <x:row r="25">
      <x:c r="A25" s="8" t="n"/>
      <x:c r="B25" s="17" t="n"/>
      <x:c r="D25" s="8" t="n"/>
      <x:c r="E25" s="17" t="n"/>
      <x:c r="F25" s="17" t="n"/>
      <x:c r="G25" s="17" t="n"/>
      <x:c r="H25" s="8" t="n"/>
    </x:row>
    <x:row r="26">
      <x:c r="A26" s="8" t="n"/>
      <x:c r="B26" s="17" t="n"/>
      <x:c r="D26" s="8" t="inlineStr">
        <x:is>
          <x:t xml:space="preserve">Failed hard gates</x:t>
        </x:is>
      </x:c>
      <x:c r="E26" s="30">
        <x:f>COUNTIF(E20:E24,FALSE)</x:f>
        <x:v>0</x:v>
      </x:c>
      <x:c r="F26" s="17" t="n"/>
      <x:c r="G26" s="17" t="n"/>
      <x:c r="H26" s="8" t="n"/>
    </x:row>
    <x:row r="27">
      <x:c r="A27" s="8" t="n"/>
      <x:c r="B27" s="17" t="n"/>
      <x:c r="D27" s="8" t="inlineStr">
        <x:is>
          <x:t xml:space="preserve">First-deal fit score</x:t>
        </x:is>
      </x:c>
      <x:c r="E27" s="28">
        <x:f>ROUND(E16-IF(E26&gt;0,E26*10,0),1)</x:f>
        <x:v>70</x:v>
      </x:c>
      <x:c r="F27" s="17" t="n"/>
      <x:c r="G27" s="17" t="n"/>
      <x:c r="H27" s="8" t="n"/>
    </x:row>
    <x:row r="28">
      <x:c r="A28" s="8" t="n"/>
      <x:c r="B28" s="17" t="n"/>
      <x:c r="D28" s="8" t="inlineStr">
        <x:is>
          <x:t xml:space="preserve">Recommendation</x:t>
        </x:is>
      </x:c>
      <x:c r="E28" s="31" t="str">
        <x:f>IF(E26&gt;1,"PASS",IF(E27&gt;=80,"PURSUE",IF(E27&gt;=65,"MAYBE","PASS")))</x:f>
        <x:v>MAYBE</x:v>
      </x:c>
      <x:c r="F28" s="17" t="n"/>
      <x:c r="G28" s="17" t="n"/>
      <x:c r="H28" s="8" t="n"/>
    </x:row>
    <x:row r="29">
      <x:c r="A29" s="8" t="n"/>
      <x:c r="B29" s="17" t="n"/>
      <x:c r="D29" s="8" t="n"/>
      <x:c r="E29" s="17" t="n"/>
      <x:c r="F29" s="17" t="n"/>
      <x:c r="G29" s="17" t="n"/>
      <x:c r="H29" s="8" t="n"/>
    </x:row>
  </x:sheetData>
  <x:conditionalFormatting sqref="E27:E27">
    <x:cfRule type="cellIs" dxfId="0" priority="1" operator="greaterThanOrEqual">
      <x:formula>80</x:formula>
    </x:cfRule>
    <x:cfRule type="cellIs" dxfId="1" priority="2" operator="between">
      <x:formula>65</x:formula>
      <x:formula>79.999</x:formula>
    </x:cfRule>
    <x:cfRule type="cellIs" dxfId="2" priority="3" operator="lessThan">
      <x:formula>65</x:formula>
    </x:cfRule>
  </x:conditionalFormatting>
  <x:dataValidations count="1">
    <x:dataValidation type="whole" operator="between" allowBlank="0" showDropDown="0" showInputMessage="0" showErrorMessage="0" sqref="E6:E13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62" customWidth="1"/>
    <x:col min="3" max="3" width="12" customWidth="1"/>
    <x:col min="4" max="4" width="34" customWidth="1"/>
    <x:col min="6" max="6" width="14" customWidth="1"/>
    <x:col min="7" max="7" width="16" customWidth="1"/>
  </x:cols>
  <x:sheetData>
    <x:row r="1">
      <x:c r="A1" s="5" t="inlineStr">
        <x:is>
          <x:t xml:space="preserve">Deal Screening Checklist</x:t>
        </x:is>
      </x:c>
    </x:row>
    <x:row r="2">
      <x:c r="A2" s="2" t="inlineStr">
        <x:is>
          <x:t xml:space="preserve">Use this before deep underwriting. Anything red-flagged here should probably die early.</x:t>
        </x:is>
      </x:c>
    </x:row>
    <x:row r="4">
      <x:c r="A4" s="6" t="inlineStr">
        <x:is>
          <x:t xml:space="preserve">Category</x:t>
        </x:is>
      </x:c>
      <x:c r="B4" s="6" t="inlineStr">
        <x:is>
          <x:t xml:space="preserve">Question</x:t>
        </x:is>
      </x:c>
      <x:c r="C4" s="6" t="inlineStr">
        <x:is>
          <x:t xml:space="preserve">Status</x:t>
        </x:is>
      </x:c>
      <x:c r="D4" s="6" t="inlineStr">
        <x:is>
          <x:t xml:space="preserve">Notes</x:t>
        </x:is>
      </x:c>
      <x:c r="F4" s="4" t="inlineStr">
        <x:is>
          <x:t xml:space="preserve">Summary</x:t>
        </x:is>
      </x:c>
    </x:row>
    <x:row r="5">
      <x:c r="A5" s="8" t="inlineStr">
        <x:is>
          <x:t xml:space="preserve">Location</x:t>
        </x:is>
      </x:c>
      <x:c r="B5" s="8" t="inlineStr">
        <x:is>
          <x:t xml:space="preserve">Is the neighborhood one of your approved target areas?</x:t>
        </x:is>
      </x:c>
      <x:c r="C5" s="8" t="inlineStr">
        <x:is>
          <x:t xml:space="preserve">Review</x:t>
        </x:is>
      </x:c>
      <x:c r="D5" s="8" t="inlineStr">
        <x:is>
          <x:t xml:space="preserve"/>
        </x:is>
      </x:c>
      <x:c r="F5" t="inlineStr">
        <x:is>
          <x:t xml:space="preserve">Yes count</x:t>
        </x:is>
      </x:c>
      <x:c r="G5" s="32">
        <x:f>COUNTIF(C5:C18,"Yes")</x:f>
        <x:v>0</x:v>
      </x:c>
    </x:row>
    <x:row r="6">
      <x:c r="A6" s="8" t="inlineStr">
        <x:is>
          <x:t xml:space="preserve">Location</x:t>
        </x:is>
      </x:c>
      <x:c r="B6" s="8" t="inlineStr">
        <x:is>
          <x:t xml:space="preserve">Would you still want to own it if rent growth stays flat?</x:t>
        </x:is>
      </x:c>
      <x:c r="C6" s="8" t="inlineStr">
        <x:is>
          <x:t xml:space="preserve">Review</x:t>
        </x:is>
      </x:c>
      <x:c r="D6" s="8" t="inlineStr">
        <x:is>
          <x:t xml:space="preserve"/>
        </x:is>
      </x:c>
      <x:c r="F6" t="inlineStr">
        <x:is>
          <x:t xml:space="preserve">Maybe count</x:t>
        </x:is>
      </x:c>
      <x:c r="G6" s="32">
        <x:f>COUNTIF(C5:C18,"Maybe")</x:f>
        <x:v>0</x:v>
      </x:c>
    </x:row>
    <x:row r="7">
      <x:c r="A7" s="8" t="inlineStr">
        <x:is>
          <x:t xml:space="preserve">Deal shape</x:t>
        </x:is>
      </x:c>
      <x:c r="B7" s="8" t="inlineStr">
        <x:is>
          <x:t xml:space="preserve">Is unit count within 6–20 (or your set range)?</x:t>
        </x:is>
      </x:c>
      <x:c r="C7" s="8" t="inlineStr">
        <x:is>
          <x:t xml:space="preserve">Review</x:t>
        </x:is>
      </x:c>
      <x:c r="D7" s="8" t="inlineStr">
        <x:is>
          <x:t xml:space="preserve"/>
        </x:is>
      </x:c>
      <x:c r="F7" t="inlineStr">
        <x:is>
          <x:t xml:space="preserve">No count</x:t>
        </x:is>
      </x:c>
      <x:c r="G7" s="32">
        <x:f>COUNTIF(C5:C18,"No")</x:f>
        <x:v>0</x:v>
      </x:c>
    </x:row>
    <x:row r="8">
      <x:c r="A8" s="8" t="inlineStr">
        <x:is>
          <x:t xml:space="preserve">Deal shape</x:t>
        </x:is>
      </x:c>
      <x:c r="B8" s="8" t="inlineStr">
        <x:is>
          <x:t xml:space="preserve">Is the value-add plan visible within 12 months?</x:t>
        </x:is>
      </x:c>
      <x:c r="C8" s="8" t="inlineStr">
        <x:is>
          <x:t xml:space="preserve">Review</x:t>
        </x:is>
      </x:c>
      <x:c r="D8" s="8" t="inlineStr">
        <x:is>
          <x:t xml:space="preserve"/>
        </x:is>
      </x:c>
      <x:c r="F8" t="inlineStr">
        <x:is>
          <x:t xml:space="preserve">Review count</x:t>
        </x:is>
      </x:c>
      <x:c r="G8" s="32">
        <x:f>COUNTIF(C5:C18,"Review")</x:f>
        <x:v>14</x:v>
      </x:c>
    </x:row>
    <x:row r="9">
      <x:c r="A9" s="8" t="inlineStr">
        <x:is>
          <x:t xml:space="preserve">Financials</x:t>
        </x:is>
      </x:c>
      <x:c r="B9" s="8" t="inlineStr">
        <x:is>
          <x:t xml:space="preserve">Do you have a real T-12 and current rent roll?</x:t>
        </x:is>
      </x:c>
      <x:c r="C9" s="8" t="inlineStr">
        <x:is>
          <x:t xml:space="preserve">Review</x:t>
        </x:is>
      </x:c>
      <x:c r="D9" s="8" t="inlineStr">
        <x:is>
          <x:t xml:space="preserve"/>
        </x:is>
      </x:c>
      <x:c r="F9" t="inlineStr">
        <x:is>
          <x:t xml:space="preserve">Early verdict</x:t>
        </x:is>
      </x:c>
      <x:c r="G9" s="32" t="str">
        <x:f>IF(G7&gt;=2,"PASS",IF(G7=1,"DIG DEEPER",IF(G6&gt;=3,"DIG DEEPER","KEEP GOING")))</x:f>
        <x:v>KEEP GOING</x:v>
      </x:c>
    </x:row>
    <x:row r="10">
      <x:c r="A10" s="8" t="inlineStr">
        <x:is>
          <x:t xml:space="preserve">Financials</x:t>
        </x:is>
      </x:c>
      <x:c r="B10" s="8" t="inlineStr">
        <x:is>
          <x:t xml:space="preserve">Are taxes / insurance / payroll assumptions believable?</x:t>
        </x:is>
      </x:c>
      <x:c r="C10" s="8" t="inlineStr">
        <x:is>
          <x:t xml:space="preserve">Review</x:t>
        </x:is>
      </x:c>
      <x:c r="D10" s="8" t="inlineStr">
        <x:is>
          <x:t xml:space="preserve"/>
        </x:is>
      </x:c>
    </x:row>
    <x:row r="11">
      <x:c r="A11" s="8" t="inlineStr">
        <x:is>
          <x:t xml:space="preserve">Financials</x:t>
        </x:is>
      </x:c>
      <x:c r="B11" s="8" t="inlineStr">
        <x:is>
          <x:t xml:space="preserve">Does the deal still work under conservative DSCR?</x:t>
        </x:is>
      </x:c>
      <x:c r="C11" s="8" t="inlineStr">
        <x:is>
          <x:t xml:space="preserve">Review</x:t>
        </x:is>
      </x:c>
      <x:c r="D11" s="8" t="inlineStr">
        <x:is>
          <x:t xml:space="preserve"/>
        </x:is>
      </x:c>
    </x:row>
    <x:row r="12">
      <x:c r="A12" s="8" t="inlineStr">
        <x:is>
          <x:t xml:space="preserve">Physical</x:t>
        </x:is>
      </x:c>
      <x:c r="B12" s="8" t="inlineStr">
        <x:is>
          <x:t xml:space="preserve">Does the business plan avoid heavy rehab / unknown systems?</x:t>
        </x:is>
      </x:c>
      <x:c r="C12" s="8" t="inlineStr">
        <x:is>
          <x:t xml:space="preserve">Review</x:t>
        </x:is>
      </x:c>
      <x:c r="D12" s="8" t="inlineStr">
        <x:is>
          <x:t xml:space="preserve"/>
        </x:is>
      </x:c>
    </x:row>
    <x:row r="13">
      <x:c r="A13" s="8" t="inlineStr">
        <x:is>
          <x:t xml:space="preserve">Physical</x:t>
        </x:is>
      </x:c>
      <x:c r="B13" s="8" t="inlineStr">
        <x:is>
          <x:t xml:space="preserve">Are roofs, plumbing, electrical, and drainage reasonably clear?</x:t>
        </x:is>
      </x:c>
      <x:c r="C13" s="8" t="inlineStr">
        <x:is>
          <x:t xml:space="preserve">Review</x:t>
        </x:is>
      </x:c>
      <x:c r="D13" s="8" t="inlineStr">
        <x:is>
          <x:t xml:space="preserve"/>
        </x:is>
      </x:c>
    </x:row>
    <x:row r="14">
      <x:c r="A14" s="8" t="inlineStr">
        <x:is>
          <x:t xml:space="preserve">Tenants</x:t>
        </x:is>
      </x:c>
      <x:c r="B14" s="8" t="inlineStr">
        <x:is>
          <x:t xml:space="preserve">Are collections stable enough for a first deal?</x:t>
        </x:is>
      </x:c>
      <x:c r="C14" s="8" t="inlineStr">
        <x:is>
          <x:t xml:space="preserve">Review</x:t>
        </x:is>
      </x:c>
      <x:c r="D14" s="8" t="inlineStr">
        <x:is>
          <x:t xml:space="preserve"/>
        </x:is>
      </x:c>
    </x:row>
    <x:row r="15">
      <x:c r="A15" s="8" t="inlineStr">
        <x:is>
          <x:t xml:space="preserve">Tenants</x:t>
        </x:is>
      </x:c>
      <x:c r="B15" s="8" t="inlineStr">
        <x:is>
          <x:t xml:space="preserve">Is the tenant profile manageable, not chaotic?</x:t>
        </x:is>
      </x:c>
      <x:c r="C15" s="8" t="inlineStr">
        <x:is>
          <x:t xml:space="preserve">Review</x:t>
        </x:is>
      </x:c>
      <x:c r="D15" s="8" t="inlineStr">
        <x:is>
          <x:t xml:space="preserve"/>
        </x:is>
      </x:c>
    </x:row>
    <x:row r="16">
      <x:c r="A16" s="8" t="inlineStr">
        <x:is>
          <x:t xml:space="preserve">Seller</x:t>
        </x:is>
      </x:c>
      <x:c r="B16" s="8" t="inlineStr">
        <x:is>
          <x:t xml:space="preserve">Do seller records feel organized and truthful?</x:t>
        </x:is>
      </x:c>
      <x:c r="C16" s="8" t="inlineStr">
        <x:is>
          <x:t xml:space="preserve">Review</x:t>
        </x:is>
      </x:c>
      <x:c r="D16" s="8" t="inlineStr">
        <x:is>
          <x:t xml:space="preserve"/>
        </x:is>
      </x:c>
    </x:row>
    <x:row r="17">
      <x:c r="A17" s="8" t="inlineStr">
        <x:is>
          <x:t xml:space="preserve">Exit</x:t>
        </x:is>
      </x:c>
      <x:c r="B17" s="8" t="inlineStr">
        <x:is>
          <x:t xml:space="preserve">Is there a plausible refinance / exit path?</x:t>
        </x:is>
      </x:c>
      <x:c r="C17" s="8" t="inlineStr">
        <x:is>
          <x:t xml:space="preserve">Review</x:t>
        </x:is>
      </x:c>
      <x:c r="D17" s="8" t="inlineStr">
        <x:is>
          <x:t xml:space="preserve"/>
        </x:is>
      </x:c>
    </x:row>
    <x:row r="18">
      <x:c r="A18" s="8" t="inlineStr">
        <x:is>
          <x:t xml:space="preserve">Emotion</x:t>
        </x:is>
      </x:c>
      <x:c r="B18" s="8" t="inlineStr">
        <x:is>
          <x:t xml:space="preserve">Are you pursuing because it fits, not because you are afraid to miss a deal?</x:t>
        </x:is>
      </x:c>
      <x:c r="C18" s="8" t="inlineStr">
        <x:is>
          <x:t xml:space="preserve">Review</x:t>
        </x:is>
      </x:c>
      <x:c r="D18" s="8" t="inlineStr">
        <x:is>
          <x:t xml:space="preserve"/>
        </x:is>
      </x:c>
    </x:row>
  </x:sheetData>
  <x:conditionalFormatting sqref="C5:C18">
    <x:cfRule type="expression" dxfId="2" priority="1">
      <x:formula>C5="No"</x:formula>
    </x:cfRule>
    <x:cfRule type="expression" dxfId="1" priority="2">
      <x:formula>C5="Maybe"</x:formula>
    </x:cfRule>
    <x:cfRule type="expression" dxfId="0" priority="3">
      <x:formula>C5="Yes"</x:formula>
    </x:cfRule>
  </x:conditionalFormatting>
  <x:dataValidations count="1">
    <x:dataValidation type="list" allowBlank="0" showDropDown="0" showInputMessage="0" showErrorMessage="0" sqref="C5:C18">
      <x:formula1>"Yes,Maybe,No,Review"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00" customWidth="1"/>
  </x:cols>
  <x:sheetData>
    <x:row r="1">
      <x:c r="A1" s="5" t="inlineStr">
        <x:is>
          <x:t xml:space="preserve">Diligence Question Bank</x:t>
        </x:is>
      </x:c>
    </x:row>
    <x:row r="2">
      <x:c r="A2" s="2" t="inlineStr">
        <x:is>
          <x:t xml:space="preserve">Questions to use with broker, seller, PM, lender, inspector, and attorney.</x:t>
        </x:is>
      </x:c>
    </x:row>
    <x:row r="4">
      <x:c r="A4" s="6" t="inlineStr">
        <x:is>
          <x:t xml:space="preserve">Workstream</x:t>
        </x:is>
      </x:c>
      <x:c r="B4" s="6" t="inlineStr">
        <x:is>
          <x:t xml:space="preserve">Questions to ask</x:t>
        </x:is>
      </x:c>
    </x:row>
    <x:row r="5">
      <x:c r="A5" t="inlineStr">
        <x:is>
          <x:t xml:space="preserve">Broker / seller</x:t>
        </x:is>
      </x:c>
      <x:c r="B5" s="8" t="inlineStr">
        <x:is>
          <x:t xml:space="preserve">• Why is the seller selling now?
• What has been the hardest thing about operating the asset?
• What is the real story behind under-market rents or vacancies?
• What surprised prior buyers or lenders, if any?</x:t>
        </x:is>
      </x:c>
    </x:row>
    <x:row r="6">
      <x:c r="A6" t="inlineStr">
        <x:is>
          <x:t xml:space="preserve">Financial</x:t>
        </x:is>
      </x:c>
      <x:c r="B6" s="8" t="inlineStr">
        <x:is>
          <x:t xml:space="preserve">• Can you reconcile T-12 to trailing bank statements / collections?
• How are bad debt, concessions, and nonrecurring repairs treated?
• What will taxes and insurance likely be after sale?</x:t>
        </x:is>
      </x:c>
    </x:row>
    <x:row r="7">
      <x:c r="A7" t="inlineStr">
        <x:is>
          <x:t xml:space="preserve">Tenants</x:t>
        </x:is>
      </x:c>
      <x:c r="B7" s="8" t="inlineStr">
        <x:is>
          <x:t xml:space="preserve">• Who is actually living here and why do they choose this asset?
• How stable are collections by unit and by month?
• Any unrecorded concessions, side deals, or problem residents?</x:t>
        </x:is>
      </x:c>
    </x:row>
    <x:row r="8">
      <x:c r="A8" t="inlineStr">
        <x:is>
          <x:t xml:space="preserve">Physical</x:t>
        </x:is>
      </x:c>
      <x:c r="B8" s="8" t="inlineStr">
        <x:is>
          <x:t xml:space="preserve">• Age and remaining life of roof, HVAC, plumbing lines, panels, water heaters?
• Any water intrusion, sewer backups, drainage issues, or recurring leaks?
• What capex has been deferred because ownership did not want to spend?</x:t>
        </x:is>
      </x:c>
    </x:row>
    <x:row r="9">
      <x:c r="A9" t="inlineStr">
        <x:is>
          <x:t xml:space="preserve">Legal / title</x:t>
        </x:is>
      </x:c>
      <x:c r="B9" s="8" t="inlineStr">
        <x:is>
          <x:t xml:space="preserve">• Any code violations, permits, zoning nonconformities, easements, or encroachments?
• Any unsettled claims, tenant disputes, or open liens?</x:t>
        </x:is>
      </x:c>
    </x:row>
    <x:row r="10">
      <x:c r="A10" t="inlineStr">
        <x:is>
          <x:t xml:space="preserve">Management</x:t>
        </x:is>
      </x:c>
      <x:c r="B10" s="8" t="inlineStr">
        <x:is>
          <x:t xml:space="preserve">• Could a third-party PM take this over immediately?
• What tasks would be hardest to systematize in the first 90 days?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0" customWidth="1"/>
    <x:col min="3" max="3" width="72" customWidth="1"/>
    <x:col min="4" max="4" width="24" customWidth="1"/>
  </x:cols>
  <x:sheetData>
    <x:row r="1">
      <x:c r="A1" s="5" t="inlineStr">
        <x:is>
          <x:t xml:space="preserve">First 100 Days Post-Close</x:t>
        </x:is>
      </x:c>
    </x:row>
    <x:row r="4">
      <x:c r="A4" s="6" t="inlineStr">
        <x:is>
          <x:t xml:space="preserve">Window</x:t>
        </x:is>
      </x:c>
      <x:c r="B4" s="6" t="inlineStr">
        <x:is>
          <x:t xml:space="preserve">Priority</x:t>
        </x:is>
      </x:c>
      <x:c r="C4" s="6" t="inlineStr">
        <x:is>
          <x:t xml:space="preserve">Actions</x:t>
        </x:is>
      </x:c>
      <x:c r="D4" s="6" t="inlineStr">
        <x:is>
          <x:t xml:space="preserve">Output</x:t>
        </x:is>
      </x:c>
    </x:row>
    <x:row r="5">
      <x:c r="A5" s="8" t="inlineStr">
        <x:is>
          <x:t xml:space="preserve">Days 1–14</x:t>
        </x:is>
      </x:c>
      <x:c r="B5" s="8" t="inlineStr">
        <x:is>
          <x:t xml:space="preserve">Control the property</x:t>
        </x:is>
      </x:c>
      <x:c r="C5" s="8" t="inlineStr">
        <x:is>
          <x:t xml:space="preserve">Confirm collections, inspect every unit, stabilize tenant communication, fix life-safety issues, lock vendors</x:t>
        </x:is>
      </x:c>
      <x:c r="D5" s="8" t="inlineStr">
        <x:is>
          <x:t xml:space="preserve">Clear picture of reality</x:t>
        </x:is>
      </x:c>
    </x:row>
    <x:row r="6">
      <x:c r="A6" s="8" t="inlineStr">
        <x:is>
          <x:t xml:space="preserve">Days 15–30</x:t>
        </x:is>
      </x:c>
      <x:c r="B6" s="8" t="inlineStr">
        <x:is>
          <x:t xml:space="preserve">Set the operating system</x:t>
        </x:is>
      </x:c>
      <x:c r="C6" s="8" t="inlineStr">
        <x:is>
          <x:t xml:space="preserve">Repair priorities, turn schedule, PM cadence, weekly KPI reporting, leasing standards</x:t>
        </x:is>
      </x:c>
      <x:c r="D6" s="8" t="inlineStr">
        <x:is>
          <x:t xml:space="preserve">No chaos / repeatable process</x:t>
        </x:is>
      </x:c>
    </x:row>
    <x:row r="7">
      <x:c r="A7" s="8" t="inlineStr">
        <x:is>
          <x:t xml:space="preserve">Days 31–60</x:t>
        </x:is>
      </x:c>
      <x:c r="B7" s="8" t="inlineStr">
        <x:is>
          <x:t xml:space="preserve">Start visible improvements</x:t>
        </x:is>
      </x:c>
      <x:c r="C7" s="8" t="inlineStr">
        <x:is>
          <x:t xml:space="preserve">Highest-ROI turns, common-area optics, maintenance speed, expense cleanup</x:t>
        </x:is>
      </x:c>
      <x:c r="D7" s="8" t="inlineStr">
        <x:is>
          <x:t xml:space="preserve">Better tenant experience + cleaner NOI</x:t>
        </x:is>
      </x:c>
    </x:row>
    <x:row r="8">
      <x:c r="A8" s="8" t="inlineStr">
        <x:is>
          <x:t xml:space="preserve">Days 61–100</x:t>
        </x:is>
      </x:c>
      <x:c r="B8" s="8" t="inlineStr">
        <x:is>
          <x:t xml:space="preserve">Turn gains into traction</x:t>
        </x:is>
      </x:c>
      <x:c r="C8" s="8" t="inlineStr">
        <x:is>
          <x:t xml:space="preserve">Measured rent adjustments, renewal plan, capex pacing, refi / hold review, acquisition lessons log</x:t>
        </x:is>
      </x:c>
      <x:c r="D8" s="8" t="inlineStr">
        <x:is>
          <x:t xml:space="preserve">Proof that the business plan is real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24" customWidth="1"/>
    <x:col min="4" max="4" width="20" customWidth="1"/>
    <x:col min="5" max="5" width="14" customWidth="1"/>
    <x:col min="6" max="6" width="18" customWidth="1"/>
    <x:col min="7" max="7" width="34" customWidth="1"/>
    <x:col min="8" max="8" width="28" customWidth="1"/>
  </x:cols>
  <x:sheetData>
    <x:row r="1">
      <x:c r="A1" s="6" t="inlineStr">
        <x:is>
          <x:t xml:space="preserve">Broker / Team</x:t>
        </x:is>
      </x:c>
      <x:c r="B1" s="6" t="inlineStr">
        <x:is>
          <x:t xml:space="preserve">Firm</x:t>
        </x:is>
      </x:c>
      <x:c r="C1" s="6" t="inlineStr">
        <x:is>
          <x:t xml:space="preserve">Email / Phone</x:t>
        </x:is>
      </x:c>
      <x:c r="D1" s="6" t="inlineStr">
        <x:is>
          <x:t xml:space="preserve">Coverage</x:t>
        </x:is>
      </x:c>
      <x:c r="E1" s="6" t="inlineStr">
        <x:is>
          <x:t xml:space="preserve">Last Contact</x:t>
        </x:is>
      </x:c>
      <x:c r="F1" s="6" t="inlineStr">
        <x:is>
          <x:t xml:space="preserve">Next Step</x:t>
        </x:is>
      </x:c>
      <x:c r="G1" s="6" t="inlineStr">
        <x:is>
          <x:t xml:space="preserve">What They Should Send You</x:t>
        </x:is>
      </x:c>
      <x:c r="H1" s="6" t="inlineStr">
        <x:is>
          <x:t xml:space="preserve">Notes</x:t>
        </x:is>
      </x:c>
    </x:row>
    <x:row r="2">
      <x:c r="A2" s="8" t="inlineStr">
        <x:is>
          <x:t xml:space="preserve">Jeff Glenn / James Dorsett</x:t>
        </x:is>
      </x:c>
      <x:c r="B2" s="8" t="inlineStr">
        <x:is>
          <x:t xml:space="preserve">Northmarq</x:t>
        </x:is>
      </x:c>
      <x:c r="C2" s="8" t="inlineStr">
        <x:is>
          <x:t xml:space="preserve"/>
        </x:is>
      </x:c>
      <x:c r="D2" s="8" t="inlineStr">
        <x:is>
          <x:t xml:space="preserve">Durham / Carolinas</x:t>
        </x:is>
      </x:c>
      <x:c r="E2" s="8" t="inlineStr">
        <x:is>
          <x:t xml:space="preserve"/>
        </x:is>
      </x:c>
      <x:c r="F2" s="8" t="inlineStr">
        <x:is>
          <x:t xml:space="preserve">Intro call</x:t>
        </x:is>
      </x:c>
      <x:c r="G2" s="8" t="inlineStr">
        <x:is>
          <x:t xml:space="preserve">Quiet/off-market Durham 6–20 unit deals</x:t>
        </x:is>
      </x:c>
      <x:c r="H2" s="8" t="inlineStr">
        <x:is>
          <x:t xml:space="preserve"/>
        </x:is>
      </x:c>
    </x:row>
    <x:row r="3">
      <x:c r="A3" s="8" t="inlineStr">
        <x:is>
          <x:t xml:space="preserve">Steven Peden / David Zipparo</x:t>
        </x:is>
      </x:c>
      <x:c r="B3" s="8" t="inlineStr">
        <x:is>
          <x:t xml:space="preserve">Avison Young</x:t>
        </x:is>
      </x:c>
      <x:c r="C3" s="8" t="inlineStr">
        <x:is>
          <x:t xml:space="preserve"/>
        </x:is>
      </x:c>
      <x:c r="D3" s="8" t="inlineStr">
        <x:is>
          <x:t xml:space="preserve">RDU multifamily</x:t>
        </x:is>
      </x:c>
      <x:c r="E3" s="8" t="inlineStr">
        <x:is>
          <x:t xml:space="preserve"/>
        </x:is>
      </x:c>
      <x:c r="F3" s="8" t="inlineStr">
        <x:is>
          <x:t xml:space="preserve">Intro call</x:t>
        </x:is>
      </x:c>
      <x:c r="G3" s="8" t="inlineStr">
        <x:is>
          <x:t xml:space="preserve">Owner outreach / smaller-mid market Durham product</x:t>
        </x:is>
      </x:c>
      <x:c r="H3" s="8" t="inlineStr">
        <x:is>
          <x:t xml:space="preserve"/>
        </x:is>
      </x:c>
    </x:row>
    <x:row r="4">
      <x:c r="A4" s="8" t="inlineStr">
        <x:is>
          <x:t xml:space="preserve">Matt Robertson</x:t>
        </x:is>
      </x:c>
      <x:c r="B4" s="8" t="inlineStr">
        <x:is>
          <x:t xml:space="preserve">Berkadia</x:t>
        </x:is>
      </x:c>
      <x:c r="C4" s="8" t="inlineStr">
        <x:is>
          <x:t xml:space="preserve"/>
        </x:is>
      </x:c>
      <x:c r="D4" s="8" t="inlineStr">
        <x:is>
          <x:t xml:space="preserve">Triangle / Carolinas</x:t>
        </x:is>
      </x:c>
      <x:c r="E4" s="8" t="inlineStr">
        <x:is>
          <x:t xml:space="preserve"/>
        </x:is>
      </x:c>
      <x:c r="F4" s="8" t="inlineStr">
        <x:is>
          <x:t xml:space="preserve">Intro call</x:t>
        </x:is>
      </x:c>
      <x:c r="G4" s="8" t="inlineStr">
        <x:is>
          <x:t xml:space="preserve">Durham / Chapel Hill small and middle-market opportunities</x:t>
        </x:is>
      </x:c>
      <x:c r="H4" s="8" t="inlineStr">
        <x:is>
          <x:t xml:space="preserve"/>
        </x:is>
      </x:c>
    </x:row>
    <x:row r="5">
      <x:c r="A5" s="8" t="inlineStr">
        <x:is>
          <x:t xml:space="preserve">John Daly</x:t>
        </x:is>
      </x:c>
      <x:c r="B5" s="8" t="inlineStr">
        <x:is>
          <x:t xml:space="preserve">Marcus &amp; Millichap</x:t>
        </x:is>
      </x:c>
      <x:c r="C5" s="8" t="inlineStr">
        <x:is>
          <x:t xml:space="preserve"/>
        </x:is>
      </x:c>
      <x:c r="D5" s="8" t="inlineStr">
        <x:is>
          <x:t xml:space="preserve">Private capital / RDU</x:t>
        </x:is>
      </x:c>
      <x:c r="E5" s="8" t="inlineStr">
        <x:is>
          <x:t xml:space="preserve"/>
        </x:is>
      </x:c>
      <x:c r="F5" s="8" t="inlineStr">
        <x:is>
          <x:t xml:space="preserve">Intro call</x:t>
        </x:is>
      </x:c>
      <x:c r="G5" s="8" t="inlineStr">
        <x:is>
          <x:t xml:space="preserve">Smaller marketed or private-capital Durham deals</x:t>
        </x:is>
      </x:c>
      <x:c r="H5" s="8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88" customWidth="1"/>
  </x:cols>
  <x:sheetData>
    <x:row r="1">
      <x:c r="A1" s="6" t="inlineStr">
        <x:is>
          <x:t xml:space="preserve">Topic</x:t>
        </x:is>
      </x:c>
      <x:c r="B1" s="6" t="inlineStr">
        <x:is>
          <x:t xml:space="preserve">URL</x:t>
        </x:is>
      </x:c>
    </x:row>
    <x:row r="2">
      <x:c r="A2" s="3" t="inlineStr">
        <x:is>
          <x:t xml:space="preserve">Durham overall housing market</x:t>
        </x:is>
      </x:c>
      <x:c r="B2" s="3" t="inlineStr">
        <x:is>
          <x:t xml:space="preserve">https://www.zillow.com/home-values/24457/durham-nc/</x:t>
        </x:is>
      </x:c>
    </x:row>
    <x:row r="3">
      <x:c r="A3" s="3" t="inlineStr">
        <x:is>
          <x:t xml:space="preserve">Lakewood / West End proxy</x:t>
        </x:is>
      </x:c>
      <x:c r="B3" s="3" t="inlineStr">
        <x:is>
          <x:t xml:space="preserve">https://www.zillow.com/home-values/125048/lakewood-park-durham-nc/</x:t>
        </x:is>
      </x:c>
    </x:row>
    <x:row r="4">
      <x:c r="A4" s="3" t="inlineStr">
        <x:is>
          <x:t xml:space="preserve">Walltown proxy</x:t>
        </x:is>
      </x:c>
      <x:c r="B4" s="3" t="inlineStr">
        <x:is>
          <x:t xml:space="preserve">https://www.zillow.com/home-values/761279/walltown-durham-nc/</x:t>
        </x:is>
      </x:c>
    </x:row>
    <x:row r="5">
      <x:c r="A5" s="3" t="inlineStr">
        <x:is>
          <x:t xml:space="preserve">Old East Durham proxy</x:t>
        </x:is>
      </x:c>
      <x:c r="B5" s="3" t="inlineStr">
        <x:is>
          <x:t xml:space="preserve">https://www.zillow.com/home-values/761305/old-east-durham-durham-nc/</x:t>
        </x:is>
      </x:c>
    </x:row>
    <x:row r="6">
      <x:c r="A6" s="3" t="inlineStr">
        <x:is>
          <x:t xml:space="preserve">Parkwood proxy</x:t>
        </x:is>
      </x:c>
      <x:c r="B6" s="3" t="inlineStr">
        <x:is>
          <x:t xml:space="preserve">https://www.zillow.com/home-values/251583/parkwood-durham-nc/</x:t>
        </x:is>
      </x:c>
    </x:row>
    <x:row r="7">
      <x:c r="A7" s="3" t="inlineStr">
        <x:is>
          <x:t xml:space="preserve">Duke Park proxy</x:t>
        </x:is>
      </x:c>
      <x:c r="B7" s="3" t="inlineStr">
        <x:is>
          <x:t xml:space="preserve">https://www.zillow.com/home-values/761336/duke-park-durham-nc/</x:t>
        </x:is>
      </x:c>
    </x:row>
    <x:row r="8">
      <x:c r="A8" s="3" t="inlineStr">
        <x:is>
          <x:t xml:space="preserve">Old West Durham proxy</x:t>
        </x:is>
      </x:c>
      <x:c r="B8" s="3" t="inlineStr">
        <x:is>
          <x:t xml:space="preserve">https://www.zillow.com/home-values/761301/old-west-durham-durham-nc/</x:t>
        </x:is>
      </x:c>
    </x:row>
    <x:row r="9">
      <x:c r="A9" s="3" t="inlineStr">
        <x:is>
          <x:t xml:space="preserve">Cleveland-Holloway proxy</x:t>
        </x:is>
      </x:c>
      <x:c r="B9" s="3" t="inlineStr">
        <x:is>
          <x:t xml:space="preserve">https://www.zillow.com/home-values/761349/cleveland-holloway-durham-nc/</x:t>
        </x:is>
      </x:c>
    </x:row>
    <x:row r="10">
      <x:c r="A10" s="3" t="inlineStr">
        <x:is>
          <x:t xml:space="preserve">Morehead Hill proxy</x:t>
        </x:is>
      </x:c>
      <x:c r="B10" s="3" t="inlineStr">
        <x:is>
          <x:t xml:space="preserve">https://www.zillow.com/home-values/761312/morehead-hill-durham-nc/</x:t>
        </x:is>
      </x:c>
    </x:row>
    <x:row r="11">
      <x:c r="A11" s="3" t="inlineStr">
        <x:is>
          <x:t xml:space="preserve">Old North Durham proxy</x:t>
        </x:is>
      </x:c>
      <x:c r="B11" s="3" t="inlineStr">
        <x:is>
          <x:t xml:space="preserve">https://www.zillow.com/home-values/761302/old-north-durham-durham-nc/</x:t>
        </x:is>
      </x:c>
    </x:row>
    <x:row r="12">
      <x:c r="A12" s="3" t="inlineStr">
        <x:is>
          <x:t xml:space="preserve">Trinity Park proxy</x:t>
        </x:is>
      </x:c>
      <x:c r="B12" s="3" t="inlineStr">
        <x:is>
          <x:t xml:space="preserve">https://www.zillow.com/home-values/272276/trinity-park-durham-nc/</x:t>
        </x:is>
      </x:c>
    </x:row>
    <x:row r="13">
      <x:c r="A13" s="3" t="inlineStr">
        <x:is>
          <x:t xml:space="preserve">Northmarq RDU Q4 2025</x:t>
        </x:is>
      </x:c>
      <x:c r="B13" s="3" t="inlineStr">
        <x:is>
          <x:t xml:space="preserve">https://www.northmarq.com/insights/insights/raleigh-durhams-multifamily-transaction-activity-rebounds-fourth-quarter</x:t>
        </x:is>
      </x:c>
    </x:row>
    <x:row r="14">
      <x:c r="A14" s="3" t="inlineStr">
        <x:is>
          <x:t xml:space="preserve">Northmarq RDU Q3 2025</x:t>
        </x:is>
      </x:c>
      <x:c r="B14" s="3" t="inlineStr">
        <x:is>
          <x:t xml:space="preserve">https://www.northmarq.com/insights/insights/vacancy-levels-new-multifamily-construction-starts-decline-raleigh-durham</x:t>
        </x:is>
      </x:c>
    </x:row>
    <x:row r="15">
      <x:c r="A15" s="3" t="inlineStr">
        <x:is>
          <x:t xml:space="preserve">Northmarq RDU Q2 2025</x:t>
        </x:is>
      </x:c>
      <x:c r="B15" s="3" t="inlineStr">
        <x:is>
          <x:t xml:space="preserve">https://www.northmarq.com/insights/insights/multifamily-demand-remains-strong-raleigh-supply-growth-begins-ease</x:t>
        </x:is>
      </x:c>
    </x:row>
    <x:row r="16">
      <x:c r="A16" s="3" t="inlineStr">
        <x:is>
          <x:t xml:space="preserve">Northmarq Jeff Glenn profile</x:t>
        </x:is>
      </x:c>
      <x:c r="B16" s="3" t="inlineStr">
        <x:is>
          <x:t xml:space="preserve">https://www.northmarq.com/people/jeff-glenn</x:t>
        </x:is>
      </x:c>
    </x:row>
    <x:row r="17">
      <x:c r="A17" s="3" t="inlineStr">
        <x:is>
          <x:t xml:space="preserve">Northmarq James Dorsett profile</x:t>
        </x:is>
      </x:c>
      <x:c r="B17" s="3" t="inlineStr">
        <x:is>
          <x:t xml:space="preserve">https://www.northmarq.com/people/james-dorsett</x:t>
        </x:is>
      </x:c>
    </x:row>
    <x:row r="18">
      <x:c r="A18" s="3" t="inlineStr">
        <x:is>
          <x:t xml:space="preserve">Northmarq Triangle Park sale</x:t>
        </x:is>
      </x:c>
      <x:c r="B18" s="3" t="inlineStr">
        <x:is>
          <x:t xml:space="preserve">https://www.northmarq.com/transactions/triangle-park-apartments-sale-2024-09</x:t>
        </x:is>
      </x:c>
    </x:row>
    <x:row r="19">
      <x:c r="A19" s="3" t="inlineStr">
        <x:is>
          <x:t xml:space="preserve">Avison Young Steven Peden</x:t>
        </x:is>
      </x:c>
      <x:c r="B19" s="3" t="inlineStr">
        <x:is>
          <x:t xml:space="preserve">https://www.avisonyoung.us/professionals/-/ayp/view/steven-peden-principal/in/raleigh-durham</x:t>
        </x:is>
      </x:c>
    </x:row>
    <x:row r="20">
      <x:c r="A20" s="3" t="inlineStr">
        <x:is>
          <x:t xml:space="preserve">Avison Young David Zipparo</x:t>
        </x:is>
      </x:c>
      <x:c r="B20" s="3" t="inlineStr">
        <x:is>
          <x:t xml:space="preserve">https://www.avisonyoung.us/professionals/-/ayp/view/david-zipparo/in/raleigh-durham</x:t>
        </x:is>
      </x:c>
    </x:row>
    <x:row r="21">
      <x:c r="A21" s="3" t="inlineStr">
        <x:is>
          <x:t xml:space="preserve">Berkadia Matt Robertson</x:t>
        </x:is>
      </x:c>
      <x:c r="B21" s="3" t="inlineStr">
        <x:is>
          <x:t xml:space="preserve">https://www.berkadia.com/people-and-locations/people/matt-robertson/</x:t>
        </x:is>
      </x:c>
    </x:row>
  </x:sheetData>
  <x:pageMargins left="0.7" right="0.7" top="0.75" bottom="0.75" header="0.3" footer="0.3"/>
</x:worksheet>
</file>